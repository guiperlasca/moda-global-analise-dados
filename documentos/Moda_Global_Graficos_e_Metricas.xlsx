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worksheets/sheet6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cc2861c1b46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ed37ba6d293f451c"/>
    <x:sheet xmlns:r="http://schemas.openxmlformats.org/officeDocument/2006/relationships" name="Mercados" sheetId="2" r:id="R3422a5ac2dbf4b2e"/>
    <x:sheet xmlns:r="http://schemas.openxmlformats.org/officeDocument/2006/relationships" name="Categorias" sheetId="3" r:id="R885839b0f5d54de4"/>
    <x:sheet xmlns:r="http://schemas.openxmlformats.org/officeDocument/2006/relationships" name="Mensal" sheetId="4" r:id="R3a9966c6eccd46f9"/>
    <x:sheet xmlns:r="http://schemas.openxmlformats.org/officeDocument/2006/relationships" name="Previsão" sheetId="5" r:id="R445308dec3d84002"/>
    <x:sheet xmlns:r="http://schemas.openxmlformats.org/officeDocument/2006/relationships" name="Base" sheetId="6" r:id="R022b2feb978a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dd/mm/yyyy"/>
    <x:numFmt numFmtId="201" formatCode="#,##0"/>
    <x:numFmt numFmtId="202" formatCode="&quot;R$&quot; #,##0.00"/>
    <x:numFmt numFmtId="203" formatCode="0"/>
    <x:numFmt numFmtId="204" formatCode="0.0000000000"/>
    <x:numFmt numFmtId="205" formatCode="mmm/yyyy"/>
    <x:numFmt numFmtId="206" formatCode="0.00%"/>
    <x:numFmt numFmtId="207" formatCode="0.00"/>
    <x:numFmt numFmtId="208" formatCode="mmmm/yyyy"/>
    <x:numFmt numFmtId="209" formatCode="#,##0.00"/>
    <x:numFmt numFmtId="210" formatCode="mm/yyyy"/>
  </x:numFmts>
  <x:fonts count="6">
    <x:font>
      <x:sz val="11"/>
      <x:name val="Carlito"/>
    </x:font>
    <x:font>
      <x:sz val="10"/>
      <x:color rgb="FF243746"/>
      <x:name val="Arial"/>
    </x:font>
    <x:font>
      <x:b/>
      <x:sz val="16"/>
      <x:color rgb="FF265B7C"/>
      <x:name val="Arial"/>
    </x:font>
    <x:font>
      <x:i/>
      <x:sz val="10"/>
      <x:color rgb="FF596B7B"/>
      <x:name val="Arial"/>
    </x:font>
    <x:font>
      <x:b/>
      <x:sz val="10"/>
      <x:color rgb="FFFFFFFF"/>
      <x:name val="Arial"/>
    </x:font>
    <x:font>
      <x:b/>
      <x:sz val="10"/>
      <x:color rgb="FF2437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5B7C"/>
      </x:patternFill>
    </x:fill>
    <x:fill>
      <x:patternFill patternType="solid">
        <x:fgColor rgb="FFEDF3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C5D4DF"/>
      </x:bottom>
      <x:diagonal/>
    </x:border>
    <x:border>
      <x:left/>
      <x:right/>
      <x:top style="thin">
        <x:color rgb="FF9DB1C2"/>
      </x:top>
      <x:bottom/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1" fontId="5" fillId="3" borderId="2" xfId="0" applyNumberFormat="1" applyFont="1" applyFill="1" applyBorder="1" applyAlignment="1">
      <x:alignment vertical="center"/>
    </x:xf>
    <x:xf numFmtId="202" fontId="5" fillId="3" borderId="2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5" fillId="3" borderId="2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5" fillId="3" borderId="2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9" fontId="5" fillId="3" borderId="2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6" fontId="1" fillId="3" borderId="0" xfId="0" applyNumberFormat="1" applyFont="1" applyFill="1" applyBorder="1" applyAlignment="1">
      <x:alignment vertical="center"/>
    </x:xf>
    <x:xf numFmtId="207" fontId="1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6" fontId="5" fillId="3" borderId="0" xfId="0" applyNumberFormat="1" applyFont="1" applyFill="1" applyBorder="1" applyAlignment="1">
      <x:alignment vertical="center"/>
    </x:xf>
    <x:xf numFmtId="207" fontId="5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left" vertical="center"/>
    </x:xf>
    <x:xf numFmtId="202" fontId="2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1" fontId="2" fillId="0" borderId="0" xfId="0" applyNumberFormat="1" applyFont="1" applyFill="1" applyBorder="1" applyAlignment="1">
      <x:alignment horizontal="left" vertical="center"/>
    </x:xf>
    <x:xf numFmtId="206" fontId="1" fillId="0" borderId="0" xfId="0" applyNumberFormat="1" applyFont="1" applyFill="1" applyBorder="1" applyAlignment="1">
      <x:alignment horizontal="left" vertical="center"/>
    </x:xf>
    <x:xf numFmtId="206" fontId="2" fillId="0" borderId="0" xfId="0" applyNumberFormat="1" applyFont="1" applyFill="1" applyBorder="1" applyAlignment="1">
      <x:alignment horizontal="left" vertical="center"/>
    </x:xf>
    <x:xf numFmtId="21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A84E4E"/>
      </x:font>
      <x:fill>
        <x:patternFill patternType="solid">
          <x:bgColor rgb="FFFAECEB"/>
        </x:patternFill>
      </x:fill>
    </x:dxf>
    <x:dxf>
      <x:font>
        <x:color rgb="FFA84E4E"/>
      </x:font>
      <x:fill>
        <x:patternFill patternType="solid">
          <x:bgColor rgb="FFFAECEB"/>
        </x:patternFill>
      </x:fill>
    </x:dxf>
    <x:dxf>
      <x:font>
        <x:color rgb="FFA84E4E"/>
      </x:font>
      <x:fill>
        <x:patternFill patternType="solid">
          <x:bgColor rgb="FFFAEC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dbd2d9222406b" /><Relationship Type="http://schemas.openxmlformats.org/officeDocument/2006/relationships/theme" Target="/xl/theme/theme1.xml" Id="R6c32efd7128749d9" /><Relationship Type="http://schemas.openxmlformats.org/officeDocument/2006/relationships/sharedStrings" Target="/xl/sharedStrings.xml" Id="Reab2e3713a384e44" /><Relationship Type="http://schemas.openxmlformats.org/officeDocument/2006/relationships/worksheet" Target="/xl/worksheets/sheet1.xml" Id="Red37ba6d293f451c" /><Relationship Type="http://schemas.openxmlformats.org/officeDocument/2006/relationships/worksheet" Target="/xl/worksheets/sheet2.xml" Id="R3422a5ac2dbf4b2e" /><Relationship Type="http://schemas.openxmlformats.org/officeDocument/2006/relationships/worksheet" Target="/xl/worksheets/sheet3.xml" Id="R885839b0f5d54de4" /><Relationship Type="http://schemas.openxmlformats.org/officeDocument/2006/relationships/worksheet" Target="/xl/worksheets/sheet4.xml" Id="R3a9966c6eccd46f9" /><Relationship Type="http://schemas.openxmlformats.org/officeDocument/2006/relationships/worksheet" Target="/xl/worksheets/sheet5.xml" Id="R445308dec3d84002" /><Relationship Type="http://schemas.openxmlformats.org/officeDocument/2006/relationships/worksheet" Target="/xl/worksheets/sheet6.xml" Id="R022b2feb978a45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15775f05ac4e03" /><Relationship Type="http://schemas.openxmlformats.org/officeDocument/2006/relationships/chart" Target="/xl/drawings/charts/chart2.xml" Id="R31fcb78307a24452" /><Relationship Type="http://schemas.openxmlformats.org/officeDocument/2006/relationships/chart" Target="/xl/drawings/charts/chart3.xml" Id="Rb3f973c91e074c6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00579f57730484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bb6e212f10b24eed" /><Relationship Type="http://schemas.openxmlformats.org/officeDocument/2006/relationships/chart" Target="/xl/drawings/charts/chart6.xml" Id="Reb70b91fda50477a" /><Relationship Type="http://schemas.openxmlformats.org/officeDocument/2006/relationships/chart" Target="/xl/drawings/charts/chart7.xml" Id="Rbe3fa9f684d64e2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58b4eff5f67d4f84" /><Relationship Type="http://schemas.openxmlformats.org/officeDocument/2006/relationships/chart" Target="/xl/drawings/charts/chart9.xml" Id="R12111c9d19b54b70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9f8b105309374015" /><Relationship Type="http://schemas.openxmlformats.org/officeDocument/2006/relationships/chart" Target="/xl/drawings/charts/chart11.xml" Id="R60b9aa429648422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Faturamento mensal (2023–2024)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Faturamento (R$)</c:v>
          </c:tx>
          <c:spPr>
            <a:solidFill xmlns:a="http://schemas.openxmlformats.org/drawingml/2006/main">
              <a:srgbClr val="265B7C"/>
            </a:solidFill>
            <a:ln xmlns:a="http://schemas.openxmlformats.org/drawingml/2006/main" w="19050">
              <a:solidFill>
                <a:srgbClr val="265B7C"/>
              </a:solidFill>
              <a:prstDash val="solid"/>
            </a:ln>
          </c:spPr>
          <c:marker>
            <c:symbol val="none"/>
          </c:marker>
          <c:cat>
            <c:strRef>
              <c:f>'Mensal'!$F$7:$F$30</c:f>
              <c:strCache>
                <c:ptCount val="0"/>
              </c:strCache>
            </c:strRef>
          </c:cat>
          <c:val>
            <c:numRef>
              <c:f>'Mensal'!$D$7:$D$30</c:f>
              <c:numCache>
                <c:formatCode>"R$" 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 #,##0,&quot; mil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Receita por mercado (R$ milhões)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Faturamento (R$)</c:v>
          </c:tx>
          <c:spPr>
            <a:solidFill xmlns:a="http://schemas.openxmlformats.org/drawingml/2006/main">
              <a:srgbClr val="265B7C"/>
            </a:solidFill>
          </c:spPr>
          <c:invertIfNegative val="0"/>
          <c:cat>
            <c:strRef>
              <c:f>'Mercados'!$A$40:$A$45</c:f>
              <c:strCache>
                <c:ptCount val="0"/>
              </c:strCache>
            </c:strRef>
          </c:cat>
          <c:val>
            <c:numRef>
              <c:f>'Mercados'!$B$40:$B$45</c:f>
              <c:numCache>
                <c:formatCode>"R$" 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numFmt formatCode="General"/>
        <c:majorTickMark val="none"/>
        <c:minorTickMark val="none"/>
        <c:tickLblPos val="low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,,&quot; mi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es val="max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Variação anual das unidades (2024/2023)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Var. unidades</c:v>
          </c:tx>
          <c:spPr>
            <a:solidFill xmlns:a="http://schemas.openxmlformats.org/drawingml/2006/main">
              <a:srgbClr val="327E70"/>
            </a:solidFill>
          </c:spPr>
          <c:invertIfNegative val="0"/>
          <c:cat>
            <c:strRef>
              <c:f>'Categorias'!$A$29:$A$33</c:f>
              <c:strCache>
                <c:ptCount val="0"/>
              </c:strCache>
            </c:strRef>
          </c:cat>
          <c:val>
            <c:numRef>
              <c:f>'Categorias'!$D$29:$D$33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numFmt formatCode="General"/>
        <c:majorTickMark val="none"/>
        <c:minorTickMark val="none"/>
        <c:tickLblPos val="low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-0.1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es val="max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Gráfico 1 — pedidos por mercado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Pedidos</c:v>
          </c:tx>
          <c:spPr>
            <a:solidFill xmlns:a="http://schemas.openxmlformats.org/drawingml/2006/main">
              <a:srgbClr val="265B7C"/>
            </a:solidFill>
          </c:spPr>
          <c:invertIfNegative val="0"/>
          <c:cat>
            <c:strRef>
              <c:f>'Mercados'!$A$7:$A$12</c:f>
              <c:strCache>
                <c:ptCount val="0"/>
              </c:strCache>
            </c:strRef>
          </c:cat>
          <c:val>
            <c:numRef>
              <c:f>'Mercados'!$B$7:$B$12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numFmt formatCode="General"/>
        <c:majorTickMark val="none"/>
        <c:minorTickMark val="none"/>
        <c:tickLblPos val="low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es val="max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Gráfico 2 — pedidos por categoria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Pedidos</c:v>
          </c:tx>
          <c:spPr>
            <a:solidFill xmlns:a="http://schemas.openxmlformats.org/drawingml/2006/main">
              <a:srgbClr val="265B7C"/>
            </a:solidFill>
          </c:spPr>
          <c:invertIfNegative val="0"/>
          <c:cat>
            <c:strRef>
              <c:f>'Categorias'!$A$7:$A$11</c:f>
              <c:strCache>
                <c:ptCount val="0"/>
              </c:strCache>
            </c:strRef>
          </c:cat>
          <c:val>
            <c:numRef>
              <c:f>'Categorias'!$B$7:$B$11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numFmt formatCode="General"/>
        <c:majorTickMark val="none"/>
        <c:minorTickMark val="none"/>
        <c:tickLblPos val="low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es val="max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Gráfico 4 — estoque médio registrado (un.)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Estoque médio (un.)</c:v>
          </c:tx>
          <c:spPr>
            <a:solidFill xmlns:a="http://schemas.openxmlformats.org/drawingml/2006/main">
              <a:srgbClr val="265B7C"/>
            </a:solidFill>
          </c:spPr>
          <c:invertIfNegative val="0"/>
          <c:cat>
            <c:strRef>
              <c:f>'Categorias'!$A$18:$A$22</c:f>
              <c:strCache>
                <c:ptCount val="0"/>
              </c:strCache>
            </c:strRef>
          </c:cat>
          <c:val>
            <c:numRef>
              <c:f>'Categorias'!$C$18:$C$22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numFmt formatCode="General"/>
        <c:majorTickMark val="none"/>
        <c:minorTickMark val="none"/>
        <c:tickLblPos val="low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es val="max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Gráfico 6 — variação anual das unidades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bar"/>
        <c:grouping val="clustered"/>
        <c:varyColors val="0"/>
        <c:ser>
          <c:idx val="0"/>
          <c:order val="0"/>
          <c:tx>
            <c:v>Var. unidades</c:v>
          </c:tx>
          <c:spPr>
            <a:solidFill xmlns:a="http://schemas.openxmlformats.org/drawingml/2006/main">
              <a:srgbClr val="327E70"/>
            </a:solidFill>
          </c:spPr>
          <c:invertIfNegative val="0"/>
          <c:cat>
            <c:strRef>
              <c:f>'Categorias'!$A$29:$A$33</c:f>
              <c:strCache>
                <c:ptCount val="0"/>
              </c:strCache>
            </c:strRef>
          </c:cat>
          <c:val>
            <c:numRef>
              <c:f>'Categorias'!$D$29:$D$33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axMin"/>
        </c:scaling>
        <c:delete val="0"/>
        <c:axPos val="l"/>
        <c:numFmt formatCode="General"/>
        <c:majorTickMark val="none"/>
        <c:minorTickMark val="none"/>
        <c:tickLblPos val="low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in val="-0.1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es val="max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Gráfico 3A — faturamento mensal por ano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Receita 2023 (R$)</c:v>
          </c:tx>
          <c:spPr>
            <a:solidFill xmlns:a="http://schemas.openxmlformats.org/drawingml/2006/main">
              <a:srgbClr val="265B7C"/>
            </a:solidFill>
            <a:ln xmlns:a="http://schemas.openxmlformats.org/drawingml/2006/main" w="19050">
              <a:solidFill>
                <a:srgbClr val="265B7C"/>
              </a:solidFill>
              <a:prstDash val="solid"/>
            </a:ln>
          </c:spPr>
          <c:marker>
            <c:symbol val="none"/>
          </c:marker>
          <c:cat>
            <c:strRef>
              <c:f>'Mensal'!$H$7:$H$18</c:f>
              <c:strCache>
                <c:ptCount val="0"/>
              </c:strCache>
            </c:strRef>
          </c:cat>
          <c:val>
            <c:numRef>
              <c:f>'Mensal'!$I$7:$I$18</c:f>
              <c:numCache>
                <c:formatCode>"R$" 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Receita 2024 (R$)</c:v>
          </c:tx>
          <c:spPr>
            <a:solidFill xmlns:a="http://schemas.openxmlformats.org/drawingml/2006/main">
              <a:srgbClr val="327E70"/>
            </a:solidFill>
            <a:ln xmlns:a="http://schemas.openxmlformats.org/drawingml/2006/main" w="19050">
              <a:solidFill>
                <a:srgbClr val="327E70"/>
              </a:solidFill>
              <a:prstDash val="solid"/>
            </a:ln>
          </c:spPr>
          <c:marker>
            <c:symbol val="none"/>
          </c:marker>
          <c:cat>
            <c:strRef>
              <c:f>'Mensal'!$H$7:$H$18</c:f>
              <c:strCache>
                <c:ptCount val="0"/>
              </c:strCache>
            </c:strRef>
          </c:cat>
          <c:val>
            <c:numRef>
              <c:f>'Mensal'!$J$7:$J$18</c:f>
              <c:numCache>
                <c:formatCode>"R$" 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 #,##0,&quot; mil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Gráfico 3B — unidades mensais por ano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Unidades 2023</c:v>
          </c:tx>
          <c:spPr>
            <a:solidFill xmlns:a="http://schemas.openxmlformats.org/drawingml/2006/main">
              <a:srgbClr val="265B7C"/>
            </a:solidFill>
            <a:ln xmlns:a="http://schemas.openxmlformats.org/drawingml/2006/main" w="19050">
              <a:solidFill>
                <a:srgbClr val="265B7C"/>
              </a:solidFill>
              <a:prstDash val="solid"/>
            </a:ln>
          </c:spPr>
          <c:marker>
            <c:symbol val="none"/>
          </c:marker>
          <c:cat>
            <c:strRef>
              <c:f>'Mensal'!$H$7:$H$18</c:f>
              <c:strCache>
                <c:ptCount val="0"/>
              </c:strCache>
            </c:strRef>
          </c:cat>
          <c:val>
            <c:numRef>
              <c:f>'Mensal'!$K$7:$K$18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Unidades 2024</c:v>
          </c:tx>
          <c:spPr>
            <a:solidFill xmlns:a="http://schemas.openxmlformats.org/drawingml/2006/main">
              <a:srgbClr val="327E70"/>
            </a:solidFill>
            <a:ln xmlns:a="http://schemas.openxmlformats.org/drawingml/2006/main" w="19050">
              <a:solidFill>
                <a:srgbClr val="327E70"/>
              </a:solidFill>
              <a:prstDash val="solid"/>
            </a:ln>
          </c:spPr>
          <c:marker>
            <c:symbol val="none"/>
          </c:marker>
          <c:cat>
            <c:strRef>
              <c:f>'Mensal'!$H$7:$H$18</c:f>
              <c:strCache>
                <c:ptCount val="0"/>
              </c:strCache>
            </c:strRef>
          </c:cat>
          <c:val>
            <c:numRef>
              <c:f>'Mensal'!$L$7:$L$18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Gráfico 5A — receita observada e projeção MM12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Receita observada</c:v>
          </c:tx>
          <c:spPr>
            <a:solidFill xmlns:a="http://schemas.openxmlformats.org/drawingml/2006/main">
              <a:srgbClr val="265B7C"/>
            </a:solidFill>
            <a:ln xmlns:a="http://schemas.openxmlformats.org/drawingml/2006/main" w="19050">
              <a:solidFill>
                <a:srgbClr val="265B7C"/>
              </a:solidFill>
              <a:prstDash val="solid"/>
            </a:ln>
          </c:spPr>
          <c:marker>
            <c:symbol val="none"/>
          </c:marker>
          <c:cat>
            <c:strRef>
              <c:f>'Previsão'!$K$50:$K$64</c:f>
              <c:strCache>
                <c:ptCount val="0"/>
              </c:strCache>
            </c:strRef>
          </c:cat>
          <c:val>
            <c:numRef>
              <c:f>'Previsão'!$L$50:$L$64</c:f>
              <c:numCache>
                <c:formatCode>"R$" 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Projeção MM12 (R$)</c:v>
          </c:tx>
          <c:spPr>
            <a:solidFill xmlns:a="http://schemas.openxmlformats.org/drawingml/2006/main">
              <a:srgbClr val="A84E4E"/>
            </a:solidFill>
            <a:ln xmlns:a="http://schemas.openxmlformats.org/drawingml/2006/main" w="19050">
              <a:solidFill>
                <a:srgbClr val="A84E4E"/>
              </a:solidFill>
              <a:prstDash val="dash"/>
            </a:ln>
          </c:spPr>
          <c:marker>
            <c:symbol val="none"/>
          </c:marker>
          <c:cat>
            <c:strRef>
              <c:f>'Previsão'!$K$50:$K$64</c:f>
              <c:strCache>
                <c:ptCount val="0"/>
              </c:strCache>
            </c:strRef>
          </c:cat>
          <c:val>
            <c:numRef>
              <c:f>'Previsão'!$M$50:$M$64</c:f>
              <c:numCache>
                <c:formatCode>"R$" 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$&quot; #,##0,&quot; mil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Gráfico 5B — unidades e projeção MM12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Unidades observadas</c:v>
          </c:tx>
          <c:spPr>
            <a:solidFill xmlns:a="http://schemas.openxmlformats.org/drawingml/2006/main">
              <a:srgbClr val="265B7C"/>
            </a:solidFill>
            <a:ln xmlns:a="http://schemas.openxmlformats.org/drawingml/2006/main" w="19050">
              <a:solidFill>
                <a:srgbClr val="265B7C"/>
              </a:solidFill>
              <a:prstDash val="solid"/>
            </a:ln>
          </c:spPr>
          <c:marker>
            <c:symbol val="none"/>
          </c:marker>
          <c:cat>
            <c:strRef>
              <c:f>'Previsão'!$K$50:$K$64</c:f>
              <c:strCache>
                <c:ptCount val="0"/>
              </c:strCache>
            </c:strRef>
          </c:cat>
          <c:val>
            <c:numRef>
              <c:f>'Previsão'!$N$50:$N$64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Projeção MM12 (un.)</c:v>
          </c:tx>
          <c:spPr>
            <a:solidFill xmlns:a="http://schemas.openxmlformats.org/drawingml/2006/main">
              <a:srgbClr val="A84E4E"/>
            </a:solidFill>
            <a:ln xmlns:a="http://schemas.openxmlformats.org/drawingml/2006/main" w="19050">
              <a:solidFill>
                <a:srgbClr val="A84E4E"/>
              </a:solidFill>
              <a:prstDash val="dash"/>
            </a:ln>
          </c:spPr>
          <c:marker>
            <c:symbol val="none"/>
          </c:marker>
          <c:cat>
            <c:strRef>
              <c:f>'Previsão'!$K$50:$K$64</c:f>
              <c:strCache>
                <c:ptCount val="0"/>
              </c:strCache>
            </c:strRef>
          </c:cat>
          <c:val>
            <c:numRef>
              <c:f>'Previsão'!$O$50:$O$64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10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15775f05ac4e03"/>
        </a:graphicData>
      </a:graphic>
    </xdr:graphicFrame>
    <xdr:clientData/>
  </xdr:twoCellAnchor>
  <xdr:twoCellAnchor>
    <xdr:from>
      <xdr:col>10</xdr:col>
      <xdr:colOff>0</xdr:colOff>
      <xdr:row>16</xdr:row>
      <xdr:rowOff>0</xdr:rowOff>
    </xdr:from>
    <xdr:to>
      <xdr:col>18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fcb78307a2445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10</xdr:col>
      <xdr:colOff>0</xdr:colOff>
      <xdr:row>51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f973c91e074c6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5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0579f57730484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11</xdr:col>
      <xdr:colOff>0</xdr:colOff>
      <xdr:row>5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6e212f10b24eed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20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70b91fda50477a"/>
        </a:graphicData>
      </a:graphic>
    </xdr:graphicFrame>
    <xdr:clientData/>
  </xdr:twoCellAnchor>
  <xdr:twoCellAnchor>
    <xdr:from>
      <xdr:col>11</xdr:col>
      <xdr:colOff>0</xdr:colOff>
      <xdr:row>39</xdr:row>
      <xdr:rowOff>0</xdr:rowOff>
    </xdr:from>
    <xdr:to>
      <xdr:col>20</xdr:col>
      <xdr:colOff>0</xdr:colOff>
      <xdr:row>55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3fa9f684d64e2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7</xdr:col>
      <xdr:colOff>0</xdr:colOff>
      <xdr:row>20</xdr:row>
      <xdr:rowOff>0</xdr:rowOff>
    </xdr:from>
    <xdr:to>
      <xdr:col>18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b4eff5f67d4f84"/>
        </a:graphicData>
      </a:graphic>
    </xdr:graphicFrame>
    <xdr:clientData/>
  </xdr:twoCellAnchor>
  <xdr:twoCellAnchor>
    <xdr:from>
      <xdr:col>7</xdr:col>
      <xdr:colOff>0</xdr:colOff>
      <xdr:row>39</xdr:row>
      <xdr:rowOff>0</xdr:rowOff>
    </xdr:from>
    <xdr:to>
      <xdr:col>18</xdr:col>
      <xdr:colOff>0</xdr:colOff>
      <xdr:row>56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111c9d19b54b7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10</xdr:col>
      <xdr:colOff>0</xdr:colOff>
      <xdr:row>5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8b105309374015"/>
        </a:graphicData>
      </a:graphic>
    </xdr:graphicFrame>
    <xdr:clientData/>
  </xdr:twoCellAnchor>
  <xdr:twoCellAnchor>
    <xdr:from>
      <xdr:col>10</xdr:col>
      <xdr:colOff>0</xdr:colOff>
      <xdr:row>23</xdr:row>
      <xdr:rowOff>0</xdr:rowOff>
    </xdr:from>
    <xdr:to>
      <xdr:col>19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b9aa429648422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edidosModaGlobal" displayName="PedidosModaGlobal" ref="A6:K2256" headerRowCount="1" totalsRowCount="0" totalsRowShown="0">
  <x:tableColumns count="11">
    <x:tableColumn id="1" name="ID Pedido"/>
    <x:tableColumn id="2" name="Data"/>
    <x:tableColumn id="3" name="Mercado"/>
    <x:tableColumn id="4" name="Categoria"/>
    <x:tableColumn id="5" name="Quantidade Vendida"/>
    <x:tableColumn id="6" name="Preço Unitário (R$)"/>
    <x:tableColumn id="7" name="Faturamento (R$)"/>
    <x:tableColumn id="8" name="Estoque Atual"/>
    <x:tableColumn id="9" name="Ano"/>
    <x:tableColumn id="10" name="Mês"/>
    <x:tableColumn id="11" name="Diferença receita (R$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e07f29d2f2046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f7a381e0add48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1a86c76e2eeb4c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7a293de1504d4a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00bab8531aa140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34b7d327799a4f91" /></Relationships>
</file>

<file path=xl/worksheets/sheet1.xml><?xml version="1.0" encoding="utf-8"?>
<x:worksheet xmlns:x="http://schemas.openxmlformats.org/spreadsheetml/2006/main">
  <x:sheetPr>
    <x:tabColor rgb="FF265B7C"/>
  </x:sheetPr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2" customHeight="1">
      <x:c r="A2" s="3" t="str">
        <x:v>Moda Global — visão gerencial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2" customHeight="1">
      <x:c r="A4" s="5" t="str">
        <x:v>Histórico de 2023–2024. Valores nominais em R$.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2" customHeight="1">
      <x:c r="A6" s="15" t="str">
        <x:v>Faturamento</x:v>
      </x:c>
      <x:c r="B6" s="2"/>
      <x:c r="C6" s="2"/>
      <x:c r="D6" s="2"/>
      <x:c r="E6" s="2"/>
      <x:c r="F6" s="15" t="str">
        <x:v>Pedidos</x:v>
      </x:c>
      <x:c r="G6" s="2"/>
      <x:c r="H6" s="2"/>
      <x:c r="I6" s="2"/>
      <x:c r="J6" s="2"/>
      <x:c r="K6" s="15" t="str">
        <x:v>Unidades vendidas</x:v>
      </x:c>
      <x:c r="L6" s="2"/>
      <x:c r="M6" s="2"/>
      <x:c r="N6" s="2"/>
      <x:c r="O6" s="2"/>
      <x:c r="P6" s="2"/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2" customHeight="1">
      <x:c r="A8" s="37" t="n">
        <x:f>'Mensal'!D38</x:f>
        <x:v>6230296.220000001</x:v>
      </x:c>
      <x:c r="B8" s="35"/>
      <x:c r="C8" s="35"/>
      <x:c r="D8" s="35"/>
      <x:c r="E8" s="2"/>
      <x:c r="F8" s="39" t="n">
        <x:f>'Mensal'!B38</x:f>
        <x:v>2250</x:v>
      </x:c>
      <x:c r="G8" s="35"/>
      <x:c r="H8" s="35"/>
      <x:c r="I8" s="35"/>
      <x:c r="J8" s="2"/>
      <x:c r="K8" s="39" t="n">
        <x:f>'Mensal'!C38</x:f>
        <x:v>56782</x:v>
      </x:c>
      <x:c r="L8" s="35"/>
      <x:c r="M8" s="35"/>
      <x:c r="N8" s="35"/>
      <x:c r="O8" s="2"/>
      <x:c r="P8" s="2"/>
    </x:row>
    <x:row r="9" ht="22" customHeight="1">
      <x:c r="A9" s="35"/>
      <x:c r="B9" s="35"/>
      <x:c r="C9" s="35"/>
      <x:c r="D9" s="35"/>
      <x:c r="E9" s="2"/>
      <x:c r="F9" s="35"/>
      <x:c r="G9" s="35"/>
      <x:c r="H9" s="35"/>
      <x:c r="I9" s="35"/>
      <x:c r="J9" s="2"/>
      <x:c r="K9" s="35"/>
      <x:c r="L9" s="35"/>
      <x:c r="M9" s="35"/>
      <x:c r="N9" s="35"/>
      <x:c r="O9" s="2"/>
      <x:c r="P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22" customHeight="1">
      <x:c r="A11" s="15" t="str">
        <x:v>Ticket médio</x:v>
      </x:c>
      <x:c r="B11" s="2"/>
      <x:c r="C11" s="2"/>
      <x:c r="D11" s="2"/>
      <x:c r="E11" s="2"/>
      <x:c r="F11" s="15" t="str">
        <x:v>Receita 2024 ante 2023</x:v>
      </x:c>
      <x:c r="G11" s="2"/>
      <x:c r="H11" s="2"/>
      <x:c r="I11" s="2"/>
      <x:c r="J11" s="2"/>
      <x:c r="K11" s="15" t="str">
        <x:v>Projeção jan–mar/2025</x:v>
      </x:c>
      <x:c r="L11" s="2"/>
      <x:c r="M11" s="2"/>
      <x:c r="N11" s="2"/>
      <x:c r="O11" s="2"/>
      <x:c r="P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22" customHeight="1">
      <x:c r="A13" s="37" t="n">
        <x:f>'Mensal'!E38</x:f>
        <x:v>2769.0205422222225</x:v>
      </x:c>
      <x:c r="B13" s="35"/>
      <x:c r="C13" s="35"/>
      <x:c r="D13" s="35"/>
      <x:c r="E13" s="2"/>
      <x:c r="F13" s="41" t="n">
        <x:f>'Mensal'!D40</x:f>
        <x:v>0.10085983902574491</x:v>
      </x:c>
      <x:c r="G13" s="35"/>
      <x:c r="H13" s="35"/>
      <x:c r="I13" s="35"/>
      <x:c r="J13" s="2"/>
      <x:c r="K13" s="37" t="n">
        <x:f>'Previsão'!B10</x:f>
        <x:v>821646.5171006946</x:v>
      </x:c>
      <x:c r="L13" s="35"/>
      <x:c r="M13" s="35"/>
      <x:c r="N13" s="35"/>
      <x:c r="O13" s="2"/>
      <x:c r="P13" s="2"/>
    </x:row>
    <x:row r="14" ht="22" customHeight="1">
      <x:c r="A14" s="35"/>
      <x:c r="B14" s="35"/>
      <x:c r="C14" s="35"/>
      <x:c r="D14" s="35"/>
      <x:c r="E14" s="2"/>
      <x:c r="F14" s="35"/>
      <x:c r="G14" s="35"/>
      <x:c r="H14" s="35"/>
      <x:c r="I14" s="35"/>
      <x:c r="J14" s="2"/>
      <x:c r="K14" s="35"/>
      <x:c r="L14" s="35"/>
      <x:c r="M14" s="35"/>
      <x:c r="N14" s="35"/>
      <x:c r="O14" s="2"/>
      <x:c r="P14" s="2"/>
    </x:row>
    <x:row r="15" ht="22" customHeight="1">
      <x:c r="A15" s="5" t="str">
        <x:v>Brasil lidera pedidos e receita acumulada. Acessórios lidera unidades. Chile tem o maior ticket.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15" t="str">
        <x:v>Projeção MM12</x:v>
      </x:c>
      <x:c r="L36" s="2"/>
      <x:c r="M36" s="2"/>
      <x:c r="N36" s="2"/>
      <x:c r="O36" s="2"/>
      <x:c r="P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 t="str">
        <x:v>Unidades estimadas</x:v>
      </x:c>
      <x:c r="L38" s="2"/>
      <x:c r="M38" s="2"/>
      <x:c r="N38" s="11" t="n">
        <x:f>'Previsão'!C10</x:f>
        <x:v>7418.387152777778</x:v>
      </x:c>
      <x:c r="O38" s="2"/>
      <x:c r="P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 t="str">
        <x:v>Pedidos estimados</x:v>
      </x:c>
      <x:c r="L39" s="2"/>
      <x:c r="M39" s="2"/>
      <x:c r="N39" s="11" t="n">
        <x:f>'Previsão'!D10</x:f>
        <x:v>289.91898148148147</x:v>
      </x:c>
      <x:c r="O39" s="2"/>
      <x:c r="P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15" t="str">
        <x:v>Limites de interpretação</x:v>
      </x:c>
      <x:c r="L42" s="2"/>
      <x:c r="M42" s="2"/>
      <x:c r="N42" s="2"/>
      <x:c r="O42" s="2"/>
      <x:c r="P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 t="str">
        <x:v>Lucro: custos e despesas ausentes.</x:v>
      </x:c>
      <x:c r="L44" s="2"/>
      <x:c r="M44" s="2"/>
      <x:c r="N44" s="2"/>
      <x:c r="O44" s="2"/>
      <x:c r="P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 t="str">
        <x:v>Estoque: sem saldo consolidado.</x:v>
      </x:c>
      <x:c r="L45" s="2"/>
      <x:c r="M45" s="2"/>
      <x:c r="N45" s="2"/>
      <x:c r="O45" s="2"/>
      <x:c r="P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15" t="str">
        <x:v>Prioridades do trabalho</x:v>
      </x:c>
      <x:c r="L47" s="2"/>
      <x:c r="M47" s="2"/>
      <x:c r="N47" s="2"/>
      <x:c r="O47" s="2"/>
      <x:c r="P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 t="str">
        <x:v>Pilotos no Chile e na Colômbia.</x:v>
      </x:c>
      <x:c r="L49" s="2"/>
      <x:c r="M49" s="2"/>
      <x:c r="N49" s="2"/>
      <x:c r="O49" s="2"/>
      <x:c r="P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 t="str">
        <x:v>Sortimento: Moda Feminina e Calçados.</x:v>
      </x:c>
      <x:c r="L50" s="2"/>
      <x:c r="M50" s="2"/>
      <x:c r="N50" s="2"/>
      <x:c r="O50" s="2"/>
      <x:c r="P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</x:sheetData>
  <x:mergeCells>
    <x:mergeCell ref="A8:D9"/>
    <x:mergeCell ref="F8:I9"/>
    <x:mergeCell ref="K8:N9"/>
    <x:mergeCell ref="A13:D14"/>
    <x:mergeCell ref="F13:I14"/>
    <x:mergeCell ref="K13:N14"/>
  </x:mergeCells>
  <x:pageMargins left="0.7" right="0.7" top="0.75" bottom="0.75" header="0.3" footer="0.3"/>
  <x:drawing xmlns:r="http://schemas.openxmlformats.org/officeDocument/2006/relationships" r:id="Rfe07f29d2f20463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5" hidden="0" customWidth="1"/>
    <x:col min="3" max="3" width="15" hidden="0" customWidth="1"/>
    <x:col min="4" max="4" width="21" hidden="0" customWidth="1"/>
    <x:col min="5" max="5" width="21" hidden="0" customWidth="1"/>
    <x:col min="6" max="6" width="21" hidden="0" customWidth="1"/>
    <x:col min="7" max="7" width="17" hidden="0" customWidth="1"/>
    <x:col min="8" max="8" width="17" hidden="0" customWidth="1"/>
    <x:col min="9" max="9" width="17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3" t="str">
        <x:v>Pedidos, faturamento e expansão por mercado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2" customHeight="1">
      <x:c r="A4" s="5" t="str">
        <x:v>Acumulado de 2023 e 2024. Média mensal = faturamento ÷ 24 meses.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8" customHeight="1">
      <x:c r="A6" s="9" t="str">
        <x:v>Mercado</x:v>
      </x:c>
      <x:c r="B6" s="9" t="str">
        <x:v>Pedidos</x:v>
      </x:c>
      <x:c r="C6" s="9" t="str">
        <x:v>Part. pedidos</x:v>
      </x:c>
      <x:c r="D6" s="9" t="str">
        <x:v>Faturamento (R$)</x:v>
      </x:c>
      <x:c r="E6" s="9" t="str">
        <x:v>Ticket médio (R$)</x:v>
      </x:c>
      <x:c r="F6" s="9" t="str">
        <x:v>Média mensal (R$)</x:v>
      </x:c>
      <x:c r="G6" s="9" t="str">
        <x:v>Unidades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2" customHeight="1">
      <x:c r="A7" s="2" t="str">
        <x:v>Brasil</x:v>
      </x:c>
      <x:c r="B7" s="11" t="n">
        <x:f>COUNTIFS('Base'!$C$7:$C$2256,A7)</x:f>
        <x:v>395</x:v>
      </x:c>
      <x:c r="C7" s="22" t="n">
        <x:f>B7/'Mensal'!$B$38</x:f>
        <x:v>0.17555555555555555</x:v>
      </x:c>
      <x:c r="D7" s="12" t="n">
        <x:f>SUMIFS('Base'!$G$7:$G$2256,'Base'!$C$7:$C$2256,A7)</x:f>
        <x:v>1105260.2600000007</x:v>
      </x:c>
      <x:c r="E7" s="12" t="n">
        <x:f>D7/B7</x:f>
        <x:v>2798.127240506331</x:v>
      </x:c>
      <x:c r="F7" s="12" t="n">
        <x:f>D7/24</x:f>
        <x:v>46052.51083333336</x:v>
      </x:c>
      <x:c r="G7" s="11" t="n">
        <x:f>SUMIFS('Base'!$E$7:$E$2256,'Base'!$C$7:$C$2256,A7)</x:f>
        <x:v>9824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2" customHeight="1">
      <x:c r="A8" s="2" t="str">
        <x:v>México</x:v>
      </x:c>
      <x:c r="B8" s="11" t="n">
        <x:f>COUNTIFS('Base'!$C$7:$C$2256,A8)</x:f>
        <x:v>384</x:v>
      </x:c>
      <x:c r="C8" s="22" t="n">
        <x:f>B8/'Mensal'!$B$38</x:f>
        <x:v>0.17066666666666666</x:v>
      </x:c>
      <x:c r="D8" s="12" t="n">
        <x:f>SUMIFS('Base'!$G$7:$G$2256,'Base'!$C$7:$C$2256,A8)</x:f>
        <x:v>1056273.4300000002</x:v>
      </x:c>
      <x:c r="E8" s="12" t="n">
        <x:f>D8/B8</x:f>
        <x:v>2750.712057291667</x:v>
      </x:c>
      <x:c r="F8" s="12" t="n">
        <x:f>D8/24</x:f>
        <x:v>44011.39291666667</x:v>
      </x:c>
      <x:c r="G8" s="11" t="n">
        <x:f>SUMIFS('Base'!$E$7:$E$2256,'Base'!$C$7:$C$2256,A8)</x:f>
        <x:v>9703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2" customHeight="1">
      <x:c r="A9" s="2" t="str">
        <x:v>Argentina</x:v>
      </x:c>
      <x:c r="B9" s="11" t="n">
        <x:f>COUNTIFS('Base'!$C$7:$C$2256,A9)</x:f>
        <x:v>373</x:v>
      </x:c>
      <x:c r="C9" s="22" t="n">
        <x:f>B9/'Mensal'!$B$38</x:f>
        <x:v>0.16577777777777777</x:v>
      </x:c>
      <x:c r="D9" s="12" t="n">
        <x:f>SUMIFS('Base'!$G$7:$G$2256,'Base'!$C$7:$C$2256,A9)</x:f>
        <x:v>974527.9300000007</x:v>
      </x:c>
      <x:c r="E9" s="12" t="n">
        <x:f>D9/B9</x:f>
        <x:v>2612.6754155496</x:v>
      </x:c>
      <x:c r="F9" s="12" t="n">
        <x:f>D9/24</x:f>
        <x:v>40605.3304166667</x:v>
      </x:c>
      <x:c r="G9" s="11" t="n">
        <x:f>SUMIFS('Base'!$E$7:$E$2256,'Base'!$C$7:$C$2256,A9)</x:f>
        <x:v>8973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2" customHeight="1">
      <x:c r="A10" s="2" t="str">
        <x:v>Colômbia</x:v>
      </x:c>
      <x:c r="B10" s="11" t="n">
        <x:f>COUNTIFS('Base'!$C$7:$C$2256,A10)</x:f>
        <x:v>370</x:v>
      </x:c>
      <x:c r="C10" s="22" t="n">
        <x:f>B10/'Mensal'!$B$38</x:f>
        <x:v>0.16444444444444445</x:v>
      </x:c>
      <x:c r="D10" s="12" t="n">
        <x:f>SUMIFS('Base'!$G$7:$G$2256,'Base'!$C$7:$C$2256,A10)</x:f>
        <x:v>990727.43</x:v>
      </x:c>
      <x:c r="E10" s="12" t="n">
        <x:f>D10/B10</x:f>
        <x:v>2677.641702702703</x:v>
      </x:c>
      <x:c r="F10" s="12" t="n">
        <x:f>D10/24</x:f>
        <x:v>41280.309583333335</x:v>
      </x:c>
      <x:c r="G10" s="11" t="n">
        <x:f>SUMIFS('Base'!$E$7:$E$2256,'Base'!$C$7:$C$2256,A10)</x:f>
        <x:v>9244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2" customHeight="1">
      <x:c r="A11" s="2" t="str">
        <x:v>Peru</x:v>
      </x:c>
      <x:c r="B11" s="11" t="n">
        <x:f>COUNTIFS('Base'!$C$7:$C$2256,A11)</x:f>
        <x:v>370</x:v>
      </x:c>
      <x:c r="C11" s="22" t="n">
        <x:f>B11/'Mensal'!$B$38</x:f>
        <x:v>0.16444444444444445</x:v>
      </x:c>
      <x:c r="D11" s="12" t="n">
        <x:f>SUMIFS('Base'!$G$7:$G$2256,'Base'!$C$7:$C$2256,A11)</x:f>
        <x:v>1023537.8799999995</x:v>
      </x:c>
      <x:c r="E11" s="12" t="n">
        <x:f>D11/B11</x:f>
        <x:v>2766.3185945945934</x:v>
      </x:c>
      <x:c r="F11" s="12" t="n">
        <x:f>D11/24</x:f>
        <x:v>42647.411666666645</x:v>
      </x:c>
      <x:c r="G11" s="11" t="n">
        <x:f>SUMIFS('Base'!$E$7:$E$2256,'Base'!$C$7:$C$2256,A11)</x:f>
        <x:v>9289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2" customHeight="1">
      <x:c r="A12" s="2" t="str">
        <x:v>Chile</x:v>
      </x:c>
      <x:c r="B12" s="11" t="n">
        <x:f>COUNTIFS('Base'!$C$7:$C$2256,A12)</x:f>
        <x:v>358</x:v>
      </x:c>
      <x:c r="C12" s="22" t="n">
        <x:f>B12/'Mensal'!$B$38</x:f>
        <x:v>0.15911111111111112</x:v>
      </x:c>
      <x:c r="D12" s="12" t="n">
        <x:f>SUMIFS('Base'!$G$7:$G$2256,'Base'!$C$7:$C$2256,A12)</x:f>
        <x:v>1079969.2899999998</x:v>
      </x:c>
      <x:c r="E12" s="12" t="n">
        <x:f>D12/B12</x:f>
        <x:v>3016.6739944134074</x:v>
      </x:c>
      <x:c r="F12" s="12" t="n">
        <x:f>D12/24</x:f>
        <x:v>44998.720416666656</x:v>
      </x:c>
      <x:c r="G12" s="11" t="n">
        <x:f>SUMIFS('Base'!$E$7:$E$2256,'Base'!$C$7:$C$2256,A12)</x:f>
        <x:v>9749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2" customHeight="1">
      <x:c r="A13" s="18" t="str">
        <x:v>Total</x:v>
      </x:c>
      <x:c r="B13" s="20" t="n">
        <x:f>SUM(B7:B12)</x:f>
        <x:v>2250</x:v>
      </x:c>
      <x:c r="C13" s="23" t="n">
        <x:f>SUM(C7:C12)</x:f>
        <x:v>0.9999999999999999</x:v>
      </x:c>
      <x:c r="D13" s="21" t="n">
        <x:f>SUM(D7:D12)</x:f>
        <x:v>6230296.220000002</x:v>
      </x:c>
      <x:c r="E13" s="21" t="n">
        <x:f>D13/B13</x:f>
        <x:v>2769.020542222223</x:v>
      </x:c>
      <x:c r="F13" s="21" t="n">
        <x:f>D13/24</x:f>
        <x:v>259595.6758333334</x:v>
      </x:c>
      <x:c r="G13" s="20" t="n">
        <x:f>SUM(G7:G12)</x:f>
        <x:v>56782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38" customHeight="1">
      <x:c r="A18" s="9" t="str">
        <x:v>Mercado</x:v>
      </x:c>
      <x:c r="B18" s="9" t="str">
        <x:v>Receita 2023 (R$)</x:v>
      </x:c>
      <x:c r="C18" s="9" t="str">
        <x:v>Receita 2024 (R$)</x:v>
      </x:c>
      <x:c r="D18" s="9" t="str">
        <x:v>Var. receita</x:v>
      </x:c>
      <x:c r="E18" s="9" t="str">
        <x:v>Unid. 2023</x:v>
      </x:c>
      <x:c r="F18" s="9" t="str">
        <x:v>Unid. 2024</x:v>
      </x:c>
      <x:c r="G18" s="9" t="str">
        <x:v>Var. unidades</x:v>
      </x:c>
      <x:c r="H18" s="9" t="str">
        <x:v>Var. pedidos</x:v>
      </x:c>
      <x:c r="I18" s="9" t="str">
        <x:v>Ticket acumulado (R$)</x:v>
      </x:c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2" customHeight="1">
      <x:c r="A19" s="2" t="str">
        <x:v>Chile</x:v>
      </x:c>
      <x:c r="B19" s="12" t="n">
        <x:f>SUMIFS('Base'!$G$7:$G$2256,'Base'!$C$7:$C$2256,A19,'Base'!$I$7:$I$2256,2023)</x:f>
        <x:v>503081.6700000002</x:v>
      </x:c>
      <x:c r="C19" s="12" t="n">
        <x:f>SUMIFS('Base'!$G$7:$G$2256,'Base'!$C$7:$C$2256,A19,'Base'!$I$7:$I$2256,2024)</x:f>
        <x:v>576887.6200000001</x:v>
      </x:c>
      <x:c r="D19" s="22" t="n">
        <x:f>C19/B19-1</x:f>
        <x:v>0.146707690622081</x:v>
      </x:c>
      <x:c r="E19" s="11" t="n">
        <x:f>SUMIFS('Base'!$E$7:$E$2256,'Base'!$C$7:$C$2256,A19,'Base'!$I$7:$I$2256,2023)</x:f>
        <x:v>4635</x:v>
      </x:c>
      <x:c r="F19" s="11" t="n">
        <x:f>SUMIFS('Base'!$E$7:$E$2256,'Base'!$C$7:$C$2256,A19,'Base'!$I$7:$I$2256,2024)</x:f>
        <x:v>5114</x:v>
      </x:c>
      <x:c r="G19" s="22" t="n">
        <x:f>F19/E19-1</x:f>
        <x:v>0.1033441208198489</x:v>
      </x:c>
      <x:c r="H19" s="22" t="n">
        <x:f>COUNTIFS('Base'!$C$7:$C$2256,A19,'Base'!$I$7:$I$2256,2024)/COUNTIFS('Base'!$C$7:$C$2256,A19,'Base'!$I$7:$I$2256,2023)-1</x:f>
        <x:v>0.03409090909090917</x:v>
      </x:c>
      <x:c r="I19" s="12" t="n">
        <x:f>SUMIFS('Base'!$G$7:$G$2256,'Base'!$C$7:$C$2256,A19)/COUNTIFS('Base'!$C$7:$C$2256,A19)</x:f>
        <x:v>3016.6739944134074</x:v>
      </x:c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2" customHeight="1">
      <x:c r="A20" s="2" t="str">
        <x:v>Colômbia</x:v>
      </x:c>
      <x:c r="B20" s="12" t="n">
        <x:f>SUMIFS('Base'!$G$7:$G$2256,'Base'!$C$7:$C$2256,A20,'Base'!$I$7:$I$2256,2023)</x:f>
        <x:v>447539.98000000016</x:v>
      </x:c>
      <x:c r="C20" s="12" t="n">
        <x:f>SUMIFS('Base'!$G$7:$G$2256,'Base'!$C$7:$C$2256,A20,'Base'!$I$7:$I$2256,2024)</x:f>
        <x:v>543187.45</x:v>
      </x:c>
      <x:c r="D20" s="22" t="n">
        <x:f>C20/B20-1</x:f>
        <x:v>0.21371826937115146</x:v>
      </x:c>
      <x:c r="E20" s="11" t="n">
        <x:f>SUMIFS('Base'!$E$7:$E$2256,'Base'!$C$7:$C$2256,A20,'Base'!$I$7:$I$2256,2023)</x:f>
        <x:v>4220</x:v>
      </x:c>
      <x:c r="F20" s="11" t="n">
        <x:f>SUMIFS('Base'!$E$7:$E$2256,'Base'!$C$7:$C$2256,A20,'Base'!$I$7:$I$2256,2024)</x:f>
        <x:v>5024</x:v>
      </x:c>
      <x:c r="G20" s="22" t="n">
        <x:f>F20/E20-1</x:f>
        <x:v>0.1905213270142181</x:v>
      </x:c>
      <x:c r="H20" s="22" t="n">
        <x:f>COUNTIFS('Base'!$C$7:$C$2256,A20,'Base'!$I$7:$I$2256,2024)/COUNTIFS('Base'!$C$7:$C$2256,A20,'Base'!$I$7:$I$2256,2023)-1</x:f>
        <x:v>0.12643678160919536</x:v>
      </x:c>
      <x:c r="I20" s="12" t="n">
        <x:f>SUMIFS('Base'!$G$7:$G$2256,'Base'!$C$7:$C$2256,A20)/COUNTIFS('Base'!$C$7:$C$2256,A20)</x:f>
        <x:v>2677.641702702703</x:v>
      </x:c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2" customHeight="1">
      <x:c r="A21" s="2" t="str">
        <x:v>Argentina</x:v>
      </x:c>
      <x:c r="B21" s="12" t="n">
        <x:f>SUMIFS('Base'!$G$7:$G$2256,'Base'!$C$7:$C$2256,A21,'Base'!$I$7:$I$2256,2023)</x:f>
        <x:v>444785.4499999998</x:v>
      </x:c>
      <x:c r="C21" s="12" t="n">
        <x:f>SUMIFS('Base'!$G$7:$G$2256,'Base'!$C$7:$C$2256,A21,'Base'!$I$7:$I$2256,2024)</x:f>
        <x:v>529742.4800000001</x:v>
      </x:c>
      <x:c r="D21" s="22" t="n">
        <x:f>C21/B21-1</x:f>
        <x:v>0.19100676517183812</x:v>
      </x:c>
      <x:c r="E21" s="11" t="n">
        <x:f>SUMIFS('Base'!$E$7:$E$2256,'Base'!$C$7:$C$2256,A21,'Base'!$I$7:$I$2256,2023)</x:f>
        <x:v>4246</x:v>
      </x:c>
      <x:c r="F21" s="11" t="n">
        <x:f>SUMIFS('Base'!$E$7:$E$2256,'Base'!$C$7:$C$2256,A21,'Base'!$I$7:$I$2256,2024)</x:f>
        <x:v>4727</x:v>
      </x:c>
      <x:c r="G21" s="22" t="n">
        <x:f>F21/E21-1</x:f>
        <x:v>0.11328308996702785</x:v>
      </x:c>
      <x:c r="H21" s="22" t="n">
        <x:f>COUNTIFS('Base'!$C$7:$C$2256,A21,'Base'!$I$7:$I$2256,2024)/COUNTIFS('Base'!$C$7:$C$2256,A21,'Base'!$I$7:$I$2256,2023)-1</x:f>
        <x:v>0.08379888268156432</x:v>
      </x:c>
      <x:c r="I21" s="12" t="n">
        <x:f>SUMIFS('Base'!$G$7:$G$2256,'Base'!$C$7:$C$2256,A21)/COUNTIFS('Base'!$C$7:$C$2256,A21)</x:f>
        <x:v>2612.6754155496</x:v>
      </x:c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2" customHeight="1">
      <x:c r="A22" s="2" t="str">
        <x:v>México</x:v>
      </x:c>
      <x:c r="B22" s="12" t="n">
        <x:f>SUMIFS('Base'!$G$7:$G$2256,'Base'!$C$7:$C$2256,A22,'Base'!$I$7:$I$2256,2023)</x:f>
        <x:v>517479.6500000002</x:v>
      </x:c>
      <x:c r="C22" s="12" t="n">
        <x:f>SUMIFS('Base'!$G$7:$G$2256,'Base'!$C$7:$C$2256,A22,'Base'!$I$7:$I$2256,2024)</x:f>
        <x:v>538793.7800000001</x:v>
      </x:c>
      <x:c r="D22" s="22" t="n">
        <x:f>C22/B22-1</x:f>
        <x:v>0.04118834431460239</x:v>
      </x:c>
      <x:c r="E22" s="11" t="n">
        <x:f>SUMIFS('Base'!$E$7:$E$2256,'Base'!$C$7:$C$2256,A22,'Base'!$I$7:$I$2256,2023)</x:f>
        <x:v>4483</x:v>
      </x:c>
      <x:c r="F22" s="11" t="n">
        <x:f>SUMIFS('Base'!$E$7:$E$2256,'Base'!$C$7:$C$2256,A22,'Base'!$I$7:$I$2256,2024)</x:f>
        <x:v>5220</x:v>
      </x:c>
      <x:c r="G22" s="22" t="n">
        <x:f>F22/E22-1</x:f>
        <x:v>0.16439884006245808</x:v>
      </x:c>
      <x:c r="H22" s="22" t="n">
        <x:f>COUNTIFS('Base'!$C$7:$C$2256,A22,'Base'!$I$7:$I$2256,2024)/COUNTIFS('Base'!$C$7:$C$2256,A22,'Base'!$I$7:$I$2256,2023)-1</x:f>
        <x:v>0.1333333333333333</x:v>
      </x:c>
      <x:c r="I22" s="12" t="n">
        <x:f>SUMIFS('Base'!$G$7:$G$2256,'Base'!$C$7:$C$2256,A22)/COUNTIFS('Base'!$C$7:$C$2256,A22)</x:f>
        <x:v>2750.712057291667</x:v>
      </x:c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2" customHeight="1">
      <x:c r="A23" s="2" t="str">
        <x:v>Brasil</x:v>
      </x:c>
      <x:c r="B23" s="12" t="n">
        <x:f>SUMIFS('Base'!$G$7:$G$2256,'Base'!$C$7:$C$2256,A23,'Base'!$I$7:$I$2256,2023)</x:f>
        <x:v>546382.24</x:v>
      </x:c>
      <x:c r="C23" s="12" t="n">
        <x:f>SUMIFS('Base'!$G$7:$G$2256,'Base'!$C$7:$C$2256,A23,'Base'!$I$7:$I$2256,2024)</x:f>
        <x:v>558878.0200000004</x:v>
      </x:c>
      <x:c r="D23" s="22" t="n">
        <x:f>C23/B23-1</x:f>
        <x:v>0.02287003325730419</x:v>
      </x:c>
      <x:c r="E23" s="11" t="n">
        <x:f>SUMIFS('Base'!$E$7:$E$2256,'Base'!$C$7:$C$2256,A23,'Base'!$I$7:$I$2256,2023)</x:f>
        <x:v>5023</x:v>
      </x:c>
      <x:c r="F23" s="11" t="n">
        <x:f>SUMIFS('Base'!$E$7:$E$2256,'Base'!$C$7:$C$2256,A23,'Base'!$I$7:$I$2256,2024)</x:f>
        <x:v>4801</x:v>
      </x:c>
      <x:c r="G23" s="22" t="n">
        <x:f>F23/E23-1</x:f>
        <x:v>-0.04419669520207048</x:v>
      </x:c>
      <x:c r="H23" s="22" t="n">
        <x:f>COUNTIFS('Base'!$C$7:$C$2256,A23,'Base'!$I$7:$I$2256,2024)/COUNTIFS('Base'!$C$7:$C$2256,A23,'Base'!$I$7:$I$2256,2023)-1</x:f>
        <x:v>-0.015075376884422065</x:v>
      </x:c>
      <x:c r="I23" s="12" t="n">
        <x:f>SUMIFS('Base'!$G$7:$G$2256,'Base'!$C$7:$C$2256,A23)/COUNTIFS('Base'!$C$7:$C$2256,A23)</x:f>
        <x:v>2798.127240506331</x:v>
      </x:c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2" customHeight="1">
      <x:c r="A24" s="2" t="str">
        <x:v>Peru</x:v>
      </x:c>
      <x:c r="B24" s="12" t="n">
        <x:f>SUMIFS('Base'!$G$7:$G$2256,'Base'!$C$7:$C$2256,A24,'Base'!$I$7:$I$2256,2023)</x:f>
        <x:v>506324.48000000016</x:v>
      </x:c>
      <x:c r="C24" s="12" t="n">
        <x:f>SUMIFS('Base'!$G$7:$G$2256,'Base'!$C$7:$C$2256,A24,'Base'!$I$7:$I$2256,2024)</x:f>
        <x:v>517213.3999999999</x:v>
      </x:c>
      <x:c r="D24" s="22" t="n">
        <x:f>C24/B24-1</x:f>
        <x:v>0.021505813821207642</x:v>
      </x:c>
      <x:c r="E24" s="11" t="n">
        <x:f>SUMIFS('Base'!$E$7:$E$2256,'Base'!$C$7:$C$2256,A24,'Base'!$I$7:$I$2256,2023)</x:f>
        <x:v>4754</x:v>
      </x:c>
      <x:c r="F24" s="11" t="n">
        <x:f>SUMIFS('Base'!$E$7:$E$2256,'Base'!$C$7:$C$2256,A24,'Base'!$I$7:$I$2256,2024)</x:f>
        <x:v>4535</x:v>
      </x:c>
      <x:c r="G24" s="22" t="n">
        <x:f>F24/E24-1</x:f>
        <x:v>-0.04606647034076572</x:v>
      </x:c>
      <x:c r="H24" s="22" t="n">
        <x:f>COUNTIFS('Base'!$C$7:$C$2256,A24,'Base'!$I$7:$I$2256,2024)/COUNTIFS('Base'!$C$7:$C$2256,A24,'Base'!$I$7:$I$2256,2023)-1</x:f>
        <x:v>-0.010752688172043001</x:v>
      </x:c>
      <x:c r="I24" s="12" t="n">
        <x:f>SUMIFS('Base'!$G$7:$G$2256,'Base'!$C$7:$C$2256,A24)/COUNTIFS('Base'!$C$7:$C$2256,A24)</x:f>
        <x:v>2766.3185945945934</x:v>
      </x:c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38" customHeight="1">
      <x:c r="A28" s="9" t="str">
        <x:v>Mercado</x:v>
      </x:c>
      <x:c r="B28" s="9" t="str">
        <x:v>Recomendação do trabalho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2" customHeight="1">
      <x:c r="A29" s="2" t="str">
        <x:v>Chile e Colômbia</x:v>
      </x:c>
      <x:c r="B29" s="2" t="str">
        <x:v>Priorizar pilotos de expansão e medir margem e capacidade logística.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2" customHeight="1">
      <x:c r="A30" s="2" t="str">
        <x:v>Argentina</x:v>
      </x:c>
      <x:c r="B30" s="2" t="str">
        <x:v>Alternativa de segunda prioridade, após avaliação de viabilidade.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2" customHeight="1">
      <x:c r="A31" s="2" t="str">
        <x:v>México</x:v>
      </x:c>
      <x:c r="B31" s="2" t="str">
        <x:v>Examinar preço médio e composição das vendas antes de ampliar.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2" customHeight="1">
      <x:c r="A32" s="2" t="str">
        <x:v>Brasil e Peru</x:v>
      </x:c>
      <x:c r="B32" s="2" t="str">
        <x:v>Investigar retração das unidades e recuperar volume.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2" customHeight="1">
      <x:c r="A35" s="5" t="str">
        <x:v>Lucro indisponível: a base não contém custos, tributos e despesas por mercado.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38" customHeight="1">
      <x:c r="A39" s="9" t="str">
        <x:v>Mercado</x:v>
      </x:c>
      <x:c r="B39" s="9" t="str">
        <x:v>Faturamento (R$)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2" customHeight="1">
      <x:c r="A40" s="2" t="str">
        <x:v>Brasil</x:v>
      </x:c>
      <x:c r="B40" s="12" t="n">
        <x:f>D7</x:f>
        <x:v>1105260.2600000007</x:v>
      </x:c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2" customHeight="1">
      <x:c r="A41" s="2" t="str">
        <x:v>Chile</x:v>
      </x:c>
      <x:c r="B41" s="12" t="n">
        <x:f>D12</x:f>
        <x:v>1079969.2899999998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2" customHeight="1">
      <x:c r="A42" s="2" t="str">
        <x:v>México</x:v>
      </x:c>
      <x:c r="B42" s="12" t="n">
        <x:f>D8</x:f>
        <x:v>1056273.4300000002</x:v>
      </x:c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2" customHeight="1">
      <x:c r="A43" s="2" t="str">
        <x:v>Peru</x:v>
      </x:c>
      <x:c r="B43" s="12" t="n">
        <x:f>D11</x:f>
        <x:v>1023537.8799999995</x:v>
      </x:c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2" customHeight="1">
      <x:c r="A44" s="2" t="str">
        <x:v>Colômbia</x:v>
      </x:c>
      <x:c r="B44" s="12" t="n">
        <x:f>D10</x:f>
        <x:v>990727.43</x:v>
      </x:c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2" customHeight="1">
      <x:c r="A45" s="2" t="str">
        <x:v>Argentina</x:v>
      </x:c>
      <x:c r="B45" s="12" t="n">
        <x:f>D9</x:f>
        <x:v>974527.9300000007</x:v>
      </x:c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</x:sheetData>
  <x:pageMargins left="0.7" right="0.7" top="0.75" bottom="0.75" header="0.3" footer="0.3"/>
  <x:drawing xmlns:r="http://schemas.openxmlformats.org/officeDocument/2006/relationships" r:id="R3f7a381e0add489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1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" customHeight="1">
      <x:c r="A2" s="3" t="str">
        <x:v>Categorias, estoque médio e evolução das vendas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22" customHeight="1">
      <x:c r="A4" s="5" t="str">
        <x:v>Acumulado de 2023 e 2024. Participações usam o total correspondente.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</x:row>
    <x:row r="6" ht="38" customHeight="1">
      <x:c r="A6" s="9" t="str">
        <x:v>Categoria</x:v>
      </x:c>
      <x:c r="B6" s="9" t="str">
        <x:v>Pedidos</x:v>
      </x:c>
      <x:c r="C6" s="9" t="str">
        <x:v>Part. pedidos</x:v>
      </x:c>
      <x:c r="D6" s="9" t="str">
        <x:v>Unidades</x:v>
      </x:c>
      <x:c r="E6" s="9" t="str">
        <x:v>Part. unidades</x:v>
      </x:c>
      <x:c r="F6" s="9" t="str">
        <x:v>Faturamento (R$)</x:v>
      </x:c>
      <x:c r="G6" s="9" t="str">
        <x:v>Part. receita</x:v>
      </x:c>
      <x:c r="H6" s="9" t="str">
        <x:v>Estoque médio (un.)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</x:row>
    <x:row r="7" ht="22" customHeight="1">
      <x:c r="A7" s="2" t="str">
        <x:v>Acessórios</x:v>
      </x:c>
      <x:c r="B7" s="11" t="n">
        <x:f>COUNTIFS('Base'!$D$7:$D$2256,A7)</x:f>
        <x:v>469</x:v>
      </x:c>
      <x:c r="C7" s="22" t="n">
        <x:f>B7/'Mensal'!$B$38</x:f>
        <x:v>0.20844444444444443</x:v>
      </x:c>
      <x:c r="D7" s="11" t="n">
        <x:f>SUMIFS('Base'!$E$7:$E$2256,'Base'!$D$7:$D$2256,A7)</x:f>
        <x:v>12239</x:v>
      </x:c>
      <x:c r="E7" s="22" t="n">
        <x:f>D7/'Mensal'!$C$38</x:f>
        <x:v>0.21554365820154275</x:v>
      </x:c>
      <x:c r="F7" s="12" t="n">
        <x:f>SUMIFS('Base'!$G$7:$G$2256,'Base'!$D$7:$D$2256,A7)</x:f>
        <x:v>1389210.5100000002</x:v>
      </x:c>
      <x:c r="G7" s="22" t="n">
        <x:f>F7/'Mensal'!$D$38</x:f>
        <x:v>0.2229766388218376</x:v>
      </x:c>
      <x:c r="H7" s="24" t="n">
        <x:f>AVERAGEIFS('Base'!$H$7:$H$2256,'Base'!$D$7:$D$2256,A7)</x:f>
        <x:v>276.97441364605544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</x:row>
    <x:row r="8" ht="22" customHeight="1">
      <x:c r="A8" s="2" t="str">
        <x:v>Moda Feminina</x:v>
      </x:c>
      <x:c r="B8" s="11" t="n">
        <x:f>COUNTIFS('Base'!$D$7:$D$2256,A8)</x:f>
        <x:v>460</x:v>
      </x:c>
      <x:c r="C8" s="22" t="n">
        <x:f>B8/'Mensal'!$B$38</x:f>
        <x:v>0.20444444444444446</x:v>
      </x:c>
      <x:c r="D8" s="11" t="n">
        <x:f>SUMIFS('Base'!$E$7:$E$2256,'Base'!$D$7:$D$2256,A8)</x:f>
        <x:v>11549</x:v>
      </x:c>
      <x:c r="E8" s="22" t="n">
        <x:f>D8/'Mensal'!$C$38</x:f>
        <x:v>0.20339191997463985</x:v>
      </x:c>
      <x:c r="F8" s="12" t="n">
        <x:f>SUMIFS('Base'!$G$7:$G$2256,'Base'!$D$7:$D$2256,A8)</x:f>
        <x:v>1262238.3299999994</x:v>
      </x:c>
      <x:c r="G8" s="22" t="n">
        <x:f>F8/'Mensal'!$D$38</x:f>
        <x:v>0.20259684057205216</x:v>
      </x:c>
      <x:c r="H8" s="24" t="n">
        <x:f>AVERAGEIFS('Base'!$H$7:$H$2256,'Base'!$D$7:$D$2256,A8)</x:f>
        <x:v>275.0413043478261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</x:row>
    <x:row r="9" ht="22" customHeight="1">
      <x:c r="A9" s="2" t="str">
        <x:v>Calçados</x:v>
      </x:c>
      <x:c r="B9" s="11" t="n">
        <x:f>COUNTIFS('Base'!$D$7:$D$2256,A9)</x:f>
        <x:v>456</x:v>
      </x:c>
      <x:c r="C9" s="22" t="n">
        <x:f>B9/'Mensal'!$B$38</x:f>
        <x:v>0.20266666666666666</x:v>
      </x:c>
      <x:c r="D9" s="11" t="n">
        <x:f>SUMIFS('Base'!$E$7:$E$2256,'Base'!$D$7:$D$2256,A9)</x:f>
        <x:v>11252</x:v>
      </x:c>
      <x:c r="E9" s="22" t="n">
        <x:f>D9/'Mensal'!$C$38</x:f>
        <x:v>0.19816138917262513</x:v>
      </x:c>
      <x:c r="F9" s="12" t="n">
        <x:f>SUMIFS('Base'!$G$7:$G$2256,'Base'!$D$7:$D$2256,A9)</x:f>
        <x:v>1227524.5899999996</x:v>
      </x:c>
      <x:c r="G9" s="22" t="n">
        <x:f>F9/'Mensal'!$D$38</x:f>
        <x:v>0.19702507660221644</x:v>
      </x:c>
      <x:c r="H9" s="24" t="n">
        <x:f>AVERAGEIFS('Base'!$H$7:$H$2256,'Base'!$D$7:$D$2256,A9)</x:f>
        <x:v>277.4342105263158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</x:row>
    <x:row r="10" ht="22" customHeight="1">
      <x:c r="A10" s="2" t="str">
        <x:v>Moda Infantil</x:v>
      </x:c>
      <x:c r="B10" s="11" t="n">
        <x:f>COUNTIFS('Base'!$D$7:$D$2256,A10)</x:f>
        <x:v>442</x:v>
      </x:c>
      <x:c r="C10" s="22" t="n">
        <x:f>B10/'Mensal'!$B$38</x:f>
        <x:v>0.19644444444444445</x:v>
      </x:c>
      <x:c r="D10" s="11" t="n">
        <x:f>SUMIFS('Base'!$E$7:$E$2256,'Base'!$D$7:$D$2256,A10)</x:f>
        <x:v>10822</x:v>
      </x:c>
      <x:c r="E10" s="22" t="n">
        <x:f>D10/'Mensal'!$C$38</x:f>
        <x:v>0.1905885667993378</x:v>
      </x:c>
      <x:c r="F10" s="12" t="n">
        <x:f>SUMIFS('Base'!$G$7:$G$2256,'Base'!$D$7:$D$2256,A10)</x:f>
        <x:v>1210814.3100000012</x:v>
      </x:c>
      <x:c r="G10" s="22" t="n">
        <x:f>F10/'Mensal'!$D$38</x:f>
        <x:v>0.19434297619961335</x:v>
      </x:c>
      <x:c r="H10" s="24" t="n">
        <x:f>AVERAGEIFS('Base'!$H$7:$H$2256,'Base'!$D$7:$D$2256,A10)</x:f>
        <x:v>276.1990950226244</x:v>
      </x:c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</x:row>
    <x:row r="11" ht="22" customHeight="1">
      <x:c r="A11" s="2" t="str">
        <x:v>Moda Masculina</x:v>
      </x:c>
      <x:c r="B11" s="11" t="n">
        <x:f>COUNTIFS('Base'!$D$7:$D$2256,A11)</x:f>
        <x:v>423</x:v>
      </x:c>
      <x:c r="C11" s="22" t="n">
        <x:f>B11/'Mensal'!$B$38</x:f>
        <x:v>0.188</x:v>
      </x:c>
      <x:c r="D11" s="11" t="n">
        <x:f>SUMIFS('Base'!$E$7:$E$2256,'Base'!$D$7:$D$2256,A11)</x:f>
        <x:v>10920</x:v>
      </x:c>
      <x:c r="E11" s="22" t="n">
        <x:f>D11/'Mensal'!$C$38</x:f>
        <x:v>0.19231446585185447</x:v>
      </x:c>
      <x:c r="F11" s="12" t="n">
        <x:f>SUMIFS('Base'!$G$7:$G$2256,'Base'!$D$7:$D$2256,A11)</x:f>
        <x:v>1140508.4799999997</x:v>
      </x:c>
      <x:c r="G11" s="22" t="n">
        <x:f>F11/'Mensal'!$D$38</x:f>
        <x:v>0.18305846780428037</x:v>
      </x:c>
      <x:c r="H11" s="24" t="n">
        <x:f>AVERAGEIFS('Base'!$H$7:$H$2256,'Base'!$D$7:$D$2256,A11)</x:f>
        <x:v>272.02836879432624</x:v>
      </x:c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</x:row>
    <x:row r="12" ht="22" customHeight="1">
      <x:c r="A12" s="18" t="str">
        <x:v>Total / média geral</x:v>
      </x:c>
      <x:c r="B12" s="20" t="n">
        <x:f>SUM(B7:B11)</x:f>
        <x:v>2250</x:v>
      </x:c>
      <x:c r="C12" s="23" t="n">
        <x:f>SUM(C7:C11)</x:f>
        <x:v>1</x:v>
      </x:c>
      <x:c r="D12" s="20" t="n">
        <x:f>SUM(D7:D11)</x:f>
        <x:v>56782</x:v>
      </x:c>
      <x:c r="E12" s="23" t="n">
        <x:f>SUM(E7:E11)</x:f>
        <x:v>1</x:v>
      </x:c>
      <x:c r="F12" s="21" t="n">
        <x:f>SUM(F7:F11)</x:f>
        <x:v>6230296.220000001</x:v>
      </x:c>
      <x:c r="G12" s="23" t="n">
        <x:f>SUM(G7:G11)</x:f>
        <x:v>1</x:v>
      </x:c>
      <x:c r="H12" s="25" t="n">
        <x:f>AVERAGE('Base'!$H$7:$H$2256)</x:f>
        <x:v>275.5902222222222</x:v>
      </x:c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38" customHeight="1">
      <x:c r="A17" s="9" t="str">
        <x:v>Categoria</x:v>
      </x:c>
      <x:c r="B17" s="9" t="str">
        <x:v>Registros</x:v>
      </x:c>
      <x:c r="C17" s="9" t="str">
        <x:v>Estoque médio (un.)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22" customHeight="1">
      <x:c r="A18" s="2" t="str">
        <x:v>Calçados</x:v>
      </x:c>
      <x:c r="B18" s="11" t="n">
        <x:f>B9</x:f>
        <x:v>456</x:v>
      </x:c>
      <x:c r="C18" s="24" t="n">
        <x:f>H9</x:f>
        <x:v>277.4342105263158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22" customHeight="1">
      <x:c r="A19" s="2" t="str">
        <x:v>Acessórios</x:v>
      </x:c>
      <x:c r="B19" s="11" t="n">
        <x:f>B7</x:f>
        <x:v>469</x:v>
      </x:c>
      <x:c r="C19" s="24" t="n">
        <x:f>H7</x:f>
        <x:v>276.97441364605544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22" customHeight="1">
      <x:c r="A20" s="2" t="str">
        <x:v>Moda Infantil</x:v>
      </x:c>
      <x:c r="B20" s="11" t="n">
        <x:f>B10</x:f>
        <x:v>442</x:v>
      </x:c>
      <x:c r="C20" s="24" t="n">
        <x:f>H10</x:f>
        <x:v>276.1990950226244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22" customHeight="1">
      <x:c r="A21" s="2" t="str">
        <x:v>Moda Feminina</x:v>
      </x:c>
      <x:c r="B21" s="11" t="n">
        <x:f>B8</x:f>
        <x:v>460</x:v>
      </x:c>
      <x:c r="C21" s="24" t="n">
        <x:f>H8</x:f>
        <x:v>275.0413043478261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22" customHeight="1">
      <x:c r="A22" s="2" t="str">
        <x:v>Moda Masculina</x:v>
      </x:c>
      <x:c r="B22" s="11" t="n">
        <x:f>B11</x:f>
        <x:v>423</x:v>
      </x:c>
      <x:c r="C22" s="24" t="n">
        <x:f>H11</x:f>
        <x:v>272.02836879432624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22" customHeight="1">
      <x:c r="A24" s="5" t="str">
        <x:v>A média não é saldo consolidado. Não permite calcular cobertura, giro ou ruptura de estoque.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22" customHeight="1">
      <x:c r="A26" s="2" t="str">
        <x:v>Diferença maior–menor média</x:v>
      </x:c>
      <x:c r="B26" s="2"/>
      <x:c r="C26" s="24" t="n">
        <x:f>MAX(H7:H11)-MIN(H7:H11)</x:f>
        <x:v>5.40584173198954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38" customHeight="1">
      <x:c r="A28" s="9" t="str">
        <x:v>Categoria</x:v>
      </x:c>
      <x:c r="B28" s="9" t="str">
        <x:v>Unid. 2023</x:v>
      </x:c>
      <x:c r="C28" s="9" t="str">
        <x:v>Unid. 2024</x:v>
      </x:c>
      <x:c r="D28" s="9" t="str">
        <x:v>Var. unidades</x:v>
      </x:c>
      <x:c r="E28" s="9" t="str">
        <x:v>Receita 2023 (R$)</x:v>
      </x:c>
      <x:c r="F28" s="9" t="str">
        <x:v>Receita 2024 (R$)</x:v>
      </x:c>
      <x:c r="G28" s="9" t="str">
        <x:v>Var. receita</x:v>
      </x:c>
      <x:c r="H28" s="9" t="str">
        <x:v>Unid. T3/2024</x:v>
      </x:c>
      <x:c r="I28" s="9" t="str">
        <x:v>Unid. T4/2024</x:v>
      </x:c>
      <x:c r="J28" s="9" t="str">
        <x:v>Var. T4/T3</x:v>
      </x:c>
      <x:c r="K28" s="2"/>
      <x:c r="L28" s="2"/>
      <x:c r="M28" s="2"/>
      <x:c r="N28" s="2"/>
      <x:c r="O28" s="2"/>
      <x:c r="P28" s="2"/>
      <x:c r="Q28" s="2"/>
      <x:c r="R28" s="2"/>
      <x:c r="S28" s="2"/>
    </x:row>
    <x:row r="29" ht="22" customHeight="1">
      <x:c r="A29" s="2" t="str">
        <x:v>Moda Feminina</x:v>
      </x:c>
      <x:c r="B29" s="11" t="n">
        <x:f>SUMIFS('Base'!$E$7:$E$2256,'Base'!$D$7:$D$2256,A29,'Base'!$I$7:$I$2256,2023)</x:f>
        <x:v>5210</x:v>
      </x:c>
      <x:c r="C29" s="11" t="n">
        <x:f>SUMIFS('Base'!$E$7:$E$2256,'Base'!$D$7:$D$2256,A29,'Base'!$I$7:$I$2256,2024)</x:f>
        <x:v>6339</x:v>
      </x:c>
      <x:c r="D29" s="22" t="n">
        <x:f>C29/B29-1</x:f>
        <x:v>0.21669865642994246</x:v>
      </x:c>
      <x:c r="E29" s="12" t="n">
        <x:f>SUMIFS('Base'!$G$7:$G$2256,'Base'!$D$7:$D$2256,A29,'Base'!$I$7:$I$2256,2023)</x:f>
        <x:v>542910.8499999999</x:v>
      </x:c>
      <x:c r="F29" s="12" t="n">
        <x:f>SUMIFS('Base'!$G$7:$G$2256,'Base'!$D$7:$D$2256,A29,'Base'!$I$7:$I$2256,2024)</x:f>
        <x:v>719327.4800000004</x:v>
      </x:c>
      <x:c r="G29" s="22" t="n">
        <x:f>F29/E29-1</x:f>
        <x:v>0.3249458543700141</x:v>
      </x:c>
      <x:c r="H29" s="11" t="n">
        <x:f>SUMIFS('Base'!$E$7:$E$2256,'Base'!$D$7:$D$2256,A29,'Base'!$I$7:$I$2256,2024,'Base'!$J$7:$J$2256,"&gt;=7",'Base'!$J$7:$J$2256,"&lt;=9")</x:f>
        <x:v>1557</x:v>
      </x:c>
      <x:c r="I29" s="11" t="n">
        <x:f>SUMIFS('Base'!$E$7:$E$2256,'Base'!$D$7:$D$2256,A29,'Base'!$I$7:$I$2256,2024,'Base'!$J$7:$J$2256,"&gt;=10",'Base'!$J$7:$J$2256,"&lt;=12")</x:f>
        <x:v>1989</x:v>
      </x:c>
      <x:c r="J29" s="22" t="n">
        <x:f>I29/H29-1</x:f>
        <x:v>0.277456647398844</x:v>
      </x:c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22" customHeight="1">
      <x:c r="A30" s="2" t="str">
        <x:v>Calçados</x:v>
      </x:c>
      <x:c r="B30" s="11" t="n">
        <x:f>SUMIFS('Base'!$E$7:$E$2256,'Base'!$D$7:$D$2256,A30,'Base'!$I$7:$I$2256,2023)</x:f>
        <x:v>5283</x:v>
      </x:c>
      <x:c r="C30" s="11" t="n">
        <x:f>SUMIFS('Base'!$E$7:$E$2256,'Base'!$D$7:$D$2256,A30,'Base'!$I$7:$I$2256,2024)</x:f>
        <x:v>5969</x:v>
      </x:c>
      <x:c r="D30" s="22" t="n">
        <x:f>C30/B30-1</x:f>
        <x:v>0.1298504637516562</x:v>
      </x:c>
      <x:c r="E30" s="12" t="n">
        <x:f>SUMIFS('Base'!$G$7:$G$2256,'Base'!$D$7:$D$2256,A30,'Base'!$I$7:$I$2256,2023)</x:f>
        <x:v>583748.8400000001</x:v>
      </x:c>
      <x:c r="F30" s="12" t="n">
        <x:f>SUMIFS('Base'!$G$7:$G$2256,'Base'!$D$7:$D$2256,A30,'Base'!$I$7:$I$2256,2024)</x:f>
        <x:v>643775.7499999997</x:v>
      </x:c>
      <x:c r="G30" s="22" t="n">
        <x:f>F30/E30-1</x:f>
        <x:v>0.102830028750035</x:v>
      </x:c>
      <x:c r="H30" s="11" t="n">
        <x:f>SUMIFS('Base'!$E$7:$E$2256,'Base'!$D$7:$D$2256,A30,'Base'!$I$7:$I$2256,2024,'Base'!$J$7:$J$2256,"&gt;=7",'Base'!$J$7:$J$2256,"&lt;=9")</x:f>
        <x:v>1205</x:v>
      </x:c>
      <x:c r="I30" s="11" t="n">
        <x:f>SUMIFS('Base'!$E$7:$E$2256,'Base'!$D$7:$D$2256,A30,'Base'!$I$7:$I$2256,2024,'Base'!$J$7:$J$2256,"&gt;=10",'Base'!$J$7:$J$2256,"&lt;=12")</x:f>
        <x:v>1594</x:v>
      </x:c>
      <x:c r="J30" s="22" t="n">
        <x:f>I30/H30-1</x:f>
        <x:v>0.32282157676348544</x:v>
      </x:c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22" customHeight="1">
      <x:c r="A31" s="2" t="str">
        <x:v>Acessórios</x:v>
      </x:c>
      <x:c r="B31" s="11" t="n">
        <x:f>SUMIFS('Base'!$E$7:$E$2256,'Base'!$D$7:$D$2256,A31,'Base'!$I$7:$I$2256,2023)</x:f>
        <x:v>5779</x:v>
      </x:c>
      <x:c r="C31" s="11" t="n">
        <x:f>SUMIFS('Base'!$E$7:$E$2256,'Base'!$D$7:$D$2256,A31,'Base'!$I$7:$I$2256,2024)</x:f>
        <x:v>6460</x:v>
      </x:c>
      <x:c r="D31" s="22" t="n">
        <x:f>C31/B31-1</x:f>
        <x:v>0.11784045682644062</x:v>
      </x:c>
      <x:c r="E31" s="12" t="n">
        <x:f>SUMIFS('Base'!$G$7:$G$2256,'Base'!$D$7:$D$2256,A31,'Base'!$I$7:$I$2256,2023)</x:f>
        <x:v>641439.6100000005</x:v>
      </x:c>
      <x:c r="F31" s="12" t="n">
        <x:f>SUMIFS('Base'!$G$7:$G$2256,'Base'!$D$7:$D$2256,A31,'Base'!$I$7:$I$2256,2024)</x:f>
        <x:v>747770.9000000003</x:v>
      </x:c>
      <x:c r="G31" s="22" t="n">
        <x:f>F31/E31-1</x:f>
        <x:v>0.1657697596816632</x:v>
      </x:c>
      <x:c r="H31" s="11" t="n">
        <x:f>SUMIFS('Base'!$E$7:$E$2256,'Base'!$D$7:$D$2256,A31,'Base'!$I$7:$I$2256,2024,'Base'!$J$7:$J$2256,"&gt;=7",'Base'!$J$7:$J$2256,"&lt;=9")</x:f>
        <x:v>2084</x:v>
      </x:c>
      <x:c r="I31" s="11" t="n">
        <x:f>SUMIFS('Base'!$E$7:$E$2256,'Base'!$D$7:$D$2256,A31,'Base'!$I$7:$I$2256,2024,'Base'!$J$7:$J$2256,"&gt;=10",'Base'!$J$7:$J$2256,"&lt;=12")</x:f>
        <x:v>1691</x:v>
      </x:c>
      <x:c r="J31" s="22" t="n">
        <x:f>I31/H31-1</x:f>
        <x:v>-0.18857965451055658</x:v>
      </x:c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22" customHeight="1">
      <x:c r="A32" s="2" t="str">
        <x:v>Moda Infantil</x:v>
      </x:c>
      <x:c r="B32" s="11" t="n">
        <x:f>SUMIFS('Base'!$E$7:$E$2256,'Base'!$D$7:$D$2256,A32,'Base'!$I$7:$I$2256,2023)</x:f>
        <x:v>5396</x:v>
      </x:c>
      <x:c r="C32" s="11" t="n">
        <x:f>SUMIFS('Base'!$E$7:$E$2256,'Base'!$D$7:$D$2256,A32,'Base'!$I$7:$I$2256,2024)</x:f>
        <x:v>5426</x:v>
      </x:c>
      <x:c r="D32" s="22" t="n">
        <x:f>C32/B32-1</x:f>
        <x:v>0.005559673832468581</x:v>
      </x:c>
      <x:c r="E32" s="12" t="n">
        <x:f>SUMIFS('Base'!$G$7:$G$2256,'Base'!$D$7:$D$2256,A32,'Base'!$I$7:$I$2256,2023)</x:f>
        <x:v>591851.7900000004</x:v>
      </x:c>
      <x:c r="F32" s="12" t="n">
        <x:f>SUMIFS('Base'!$G$7:$G$2256,'Base'!$D$7:$D$2256,A32,'Base'!$I$7:$I$2256,2024)</x:f>
        <x:v>618962.5200000003</x:v>
      </x:c>
      <x:c r="G32" s="22" t="n">
        <x:f>F32/E32-1</x:f>
        <x:v>0.04580661993097945</x:v>
      </x:c>
      <x:c r="H32" s="11" t="n">
        <x:f>SUMIFS('Base'!$E$7:$E$2256,'Base'!$D$7:$D$2256,A32,'Base'!$I$7:$I$2256,2024,'Base'!$J$7:$J$2256,"&gt;=7",'Base'!$J$7:$J$2256,"&lt;=9")</x:f>
        <x:v>1228</x:v>
      </x:c>
      <x:c r="I32" s="11" t="n">
        <x:f>SUMIFS('Base'!$E$7:$E$2256,'Base'!$D$7:$D$2256,A32,'Base'!$I$7:$I$2256,2024,'Base'!$J$7:$J$2256,"&gt;=10",'Base'!$J$7:$J$2256,"&lt;=12")</x:f>
        <x:v>1090</x:v>
      </x:c>
      <x:c r="J32" s="22" t="n">
        <x:f>I32/H32-1</x:f>
        <x:v>-0.1123778501628665</x:v>
      </x:c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22" customHeight="1">
      <x:c r="A33" s="2" t="str">
        <x:v>Moda Masculina</x:v>
      </x:c>
      <x:c r="B33" s="11" t="n">
        <x:f>SUMIFS('Base'!$E$7:$E$2256,'Base'!$D$7:$D$2256,A33,'Base'!$I$7:$I$2256,2023)</x:f>
        <x:v>5693</x:v>
      </x:c>
      <x:c r="C33" s="11" t="n">
        <x:f>SUMIFS('Base'!$E$7:$E$2256,'Base'!$D$7:$D$2256,A33,'Base'!$I$7:$I$2256,2024)</x:f>
        <x:v>5227</x:v>
      </x:c>
      <x:c r="D33" s="22" t="n">
        <x:f>C33/B33-1</x:f>
        <x:v>-0.08185490953802921</x:v>
      </x:c>
      <x:c r="E33" s="12" t="n">
        <x:f>SUMIFS('Base'!$G$7:$G$2256,'Base'!$D$7:$D$2256,A33,'Base'!$I$7:$I$2256,2023)</x:f>
        <x:v>605642.3799999998</x:v>
      </x:c>
      <x:c r="F33" s="12" t="n">
        <x:f>SUMIFS('Base'!$G$7:$G$2256,'Base'!$D$7:$D$2256,A33,'Base'!$I$7:$I$2256,2024)</x:f>
        <x:v>534866.0999999997</x:v>
      </x:c>
      <x:c r="G33" s="22" t="n">
        <x:f>F33/E33-1</x:f>
        <x:v>-0.1168615049693188</x:v>
      </x:c>
      <x:c r="H33" s="11" t="n">
        <x:f>SUMIFS('Base'!$E$7:$E$2256,'Base'!$D$7:$D$2256,A33,'Base'!$I$7:$I$2256,2024,'Base'!$J$7:$J$2256,"&gt;=7",'Base'!$J$7:$J$2256,"&lt;=9")</x:f>
        <x:v>1026</x:v>
      </x:c>
      <x:c r="I33" s="11" t="n">
        <x:f>SUMIFS('Base'!$E$7:$E$2256,'Base'!$D$7:$D$2256,A33,'Base'!$I$7:$I$2256,2024,'Base'!$J$7:$J$2256,"&gt;=10",'Base'!$J$7:$J$2256,"&lt;=12")</x:f>
        <x:v>1432</x:v>
      </x:c>
      <x:c r="J33" s="22" t="n">
        <x:f>I33/H33-1</x:f>
        <x:v>0.3957115009746588</x:v>
      </x:c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38" customHeight="1">
      <x:c r="A38" s="9" t="str">
        <x:v>Categoria</x:v>
      </x:c>
      <x:c r="B38" s="9" t="str">
        <x:v>Leitura do trabalho</x:v>
      </x:c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 ht="22" customHeight="1">
      <x:c r="A39" s="2" t="str">
        <x:v>Moda Feminina e Calçados</x:v>
      </x:c>
      <x:c r="B39" s="2" t="str">
        <x:v>Investigar disponibilidade e sortimento: crescimento anual e recente.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 ht="22" customHeight="1">
      <x:c r="A40" s="2" t="str">
        <x:v>Acessórios e Moda Infantil</x:v>
      </x:c>
      <x:c r="B40" s="2" t="str">
        <x:v>Acompanhar a retração das unidades entre T3 e T4 de 2024.</x:v>
      </x:c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 ht="22" customHeight="1">
      <x:c r="A41" s="2" t="str">
        <x:v>Moda Masculina</x:v>
      </x:c>
      <x:c r="B41" s="2" t="str">
        <x:v>Investigar queda anual e recuperação no último trimestre.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</x:row>
  </x:sheetData>
  <x:conditionalFormatting sqref="D29:D33">
    <x:cfRule type="cellIs" dxfId="0" priority="1" operator="lessThan">
      <x:formula>0</x:formula>
    </x:cfRule>
  </x:conditionalFormatting>
  <x:conditionalFormatting sqref="G29:G33">
    <x:cfRule type="cellIs" dxfId="1" priority="2" operator="lessThan">
      <x:formula>0</x:formula>
    </x:cfRule>
  </x:conditionalFormatting>
  <x:conditionalFormatting sqref="J29:J33">
    <x:cfRule type="cellIs" dxfId="2" priority="3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1a86c76e2eeb4c18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4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3" t="str">
        <x:v>Série mensal e comparação anual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2" customHeight="1">
      <x:c r="A4" s="5" t="str">
        <x:v>Histórico de janeiro de 2023 a dezembro de 2024.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38" customHeight="1">
      <x:c r="A6" s="9" t="str">
        <x:v>Mês</x:v>
      </x:c>
      <x:c r="B6" s="9" t="str">
        <x:v>Pedidos</x:v>
      </x:c>
      <x:c r="C6" s="9" t="str">
        <x:v>Unidades</x:v>
      </x:c>
      <x:c r="D6" s="9" t="str">
        <x:v>Faturamento (R$)</x:v>
      </x:c>
      <x:c r="E6" s="9" t="str">
        <x:v>Ticket médio (R$)</x:v>
      </x:c>
      <x:c r="F6" s="9" t="str">
        <x:v>Rótulo</x:v>
      </x:c>
      <x:c r="G6" s="2"/>
      <x:c r="H6" s="9" t="str">
        <x:v>Mês</x:v>
      </x:c>
      <x:c r="I6" s="9" t="str">
        <x:v>Receita 2023 (R$)</x:v>
      </x:c>
      <x:c r="J6" s="9" t="str">
        <x:v>Receita 2024 (R$)</x:v>
      </x:c>
      <x:c r="K6" s="9" t="str">
        <x:v>Unidades 2023</x:v>
      </x:c>
      <x:c r="L6" s="9" t="str">
        <x:v>Unidades 2024</x:v>
      </x:c>
      <x:c r="M6" s="2"/>
      <x:c r="N6" s="2"/>
      <x:c r="O6" s="2"/>
      <x:c r="P6" s="2"/>
      <x:c r="Q6" s="2"/>
    </x:row>
    <x:row r="7" ht="22" customHeight="1">
      <x:c r="A7" s="42" t="n">
        <x:v>44927</x:v>
      </x:c>
      <x:c r="B7" s="11" t="n">
        <x:f>COUNTIFS('Base'!$I$7:$I$2256,2023,'Base'!$J$7:$J$2256,1)</x:f>
        <x:v>72</x:v>
      </x:c>
      <x:c r="C7" s="11" t="n">
        <x:f>SUMIFS('Base'!$E$7:$E$2256,'Base'!$I$7:$I$2256,2023,'Base'!$J$7:$J$2256,1)</x:f>
        <x:v>1746</x:v>
      </x:c>
      <x:c r="D7" s="12" t="n">
        <x:f>SUMIFS('Base'!$G$7:$G$2256,'Base'!$I$7:$I$2256,2023,'Base'!$J$7:$J$2256,1)</x:f>
        <x:v>182694.1</x:v>
      </x:c>
      <x:c r="E7" s="12" t="n">
        <x:f>IF(B7=0,"n.a.",D7/B7)</x:f>
        <x:v>2537.418055555556</x:v>
      </x:c>
      <x:c r="F7" s="2" t="str">
        <x:v>jan/23</x:v>
      </x:c>
      <x:c r="G7" s="2"/>
      <x:c r="H7" s="2" t="str">
        <x:v>jan</x:v>
      </x:c>
      <x:c r="I7" s="12" t="n">
        <x:f>D7</x:f>
        <x:v>182694.1</x:v>
      </x:c>
      <x:c r="J7" s="12" t="n">
        <x:f>D19</x:f>
        <x:v>232748.03</x:v>
      </x:c>
      <x:c r="K7" s="11" t="n">
        <x:f>C7</x:f>
        <x:v>1746</x:v>
      </x:c>
      <x:c r="L7" s="11" t="n">
        <x:f>C19</x:f>
        <x:v>2003</x:v>
      </x:c>
      <x:c r="M7" s="2"/>
      <x:c r="N7" s="2"/>
      <x:c r="O7" s="2"/>
      <x:c r="P7" s="2"/>
      <x:c r="Q7" s="2"/>
    </x:row>
    <x:row r="8" ht="22" customHeight="1">
      <x:c r="A8" s="42" t="n">
        <x:v>44958</x:v>
      </x:c>
      <x:c r="B8" s="11" t="n">
        <x:f>COUNTIFS('Base'!$I$7:$I$2256,2023,'Base'!$J$7:$J$2256,2)</x:f>
        <x:v>98</x:v>
      </x:c>
      <x:c r="C8" s="11" t="n">
        <x:f>SUMIFS('Base'!$E$7:$E$2256,'Base'!$I$7:$I$2256,2023,'Base'!$J$7:$J$2256,2)</x:f>
        <x:v>2437</x:v>
      </x:c>
      <x:c r="D8" s="12" t="n">
        <x:f>SUMIFS('Base'!$G$7:$G$2256,'Base'!$I$7:$I$2256,2023,'Base'!$J$7:$J$2256,2)</x:f>
        <x:v>284875.38</x:v>
      </x:c>
      <x:c r="E8" s="12" t="n">
        <x:f>IF(B8=0,"n.a.",D8/B8)</x:f>
        <x:v>2906.891632653061</x:v>
      </x:c>
      <x:c r="F8" s="2" t="str">
        <x:v>fev/23</x:v>
      </x:c>
      <x:c r="G8" s="2"/>
      <x:c r="H8" s="2" t="str">
        <x:v>fev</x:v>
      </x:c>
      <x:c r="I8" s="12" t="n">
        <x:f>D8</x:f>
        <x:v>284875.38</x:v>
      </x:c>
      <x:c r="J8" s="12" t="n">
        <x:f>D20</x:f>
        <x:v>288305.54999999993</x:v>
      </x:c>
      <x:c r="K8" s="11" t="n">
        <x:f>C8</x:f>
        <x:v>2437</x:v>
      </x:c>
      <x:c r="L8" s="11" t="n">
        <x:f>C20</x:f>
        <x:v>2629</x:v>
      </x:c>
      <x:c r="M8" s="2"/>
      <x:c r="N8" s="2"/>
      <x:c r="O8" s="2"/>
      <x:c r="P8" s="2"/>
      <x:c r="Q8" s="2"/>
    </x:row>
    <x:row r="9" ht="22" customHeight="1">
      <x:c r="A9" s="42" t="n">
        <x:v>44986</x:v>
      </x:c>
      <x:c r="B9" s="11" t="n">
        <x:f>COUNTIFS('Base'!$I$7:$I$2256,2023,'Base'!$J$7:$J$2256,3)</x:f>
        <x:v>86</x:v>
      </x:c>
      <x:c r="C9" s="11" t="n">
        <x:f>SUMIFS('Base'!$E$7:$E$2256,'Base'!$I$7:$I$2256,2023,'Base'!$J$7:$J$2256,3)</x:f>
        <x:v>1989</x:v>
      </x:c>
      <x:c r="D9" s="12" t="n">
        <x:f>SUMIFS('Base'!$G$7:$G$2256,'Base'!$I$7:$I$2256,2023,'Base'!$J$7:$J$2256,3)</x:f>
        <x:v>218898.26</x:v>
      </x:c>
      <x:c r="E9" s="12" t="n">
        <x:f>IF(B9=0,"n.a.",D9/B9)</x:f>
        <x:v>2545.328604651163</x:v>
      </x:c>
      <x:c r="F9" s="2" t="str">
        <x:v>mar/23</x:v>
      </x:c>
      <x:c r="G9" s="2"/>
      <x:c r="H9" s="2" t="str">
        <x:v>mar</x:v>
      </x:c>
      <x:c r="I9" s="12" t="n">
        <x:f>D9</x:f>
        <x:v>218898.26</x:v>
      </x:c>
      <x:c r="J9" s="12" t="n">
        <x:f>D21</x:f>
        <x:v>256217.52000000008</x:v>
      </x:c>
      <x:c r="K9" s="11" t="n">
        <x:f>C9</x:f>
        <x:v>1989</x:v>
      </x:c>
      <x:c r="L9" s="11" t="n">
        <x:f>C21</x:f>
        <x:v>2211</x:v>
      </x:c>
      <x:c r="M9" s="2"/>
      <x:c r="N9" s="2"/>
      <x:c r="O9" s="2"/>
      <x:c r="P9" s="2"/>
      <x:c r="Q9" s="2"/>
    </x:row>
    <x:row r="10" ht="22" customHeight="1">
      <x:c r="A10" s="42" t="n">
        <x:v>45017</x:v>
      </x:c>
      <x:c r="B10" s="11" t="n">
        <x:f>COUNTIFS('Base'!$I$7:$I$2256,2023,'Base'!$J$7:$J$2256,4)</x:f>
        <x:v>93</x:v>
      </x:c>
      <x:c r="C10" s="11" t="n">
        <x:f>SUMIFS('Base'!$E$7:$E$2256,'Base'!$I$7:$I$2256,2023,'Base'!$J$7:$J$2256,4)</x:f>
        <x:v>2213</x:v>
      </x:c>
      <x:c r="D10" s="12" t="n">
        <x:f>SUMIFS('Base'!$G$7:$G$2256,'Base'!$I$7:$I$2256,2023,'Base'!$J$7:$J$2256,4)</x:f>
        <x:v>241784.58999999994</x:v>
      </x:c>
      <x:c r="E10" s="12" t="n">
        <x:f>IF(B10=0,"n.a.",D10/B10)</x:f>
        <x:v>2599.8343010752683</x:v>
      </x:c>
      <x:c r="F10" s="2" t="str">
        <x:v>abr/23</x:v>
      </x:c>
      <x:c r="G10" s="2"/>
      <x:c r="H10" s="2" t="str">
        <x:v>abr</x:v>
      </x:c>
      <x:c r="I10" s="12" t="n">
        <x:f>D10</x:f>
        <x:v>241784.58999999994</x:v>
      </x:c>
      <x:c r="J10" s="12" t="n">
        <x:f>D22</x:f>
        <x:v>278278.7899999999</x:v>
      </x:c>
      <x:c r="K10" s="11" t="n">
        <x:f>C10</x:f>
        <x:v>2213</x:v>
      </x:c>
      <x:c r="L10" s="11" t="n">
        <x:f>C22</x:f>
        <x:v>2570</x:v>
      </x:c>
      <x:c r="M10" s="2"/>
      <x:c r="N10" s="2"/>
      <x:c r="O10" s="2"/>
      <x:c r="P10" s="2"/>
      <x:c r="Q10" s="2"/>
    </x:row>
    <x:row r="11" ht="22" customHeight="1">
      <x:c r="A11" s="42" t="n">
        <x:v>45047</x:v>
      </x:c>
      <x:c r="B11" s="11" t="n">
        <x:f>COUNTIFS('Base'!$I$7:$I$2256,2023,'Base'!$J$7:$J$2256,5)</x:f>
        <x:v>82</x:v>
      </x:c>
      <x:c r="C11" s="11" t="n">
        <x:f>SUMIFS('Base'!$E$7:$E$2256,'Base'!$I$7:$I$2256,2023,'Base'!$J$7:$J$2256,5)</x:f>
        <x:v>2161</x:v>
      </x:c>
      <x:c r="D11" s="12" t="n">
        <x:f>SUMIFS('Base'!$G$7:$G$2256,'Base'!$I$7:$I$2256,2023,'Base'!$J$7:$J$2256,5)</x:f>
        <x:v>231835.54000000007</x:v>
      </x:c>
      <x:c r="E11" s="12" t="n">
        <x:f>IF(B11=0,"n.a.",D11/B11)</x:f>
        <x:v>2827.26268292683</x:v>
      </x:c>
      <x:c r="F11" s="2" t="str">
        <x:v>mai/23</x:v>
      </x:c>
      <x:c r="G11" s="2"/>
      <x:c r="H11" s="2" t="str">
        <x:v>mai</x:v>
      </x:c>
      <x:c r="I11" s="12" t="n">
        <x:f>D11</x:f>
        <x:v>231835.54000000007</x:v>
      </x:c>
      <x:c r="J11" s="12" t="n">
        <x:f>D23</x:f>
        <x:v>263695.99999999994</x:v>
      </x:c>
      <x:c r="K11" s="11" t="n">
        <x:f>C11</x:f>
        <x:v>2161</x:v>
      </x:c>
      <x:c r="L11" s="11" t="n">
        <x:f>C23</x:f>
        <x:v>2228</x:v>
      </x:c>
      <x:c r="M11" s="2"/>
      <x:c r="N11" s="2"/>
      <x:c r="O11" s="2"/>
      <x:c r="P11" s="2"/>
      <x:c r="Q11" s="2"/>
    </x:row>
    <x:row r="12" ht="22" customHeight="1">
      <x:c r="A12" s="42" t="n">
        <x:v>45078</x:v>
      </x:c>
      <x:c r="B12" s="11" t="n">
        <x:f>COUNTIFS('Base'!$I$7:$I$2256,2023,'Base'!$J$7:$J$2256,6)</x:f>
        <x:v>83</x:v>
      </x:c>
      <x:c r="C12" s="11" t="n">
        <x:f>SUMIFS('Base'!$E$7:$E$2256,'Base'!$I$7:$I$2256,2023,'Base'!$J$7:$J$2256,6)</x:f>
        <x:v>2058</x:v>
      </x:c>
      <x:c r="D12" s="12" t="n">
        <x:f>SUMIFS('Base'!$G$7:$G$2256,'Base'!$I$7:$I$2256,2023,'Base'!$J$7:$J$2256,6)</x:f>
        <x:v>204810.88999999998</x:v>
      </x:c>
      <x:c r="E12" s="12" t="n">
        <x:f>IF(B12=0,"n.a.",D12/B12)</x:f>
        <x:v>2467.601084337349</x:v>
      </x:c>
      <x:c r="F12" s="2" t="str">
        <x:v>jun/23</x:v>
      </x:c>
      <x:c r="G12" s="2"/>
      <x:c r="H12" s="2" t="str">
        <x:v>jun</x:v>
      </x:c>
      <x:c r="I12" s="12" t="n">
        <x:f>D12</x:f>
        <x:v>204810.88999999998</x:v>
      </x:c>
      <x:c r="J12" s="12" t="n">
        <x:f>D24</x:f>
        <x:v>329170.99000000017</x:v>
      </x:c>
      <x:c r="K12" s="11" t="n">
        <x:f>C12</x:f>
        <x:v>2058</x:v>
      </x:c>
      <x:c r="L12" s="11" t="n">
        <x:f>C24</x:f>
        <x:v>2884</x:v>
      </x:c>
      <x:c r="M12" s="2"/>
      <x:c r="N12" s="2"/>
      <x:c r="O12" s="2"/>
      <x:c r="P12" s="2"/>
      <x:c r="Q12" s="2"/>
    </x:row>
    <x:row r="13" ht="22" customHeight="1">
      <x:c r="A13" s="42" t="n">
        <x:v>45108</x:v>
      </x:c>
      <x:c r="B13" s="11" t="n">
        <x:f>COUNTIFS('Base'!$I$7:$I$2256,2023,'Base'!$J$7:$J$2256,7)</x:f>
        <x:v>107</x:v>
      </x:c>
      <x:c r="C13" s="11" t="n">
        <x:f>SUMIFS('Base'!$E$7:$E$2256,'Base'!$I$7:$I$2256,2023,'Base'!$J$7:$J$2256,7)</x:f>
        <x:v>2669</x:v>
      </x:c>
      <x:c r="D13" s="12" t="n">
        <x:f>SUMIFS('Base'!$G$7:$G$2256,'Base'!$I$7:$I$2256,2023,'Base'!$J$7:$J$2256,7)</x:f>
        <x:v>304828.81000000006</x:v>
      </x:c>
      <x:c r="E13" s="12" t="n">
        <x:f>IF(B13=0,"n.a.",D13/B13)</x:f>
        <x:v>2848.8673831775704</x:v>
      </x:c>
      <x:c r="F13" s="2" t="str">
        <x:v>jul/23</x:v>
      </x:c>
      <x:c r="G13" s="2"/>
      <x:c r="H13" s="2" t="str">
        <x:v>jul</x:v>
      </x:c>
      <x:c r="I13" s="12" t="n">
        <x:f>D13</x:f>
        <x:v>304828.81000000006</x:v>
      </x:c>
      <x:c r="J13" s="12" t="n">
        <x:f>D25</x:f>
        <x:v>260817.37999999998</x:v>
      </x:c>
      <x:c r="K13" s="11" t="n">
        <x:f>C13</x:f>
        <x:v>2669</x:v>
      </x:c>
      <x:c r="L13" s="11" t="n">
        <x:f>C25</x:f>
        <x:v>2328</x:v>
      </x:c>
      <x:c r="M13" s="2"/>
      <x:c r="N13" s="2"/>
      <x:c r="O13" s="2"/>
      <x:c r="P13" s="2"/>
      <x:c r="Q13" s="2"/>
    </x:row>
    <x:row r="14" ht="22" customHeight="1">
      <x:c r="A14" s="42" t="n">
        <x:v>45139</x:v>
      </x:c>
      <x:c r="B14" s="11" t="n">
        <x:f>COUNTIFS('Base'!$I$7:$I$2256,2023,'Base'!$J$7:$J$2256,8)</x:f>
        <x:v>103</x:v>
      </x:c>
      <x:c r="C14" s="11" t="n">
        <x:f>SUMIFS('Base'!$E$7:$E$2256,'Base'!$I$7:$I$2256,2023,'Base'!$J$7:$J$2256,8)</x:f>
        <x:v>2704</x:v>
      </x:c>
      <x:c r="D14" s="12" t="n">
        <x:f>SUMIFS('Base'!$G$7:$G$2256,'Base'!$I$7:$I$2256,2023,'Base'!$J$7:$J$2256,8)</x:f>
        <x:v>304000.91000000015</x:v>
      </x:c>
      <x:c r="E14" s="12" t="n">
        <x:f>IF(B14=0,"n.a.",D14/B14)</x:f>
        <x:v>2951.4651456310694</x:v>
      </x:c>
      <x:c r="F14" s="2" t="str">
        <x:v>ago/23</x:v>
      </x:c>
      <x:c r="G14" s="2"/>
      <x:c r="H14" s="2" t="str">
        <x:v>ago</x:v>
      </x:c>
      <x:c r="I14" s="12" t="n">
        <x:f>D14</x:f>
        <x:v>304000.91000000015</x:v>
      </x:c>
      <x:c r="J14" s="12" t="n">
        <x:f>D26</x:f>
        <x:v>260479.61999999997</x:v>
      </x:c>
      <x:c r="K14" s="11" t="n">
        <x:f>C14</x:f>
        <x:v>2704</x:v>
      </x:c>
      <x:c r="L14" s="11" t="n">
        <x:f>C26</x:f>
        <x:v>2304</x:v>
      </x:c>
      <x:c r="M14" s="2"/>
      <x:c r="N14" s="2"/>
      <x:c r="O14" s="2"/>
      <x:c r="P14" s="2"/>
      <x:c r="Q14" s="2"/>
    </x:row>
    <x:row r="15" ht="22" customHeight="1">
      <x:c r="A15" s="42" t="n">
        <x:v>45170</x:v>
      </x:c>
      <x:c r="B15" s="11" t="n">
        <x:f>COUNTIFS('Base'!$I$7:$I$2256,2023,'Base'!$J$7:$J$2256,9)</x:f>
        <x:v>80</x:v>
      </x:c>
      <x:c r="C15" s="11" t="n">
        <x:f>SUMIFS('Base'!$E$7:$E$2256,'Base'!$I$7:$I$2256,2023,'Base'!$J$7:$J$2256,9)</x:f>
        <x:v>2049</x:v>
      </x:c>
      <x:c r="D15" s="12" t="n">
        <x:f>SUMIFS('Base'!$G$7:$G$2256,'Base'!$I$7:$I$2256,2023,'Base'!$J$7:$J$2256,9)</x:f>
        <x:v>229309.96000000008</x:v>
      </x:c>
      <x:c r="E15" s="12" t="n">
        <x:f>IF(B15=0,"n.a.",D15/B15)</x:f>
        <x:v>2866.374500000001</x:v>
      </x:c>
      <x:c r="F15" s="2" t="str">
        <x:v>set/23</x:v>
      </x:c>
      <x:c r="G15" s="2"/>
      <x:c r="H15" s="2" t="str">
        <x:v>set</x:v>
      </x:c>
      <x:c r="I15" s="12" t="n">
        <x:f>D15</x:f>
        <x:v>229309.96000000008</x:v>
      </x:c>
      <x:c r="J15" s="12" t="n">
        <x:f>D27</x:f>
        <x:v>270836.22</x:v>
      </x:c>
      <x:c r="K15" s="11" t="n">
        <x:f>C15</x:f>
        <x:v>2049</x:v>
      </x:c>
      <x:c r="L15" s="11" t="n">
        <x:f>C27</x:f>
        <x:v>2468</x:v>
      </x:c>
      <x:c r="M15" s="2"/>
      <x:c r="N15" s="2"/>
      <x:c r="O15" s="2"/>
      <x:c r="P15" s="2"/>
      <x:c r="Q15" s="2"/>
    </x:row>
    <x:row r="16" ht="22" customHeight="1">
      <x:c r="A16" s="42" t="n">
        <x:v>45200</x:v>
      </x:c>
      <x:c r="B16" s="11" t="n">
        <x:f>COUNTIFS('Base'!$I$7:$I$2256,2023,'Base'!$J$7:$J$2256,10)</x:f>
        <x:v>109</x:v>
      </x:c>
      <x:c r="C16" s="11" t="n">
        <x:f>SUMIFS('Base'!$E$7:$E$2256,'Base'!$I$7:$I$2256,2023,'Base'!$J$7:$J$2256,10)</x:f>
        <x:v>2750</x:v>
      </x:c>
      <x:c r="D16" s="12" t="n">
        <x:f>SUMIFS('Base'!$G$7:$G$2256,'Base'!$I$7:$I$2256,2023,'Base'!$J$7:$J$2256,10)</x:f>
        <x:v>274836.67999999993</x:v>
      </x:c>
      <x:c r="E16" s="12" t="n">
        <x:f>IF(B16=0,"n.a.",D16/B16)</x:f>
        <x:v>2521.43743119266</x:v>
      </x:c>
      <x:c r="F16" s="2" t="str">
        <x:v>out/23</x:v>
      </x:c>
      <x:c r="G16" s="2"/>
      <x:c r="H16" s="2" t="str">
        <x:v>out</x:v>
      </x:c>
      <x:c r="I16" s="12" t="n">
        <x:f>D16</x:f>
        <x:v>274836.67999999993</x:v>
      </x:c>
      <x:c r="J16" s="12" t="n">
        <x:f>D28</x:f>
        <x:v>247753.38000000006</x:v>
      </x:c>
      <x:c r="K16" s="11" t="n">
        <x:f>C16</x:f>
        <x:v>2750</x:v>
      </x:c>
      <x:c r="L16" s="11" t="n">
        <x:f>C28</x:f>
        <x:v>2254</x:v>
      </x:c>
      <x:c r="M16" s="2"/>
      <x:c r="N16" s="2"/>
      <x:c r="O16" s="2"/>
      <x:c r="P16" s="2"/>
      <x:c r="Q16" s="2"/>
    </x:row>
    <x:row r="17" ht="22" customHeight="1">
      <x:c r="A17" s="42" t="n">
        <x:v>45231</x:v>
      </x:c>
      <x:c r="B17" s="11" t="n">
        <x:f>COUNTIFS('Base'!$I$7:$I$2256,2023,'Base'!$J$7:$J$2256,11)</x:f>
        <x:v>85</x:v>
      </x:c>
      <x:c r="C17" s="11" t="n">
        <x:f>SUMIFS('Base'!$E$7:$E$2256,'Base'!$I$7:$I$2256,2023,'Base'!$J$7:$J$2256,11)</x:f>
        <x:v>2294</x:v>
      </x:c>
      <x:c r="D17" s="12" t="n">
        <x:f>SUMIFS('Base'!$G$7:$G$2256,'Base'!$I$7:$I$2256,2023,'Base'!$J$7:$J$2256,11)</x:f>
        <x:v>223156.66999999998</x:v>
      </x:c>
      <x:c r="E17" s="12" t="n">
        <x:f>IF(B17=0,"n.a.",D17/B17)</x:f>
        <x:v>2625.3725882352937</x:v>
      </x:c>
      <x:c r="F17" s="2" t="str">
        <x:v>nov/23</x:v>
      </x:c>
      <x:c r="G17" s="2"/>
      <x:c r="H17" s="2" t="str">
        <x:v>nov</x:v>
      </x:c>
      <x:c r="I17" s="12" t="n">
        <x:f>D17</x:f>
        <x:v>223156.66999999998</x:v>
      </x:c>
      <x:c r="J17" s="12" t="n">
        <x:f>D29</x:f>
        <x:v>309972.5900000001</x:v>
      </x:c>
      <x:c r="K17" s="11" t="n">
        <x:f>C17</x:f>
        <x:v>2294</x:v>
      </x:c>
      <x:c r="L17" s="11" t="n">
        <x:f>C29</x:f>
        <x:v>2711</x:v>
      </x:c>
      <x:c r="M17" s="2"/>
      <x:c r="N17" s="2"/>
      <x:c r="O17" s="2"/>
      <x:c r="P17" s="2"/>
      <x:c r="Q17" s="2"/>
    </x:row>
    <x:row r="18" ht="22" customHeight="1">
      <x:c r="A18" s="42" t="n">
        <x:v>45261</x:v>
      </x:c>
      <x:c r="B18" s="11" t="n">
        <x:f>COUNTIFS('Base'!$I$7:$I$2256,2023,'Base'!$J$7:$J$2256,12)</x:f>
        <x:v>96</x:v>
      </x:c>
      <x:c r="C18" s="11" t="n">
        <x:f>SUMIFS('Base'!$E$7:$E$2256,'Base'!$I$7:$I$2256,2023,'Base'!$J$7:$J$2256,12)</x:f>
        <x:v>2291</x:v>
      </x:c>
      <x:c r="D18" s="12" t="n">
        <x:f>SUMIFS('Base'!$G$7:$G$2256,'Base'!$I$7:$I$2256,2023,'Base'!$J$7:$J$2256,12)</x:f>
        <x:v>264561.68</x:v>
      </x:c>
      <x:c r="E18" s="12" t="n">
        <x:f>IF(B18=0,"n.a.",D18/B18)</x:f>
        <x:v>2755.8508333333334</x:v>
      </x:c>
      <x:c r="F18" s="2" t="str">
        <x:v>dez/23</x:v>
      </x:c>
      <x:c r="G18" s="2"/>
      <x:c r="H18" s="2" t="str">
        <x:v>dez</x:v>
      </x:c>
      <x:c r="I18" s="12" t="n">
        <x:f>D18</x:f>
        <x:v>264561.68</x:v>
      </x:c>
      <x:c r="J18" s="12" t="n">
        <x:f>D30</x:f>
        <x:v>266426.68</x:v>
      </x:c>
      <x:c r="K18" s="11" t="n">
        <x:f>C18</x:f>
        <x:v>2291</x:v>
      </x:c>
      <x:c r="L18" s="11" t="n">
        <x:f>C30</x:f>
        <x:v>2831</x:v>
      </x:c>
      <x:c r="M18" s="2"/>
      <x:c r="N18" s="2"/>
      <x:c r="O18" s="2"/>
      <x:c r="P18" s="2"/>
      <x:c r="Q18" s="2"/>
    </x:row>
    <x:row r="19" ht="22" customHeight="1">
      <x:c r="A19" s="42" t="n">
        <x:v>45292</x:v>
      </x:c>
      <x:c r="B19" s="11" t="n">
        <x:f>COUNTIFS('Base'!$I$7:$I$2256,2024,'Base'!$J$7:$J$2256,1)</x:f>
        <x:v>84</x:v>
      </x:c>
      <x:c r="C19" s="11" t="n">
        <x:f>SUMIFS('Base'!$E$7:$E$2256,'Base'!$I$7:$I$2256,2024,'Base'!$J$7:$J$2256,1)</x:f>
        <x:v>2003</x:v>
      </x:c>
      <x:c r="D19" s="12" t="n">
        <x:f>SUMIFS('Base'!$G$7:$G$2256,'Base'!$I$7:$I$2256,2024,'Base'!$J$7:$J$2256,1)</x:f>
        <x:v>232748.03</x:v>
      </x:c>
      <x:c r="E19" s="12" t="n">
        <x:f>IF(B19=0,"n.a.",D19/B19)</x:f>
        <x:v>2770.809880952381</x:v>
      </x:c>
      <x:c r="F19" s="2" t="str">
        <x:v>jan/24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2" customHeight="1">
      <x:c r="A20" s="42" t="n">
        <x:v>45323</x:v>
      </x:c>
      <x:c r="B20" s="11" t="n">
        <x:f>COUNTIFS('Base'!$I$7:$I$2256,2024,'Base'!$J$7:$J$2256,2)</x:f>
        <x:v>111</x:v>
      </x:c>
      <x:c r="C20" s="11" t="n">
        <x:f>SUMIFS('Base'!$E$7:$E$2256,'Base'!$I$7:$I$2256,2024,'Base'!$J$7:$J$2256,2)</x:f>
        <x:v>2629</x:v>
      </x:c>
      <x:c r="D20" s="12" t="n">
        <x:f>SUMIFS('Base'!$G$7:$G$2256,'Base'!$I$7:$I$2256,2024,'Base'!$J$7:$J$2256,2)</x:f>
        <x:v>288305.54999999993</x:v>
      </x:c>
      <x:c r="E20" s="12" t="n">
        <x:f>IF(B20=0,"n.a.",D20/B20)</x:f>
        <x:v>2597.347297297297</x:v>
      </x:c>
      <x:c r="F20" s="2" t="str">
        <x:v>fev/24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  <x:row r="21" ht="22" customHeight="1">
      <x:c r="A21" s="42" t="n">
        <x:v>45352</x:v>
      </x:c>
      <x:c r="B21" s="11" t="n">
        <x:f>COUNTIFS('Base'!$I$7:$I$2256,2024,'Base'!$J$7:$J$2256,3)</x:f>
        <x:v>89</x:v>
      </x:c>
      <x:c r="C21" s="11" t="n">
        <x:f>SUMIFS('Base'!$E$7:$E$2256,'Base'!$I$7:$I$2256,2024,'Base'!$J$7:$J$2256,3)</x:f>
        <x:v>2211</x:v>
      </x:c>
      <x:c r="D21" s="12" t="n">
        <x:f>SUMIFS('Base'!$G$7:$G$2256,'Base'!$I$7:$I$2256,2024,'Base'!$J$7:$J$2256,3)</x:f>
        <x:v>256217.52000000008</x:v>
      </x:c>
      <x:c r="E21" s="12" t="n">
        <x:f>IF(B21=0,"n.a.",D21/B21)</x:f>
        <x:v>2878.8485393258434</x:v>
      </x:c>
      <x:c r="F21" s="2" t="str">
        <x:v>mar/24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</x:row>
    <x:row r="22" ht="22" customHeight="1">
      <x:c r="A22" s="42" t="n">
        <x:v>45383</x:v>
      </x:c>
      <x:c r="B22" s="11" t="n">
        <x:f>COUNTIFS('Base'!$I$7:$I$2256,2024,'Base'!$J$7:$J$2256,4)</x:f>
        <x:v>98</x:v>
      </x:c>
      <x:c r="C22" s="11" t="n">
        <x:f>SUMIFS('Base'!$E$7:$E$2256,'Base'!$I$7:$I$2256,2024,'Base'!$J$7:$J$2256,4)</x:f>
        <x:v>2570</x:v>
      </x:c>
      <x:c r="D22" s="12" t="n">
        <x:f>SUMIFS('Base'!$G$7:$G$2256,'Base'!$I$7:$I$2256,2024,'Base'!$J$7:$J$2256,4)</x:f>
        <x:v>278278.7899999999</x:v>
      </x:c>
      <x:c r="E22" s="12" t="n">
        <x:f>IF(B22=0,"n.a.",D22/B22)</x:f>
        <x:v>2839.5794897959177</x:v>
      </x:c>
      <x:c r="F22" s="2" t="str">
        <x:v>abr/24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</x:row>
    <x:row r="23" ht="22" customHeight="1">
      <x:c r="A23" s="42" t="n">
        <x:v>45413</x:v>
      </x:c>
      <x:c r="B23" s="11" t="n">
        <x:f>COUNTIFS('Base'!$I$7:$I$2256,2024,'Base'!$J$7:$J$2256,5)</x:f>
        <x:v>85</x:v>
      </x:c>
      <x:c r="C23" s="11" t="n">
        <x:f>SUMIFS('Base'!$E$7:$E$2256,'Base'!$I$7:$I$2256,2024,'Base'!$J$7:$J$2256,5)</x:f>
        <x:v>2228</x:v>
      </x:c>
      <x:c r="D23" s="12" t="n">
        <x:f>SUMIFS('Base'!$G$7:$G$2256,'Base'!$I$7:$I$2256,2024,'Base'!$J$7:$J$2256,5)</x:f>
        <x:v>263695.99999999994</x:v>
      </x:c>
      <x:c r="E23" s="12" t="n">
        <x:f>IF(B23=0,"n.a.",D23/B23)</x:f>
        <x:v>3102.3058823529404</x:v>
      </x:c>
      <x:c r="F23" s="2" t="str">
        <x:v>mai/24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</x:row>
    <x:row r="24" ht="22" customHeight="1">
      <x:c r="A24" s="42" t="n">
        <x:v>45444</x:v>
      </x:c>
      <x:c r="B24" s="11" t="n">
        <x:f>COUNTIFS('Base'!$I$7:$I$2256,2024,'Base'!$J$7:$J$2256,6)</x:f>
        <x:v>104</x:v>
      </x:c>
      <x:c r="C24" s="11" t="n">
        <x:f>SUMIFS('Base'!$E$7:$E$2256,'Base'!$I$7:$I$2256,2024,'Base'!$J$7:$J$2256,6)</x:f>
        <x:v>2884</x:v>
      </x:c>
      <x:c r="D24" s="12" t="n">
        <x:f>SUMIFS('Base'!$G$7:$G$2256,'Base'!$I$7:$I$2256,2024,'Base'!$J$7:$J$2256,6)</x:f>
        <x:v>329170.99000000017</x:v>
      </x:c>
      <x:c r="E24" s="12" t="n">
        <x:f>IF(B24=0,"n.a.",D24/B24)</x:f>
        <x:v>3165.1056730769246</x:v>
      </x:c>
      <x:c r="F24" s="2" t="str">
        <x:v>jun/24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</x:row>
    <x:row r="25" ht="22" customHeight="1">
      <x:c r="A25" s="42" t="n">
        <x:v>45474</x:v>
      </x:c>
      <x:c r="B25" s="11" t="n">
        <x:f>COUNTIFS('Base'!$I$7:$I$2256,2024,'Base'!$J$7:$J$2256,7)</x:f>
        <x:v>97</x:v>
      </x:c>
      <x:c r="C25" s="11" t="n">
        <x:f>SUMIFS('Base'!$E$7:$E$2256,'Base'!$I$7:$I$2256,2024,'Base'!$J$7:$J$2256,7)</x:f>
        <x:v>2328</x:v>
      </x:c>
      <x:c r="D25" s="12" t="n">
        <x:f>SUMIFS('Base'!$G$7:$G$2256,'Base'!$I$7:$I$2256,2024,'Base'!$J$7:$J$2256,7)</x:f>
        <x:v>260817.37999999998</x:v>
      </x:c>
      <x:c r="E25" s="12" t="n">
        <x:f>IF(B25=0,"n.a.",D25/B25)</x:f>
        <x:v>2688.8389690721647</x:v>
      </x:c>
      <x:c r="F25" s="2" t="str">
        <x:v>jul/24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22" customHeight="1">
      <x:c r="A26" s="42" t="n">
        <x:v>45505</x:v>
      </x:c>
      <x:c r="B26" s="11" t="n">
        <x:f>COUNTIFS('Base'!$I$7:$I$2256,2024,'Base'!$J$7:$J$2256,8)</x:f>
        <x:v>94</x:v>
      </x:c>
      <x:c r="C26" s="11" t="n">
        <x:f>SUMIFS('Base'!$E$7:$E$2256,'Base'!$I$7:$I$2256,2024,'Base'!$J$7:$J$2256,8)</x:f>
        <x:v>2304</x:v>
      </x:c>
      <x:c r="D26" s="12" t="n">
        <x:f>SUMIFS('Base'!$G$7:$G$2256,'Base'!$I$7:$I$2256,2024,'Base'!$J$7:$J$2256,8)</x:f>
        <x:v>260479.61999999997</x:v>
      </x:c>
      <x:c r="E26" s="12" t="n">
        <x:f>IF(B26=0,"n.a.",D26/B26)</x:f>
        <x:v>2771.0597872340422</x:v>
      </x:c>
      <x:c r="F26" s="2" t="str">
        <x:v>ago/24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22" customHeight="1">
      <x:c r="A27" s="42" t="n">
        <x:v>45536</x:v>
      </x:c>
      <x:c r="B27" s="11" t="n">
        <x:f>COUNTIFS('Base'!$I$7:$I$2256,2024,'Base'!$J$7:$J$2256,9)</x:f>
        <x:v>97</x:v>
      </x:c>
      <x:c r="C27" s="11" t="n">
        <x:f>SUMIFS('Base'!$E$7:$E$2256,'Base'!$I$7:$I$2256,2024,'Base'!$J$7:$J$2256,9)</x:f>
        <x:v>2468</x:v>
      </x:c>
      <x:c r="D27" s="12" t="n">
        <x:f>SUMIFS('Base'!$G$7:$G$2256,'Base'!$I$7:$I$2256,2024,'Base'!$J$7:$J$2256,9)</x:f>
        <x:v>270836.22</x:v>
      </x:c>
      <x:c r="E27" s="12" t="n">
        <x:f>IF(B27=0,"n.a.",D27/B27)</x:f>
        <x:v>2792.125979381443</x:v>
      </x:c>
      <x:c r="F27" s="2" t="str">
        <x:v>set/24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2" customHeight="1">
      <x:c r="A28" s="42" t="n">
        <x:v>45566</x:v>
      </x:c>
      <x:c r="B28" s="11" t="n">
        <x:f>COUNTIFS('Base'!$I$7:$I$2256,2024,'Base'!$J$7:$J$2256,10)</x:f>
        <x:v>94</x:v>
      </x:c>
      <x:c r="C28" s="11" t="n">
        <x:f>SUMIFS('Base'!$E$7:$E$2256,'Base'!$I$7:$I$2256,2024,'Base'!$J$7:$J$2256,10)</x:f>
        <x:v>2254</x:v>
      </x:c>
      <x:c r="D28" s="12" t="n">
        <x:f>SUMIFS('Base'!$G$7:$G$2256,'Base'!$I$7:$I$2256,2024,'Base'!$J$7:$J$2256,10)</x:f>
        <x:v>247753.38000000006</x:v>
      </x:c>
      <x:c r="E28" s="12" t="n">
        <x:f>IF(B28=0,"n.a.",D28/B28)</x:f>
        <x:v>2635.67425531915</x:v>
      </x:c>
      <x:c r="F28" s="2" t="str">
        <x:v>out/24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42" t="n">
        <x:v>45597</x:v>
      </x:c>
      <x:c r="B29" s="11" t="n">
        <x:f>COUNTIFS('Base'!$I$7:$I$2256,2024,'Base'!$J$7:$J$2256,11)</x:f>
        <x:v>102</x:v>
      </x:c>
      <x:c r="C29" s="11" t="n">
        <x:f>SUMIFS('Base'!$E$7:$E$2256,'Base'!$I$7:$I$2256,2024,'Base'!$J$7:$J$2256,11)</x:f>
        <x:v>2711</x:v>
      </x:c>
      <x:c r="D29" s="12" t="n">
        <x:f>SUMIFS('Base'!$G$7:$G$2256,'Base'!$I$7:$I$2256,2024,'Base'!$J$7:$J$2256,11)</x:f>
        <x:v>309972.5900000001</x:v>
      </x:c>
      <x:c r="E29" s="12" t="n">
        <x:f>IF(B29=0,"n.a.",D29/B29)</x:f>
        <x:v>3038.9469607843143</x:v>
      </x:c>
      <x:c r="F29" s="2" t="str">
        <x:v>nov/24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</x:row>
    <x:row r="30" ht="22" customHeight="1">
      <x:c r="A30" s="42" t="n">
        <x:v>45627</x:v>
      </x:c>
      <x:c r="B30" s="11" t="n">
        <x:f>COUNTIFS('Base'!$I$7:$I$2256,2024,'Base'!$J$7:$J$2256,12)</x:f>
        <x:v>101</x:v>
      </x:c>
      <x:c r="C30" s="11" t="n">
        <x:f>SUMIFS('Base'!$E$7:$E$2256,'Base'!$I$7:$I$2256,2024,'Base'!$J$7:$J$2256,12)</x:f>
        <x:v>2831</x:v>
      </x:c>
      <x:c r="D30" s="12" t="n">
        <x:f>SUMIFS('Base'!$G$7:$G$2256,'Base'!$I$7:$I$2256,2024,'Base'!$J$7:$J$2256,12)</x:f>
        <x:v>266426.68</x:v>
      </x:c>
      <x:c r="E30" s="12" t="n">
        <x:f>IF(B30=0,"n.a.",D30/B30)</x:f>
        <x:v>2637.887920792079</x:v>
      </x:c>
      <x:c r="F30" s="2" t="str">
        <x:v>dez/24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</x:row>
    <x:row r="31" ht="22" customHeight="1">
      <x:c r="A31" s="18" t="str">
        <x:v>Total</x:v>
      </x:c>
      <x:c r="B31" s="20" t="n">
        <x:f>SUM(B7:B30)</x:f>
        <x:v>2250</x:v>
      </x:c>
      <x:c r="C31" s="20" t="n">
        <x:f>SUM(C7:C30)</x:f>
        <x:v>56782</x:v>
      </x:c>
      <x:c r="D31" s="21" t="n">
        <x:f>SUM(D7:D30)</x:f>
        <x:v>6230296.219999999</x:v>
      </x:c>
      <x:c r="E31" s="21" t="n">
        <x:f>D31/B31</x:f>
        <x:v>2769.0205422222216</x:v>
      </x:c>
      <x:c r="F31" s="18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38" customHeight="1">
      <x:c r="A35" s="9" t="str">
        <x:v>Ano</x:v>
      </x:c>
      <x:c r="B35" s="9" t="str">
        <x:v>Pedidos</x:v>
      </x:c>
      <x:c r="C35" s="9" t="str">
        <x:v>Unidades</x:v>
      </x:c>
      <x:c r="D35" s="9" t="str">
        <x:v>Faturamento (R$)</x:v>
      </x:c>
      <x:c r="E35" s="9" t="str">
        <x:v>Ticket médio (R$)</x:v>
      </x:c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22" customHeight="1">
      <x:c r="A36" s="2" t="n">
        <x:v>2023</x:v>
      </x:c>
      <x:c r="B36" s="11" t="n">
        <x:f>SUM(B7:B18)</x:f>
        <x:v>1094</x:v>
      </x:c>
      <x:c r="C36" s="11" t="n">
        <x:f>SUM(C7:C18)</x:f>
        <x:v>27361</x:v>
      </x:c>
      <x:c r="D36" s="12" t="n">
        <x:f>SUM(D7:D18)</x:f>
        <x:v>2965593.47</x:v>
      </x:c>
      <x:c r="E36" s="12" t="n">
        <x:f>D36/B36</x:f>
        <x:v>2710.7801371115174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22" customHeight="1">
      <x:c r="A37" s="2" t="n">
        <x:v>2024</x:v>
      </x:c>
      <x:c r="B37" s="11" t="n">
        <x:f>SUM(B19:B30)</x:f>
        <x:v>1156</x:v>
      </x:c>
      <x:c r="C37" s="11" t="n">
        <x:f>SUM(C19:C30)</x:f>
        <x:v>29421</x:v>
      </x:c>
      <x:c r="D37" s="12" t="n">
        <x:f>SUM(D19:D30)</x:f>
        <x:v>3264702.7500000005</x:v>
      </x:c>
      <x:c r="E37" s="12" t="n">
        <x:f>D37/B37</x:f>
        <x:v>2824.13732698962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22" customHeight="1">
      <x:c r="A38" s="18" t="str">
        <x:v>Total</x:v>
      </x:c>
      <x:c r="B38" s="20" t="n">
        <x:f>SUM(B36:B37)</x:f>
        <x:v>2250</x:v>
      </x:c>
      <x:c r="C38" s="20" t="n">
        <x:f>SUM(C36:C37)</x:f>
        <x:v>56782</x:v>
      </x:c>
      <x:c r="D38" s="21" t="n">
        <x:f>SUM(D36:D37)</x:f>
        <x:v>6230296.220000001</x:v>
      </x:c>
      <x:c r="E38" s="21" t="n">
        <x:f>D38/B38</x:f>
        <x:v>2769.0205422222225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22" customHeight="1">
      <x:c r="A40" s="2" t="str">
        <x:v>Variação 2024/2023</x:v>
      </x:c>
      <x:c r="B40" s="22" t="n">
        <x:f>B37/B36-1</x:f>
        <x:v>0.05667276051188308</x:v>
      </x:c>
      <x:c r="C40" s="22" t="n">
        <x:f>C37/C36-1</x:f>
        <x:v>0.07528964584627751</x:v>
      </x:c>
      <x:c r="D40" s="22" t="n">
        <x:f>D37/D36-1</x:f>
        <x:v>0.10085983902574491</x:v>
      </x:c>
      <x:c r="E40" s="22" t="n">
        <x:f>E37/E36-1</x:f>
        <x:v>0.04181718329945072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22" customHeight="1">
      <x:c r="A42" s="2" t="str">
        <x:v>Aumento da receita (R$)</x:v>
      </x:c>
      <x:c r="B42" s="12" t="n">
        <x:f>D37-D36</x:f>
        <x:v>299109.28000000026</x:v>
      </x:c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38" customHeight="1">
      <x:c r="A44" s="9" t="str">
        <x:v>Mês</x:v>
      </x:c>
      <x:c r="B44" s="9" t="str">
        <x:v>Variação receita</x:v>
      </x:c>
      <x:c r="C44" s="9" t="str">
        <x:v>Variação unidades</x:v>
      </x:c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22" customHeight="1">
      <x:c r="A45" s="2" t="str">
        <x:v>jan</x:v>
      </x:c>
      <x:c r="B45" s="22" t="n">
        <x:f>D19/D7-1</x:f>
        <x:v>0.27397671845998306</x:v>
      </x:c>
      <x:c r="C45" s="22" t="n">
        <x:f>C19/C7-1</x:f>
        <x:v>0.14719358533791516</x:v>
      </x:c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22" customHeight="1">
      <x:c r="A46" s="2" t="str">
        <x:v>fev</x:v>
      </x:c>
      <x:c r="B46" s="22" t="n">
        <x:f>D20/D8-1</x:f>
        <x:v>0.012040949274029655</x:v>
      </x:c>
      <x:c r="C46" s="22" t="n">
        <x:f>C20/C8-1</x:f>
        <x:v>0.07878539187525657</x:v>
      </x:c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22" customHeight="1">
      <x:c r="A47" s="2" t="str">
        <x:v>mar</x:v>
      </x:c>
      <x:c r="B47" s="22" t="n">
        <x:f>D21/D9-1</x:f>
        <x:v>0.17048678230699532</x:v>
      </x:c>
      <x:c r="C47" s="22" t="n">
        <x:f>C21/C9-1</x:f>
        <x:v>0.11161387631975872</x:v>
      </x:c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22" customHeight="1">
      <x:c r="A48" s="2" t="str">
        <x:v>abr</x:v>
      </x:c>
      <x:c r="B48" s="22" t="n">
        <x:f>D22/D10-1</x:f>
        <x:v>0.15093683183034945</x:v>
      </x:c>
      <x:c r="C48" s="22" t="n">
        <x:f>C22/C10-1</x:f>
        <x:v>0.16131947582467232</x:v>
      </x:c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22" customHeight="1">
      <x:c r="A49" s="2" t="str">
        <x:v>mai</x:v>
      </x:c>
      <x:c r="B49" s="22" t="n">
        <x:f>D23/D11-1</x:f>
        <x:v>0.13742698811407372</x:v>
      </x:c>
      <x:c r="C49" s="22" t="n">
        <x:f>C23/C11-1</x:f>
        <x:v>0.031004164738547058</x:v>
      </x:c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22" customHeight="1">
      <x:c r="A50" s="2" t="str">
        <x:v>jun</x:v>
      </x:c>
      <x:c r="B50" s="22" t="n">
        <x:f>D24/D12-1</x:f>
        <x:v>0.6071947639112363</x:v>
      </x:c>
      <x:c r="C50" s="22" t="n">
        <x:f>C24/C12-1</x:f>
        <x:v>0.4013605442176871</x:v>
      </x:c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22" customHeight="1">
      <x:c r="A51" s="2" t="str">
        <x:v>jul</x:v>
      </x:c>
      <x:c r="B51" s="22" t="n">
        <x:f>D25/D13-1</x:f>
        <x:v>-0.1443808083625694</x:v>
      </x:c>
      <x:c r="C51" s="22" t="n">
        <x:f>C25/C13-1</x:f>
        <x:v>-0.12776320719370549</x:v>
      </x:c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22" customHeight="1">
      <x:c r="A52" s="2" t="str">
        <x:v>ago</x:v>
      </x:c>
      <x:c r="B52" s="22" t="n">
        <x:f>D26/D14-1</x:f>
        <x:v>-0.14316170961461983</x:v>
      </x:c>
      <x:c r="C52" s="22" t="n">
        <x:f>C26/C14-1</x:f>
        <x:v>-0.14792899408284022</x:v>
      </x:c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 ht="22" customHeight="1">
      <x:c r="A53" s="2" t="str">
        <x:v>set</x:v>
      </x:c>
      <x:c r="B53" s="22" t="n">
        <x:f>D27/D15-1</x:f>
        <x:v>0.1810922648104769</x:v>
      </x:c>
      <x:c r="C53" s="22" t="n">
        <x:f>C27/C15-1</x:f>
        <x:v>0.20448999511957044</x:v>
      </x:c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</x:row>
    <x:row r="54" ht="22" customHeight="1">
      <x:c r="A54" s="2" t="str">
        <x:v>out</x:v>
      </x:c>
      <x:c r="B54" s="22" t="n">
        <x:f>D28/D16-1</x:f>
        <x:v>-0.09854325121377494</x:v>
      </x:c>
      <x:c r="C54" s="22" t="n">
        <x:f>C28/C16-1</x:f>
        <x:v>-0.1803636363636364</x:v>
      </x:c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</x:row>
    <x:row r="55" ht="22" customHeight="1">
      <x:c r="A55" s="2" t="str">
        <x:v>nov</x:v>
      </x:c>
      <x:c r="B55" s="22" t="n">
        <x:f>D29/D17-1</x:f>
        <x:v>0.3890357388824637</x:v>
      </x:c>
      <x:c r="C55" s="22" t="n">
        <x:f>C29/C17-1</x:f>
        <x:v>0.18177855274629473</x:v>
      </x:c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</x:row>
    <x:row r="56" ht="22" customHeight="1">
      <x:c r="A56" s="2" t="str">
        <x:v>dez</x:v>
      </x:c>
      <x:c r="B56" s="22" t="n">
        <x:f>D30/D18-1</x:f>
        <x:v>0.007049395815750703</x:v>
      </x:c>
      <x:c r="C56" s="22" t="n">
        <x:f>C30/C18-1</x:f>
        <x:v>0.23570493234395462</x:v>
      </x:c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</x:row>
    <x:row r="59" ht="22" customHeight="1">
      <x:c r="A59" s="5" t="str">
        <x:v>Picos em meses diferentes nos dois anos. Os 24 meses não comprovam sazonalidade recorrente.</x:v>
      </x:c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</x:row>
  </x:sheetData>
  <x:pageMargins left="0.7" right="0.7" top="0.75" bottom="0.75" header="0.3" footer="0.3"/>
  <x:drawing xmlns:r="http://schemas.openxmlformats.org/officeDocument/2006/relationships" r:id="R7a293de1504d4a57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3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3" t="str">
        <x:v>Médias móveis e projeção de vendas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2" customHeight="1">
      <x:c r="A4" s="5" t="str">
        <x:v>Previsão emitida ao encerrar dezembro de 2024. Horizonte: janeiro a março de 2025.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8" customHeight="1">
      <x:c r="A6" s="9" t="str">
        <x:v>Mês previsto</x:v>
      </x:c>
      <x:c r="B6" s="9" t="str">
        <x:v>Faturamento (R$)</x:v>
      </x:c>
      <x:c r="C6" s="9" t="str">
        <x:v>Unidades estimadas</x:v>
      </x:c>
      <x:c r="D6" s="9" t="str">
        <x:v>Pedidos estimados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2" customHeight="1">
      <x:c r="A7" s="42" t="n">
        <x:f>A59</x:f>
        <x:v>45658</x:v>
      </x:c>
      <x:c r="B7" s="12" t="n">
        <x:f>B59</x:f>
        <x:v>272058.56250000006</x:v>
      </x:c>
      <x:c r="C7" s="27" t="n">
        <x:f>C59</x:f>
        <x:v>2451.75</x:v>
      </x:c>
      <x:c r="D7" s="27" t="n">
        <x:f>D59</x:f>
        <x:v>96.33333333333333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2" customHeight="1">
      <x:c r="A8" s="42" t="n">
        <x:f>A60</x:f>
        <x:v>45689</x:v>
      </x:c>
      <x:c r="B8" s="12" t="n">
        <x:f>B60</x:f>
        <x:v>275334.44020833337</x:v>
      </x:c>
      <x:c r="C8" s="27" t="n">
        <x:f>C60</x:f>
        <x:v>2489.1458333333335</x:v>
      </x:c>
      <x:c r="D8" s="27" t="n">
        <x:f>D60</x:f>
        <x:v>97.3611111111111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2" customHeight="1">
      <x:c r="A9" s="42" t="n">
        <x:f>A61</x:f>
        <x:v>45717</x:v>
      </x:c>
      <x:c r="B9" s="12" t="n">
        <x:f>B61</x:f>
        <x:v>274253.51439236116</x:v>
      </x:c>
      <x:c r="C9" s="27" t="n">
        <x:f>C61</x:f>
        <x:v>2477.4913194444443</x:v>
      </x:c>
      <x:c r="D9" s="27" t="n">
        <x:f>D61</x:f>
        <x:v>96.22453703703702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2" customHeight="1">
      <x:c r="A10" s="18" t="str">
        <x:v>Total trimestre</x:v>
      </x:c>
      <x:c r="B10" s="21" t="n">
        <x:f>SUM(B7:B9)</x:f>
        <x:v>821646.5171006946</x:v>
      </x:c>
      <x:c r="C10" s="28" t="n">
        <x:f>SUM(C7:C9)</x:f>
        <x:v>7418.387152777778</x:v>
      </x:c>
      <x:c r="D10" s="28" t="n">
        <x:f>SUM(D7:D9)</x:f>
        <x:v>289.91898148148147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2" customHeight="1">
      <x:c r="A12" s="5" t="str">
        <x:v>MM12 recursiva. Totais calculados sem arredondamento intermediário.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2" customHeight="1">
      <x:c r="A13" s="5" t="str">
        <x:v>Unidades e pedidos fracionários representam valores esperados.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2" customHeight="1">
      <x:c r="A15" s="15" t="str">
        <x:v>Avaliação histórica: previsões de um passo nos 12 meses de 2024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38" customHeight="1">
      <x:c r="A17" s="9" t="str">
        <x:v>Janela (meses)</x:v>
      </x:c>
      <x:c r="B17" s="9" t="str">
        <x:v>MAE receita (R$)</x:v>
      </x:c>
      <x:c r="C17" s="9" t="str">
        <x:v>MAPE receita</x:v>
      </x:c>
      <x:c r="D17" s="9" t="str">
        <x:v>MAE unidades</x:v>
      </x:c>
      <x:c r="E17" s="9" t="str">
        <x:v>MAPE unidades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2" customHeight="1">
      <x:c r="A18" s="2" t="n">
        <x:v>3</x:v>
      </x:c>
      <x:c r="B18" s="12" t="n">
        <x:f>AVERAGE(D70:D81)</x:f>
        <x:v>25895.165555555574</x:v>
      </x:c>
      <x:c r="C18" s="22" t="n">
        <x:f>AVERAGE(E70:E81)</x:f>
        <x:v>0.09158931521943582</x:v>
      </x:c>
      <x:c r="D18" s="24" t="n">
        <x:f>AVERAGE(H70:H81)</x:f>
        <x:v>277.6111111111111</x:v>
      </x:c>
      <x:c r="E18" s="22" t="n">
        <x:f>AVERAGE(I70:I81)</x:f>
        <x:v>0.11186858550915994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2" customHeight="1">
      <x:c r="A19" s="2" t="n">
        <x:v>6</x:v>
      </x:c>
      <x:c r="B19" s="12" t="n">
        <x:f>AVERAGE(D86:D97)</x:f>
        <x:v>23539.72291666669</x:v>
      </x:c>
      <x:c r="C19" s="22" t="n">
        <x:f>AVERAGE(E86:E97)</x:f>
        <x:v>0.08423402555269832</x:v>
      </x:c>
      <x:c r="D19" s="24" t="n">
        <x:f>AVERAGE(H86:H97)</x:f>
        <x:v>241.3472222222222</x:v>
      </x:c>
      <x:c r="E19" s="22" t="n">
        <x:f>AVERAGE(I86:I97)</x:f>
        <x:v>0.09754066150833302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2" customHeight="1">
      <x:c r="A20" s="18" t="n">
        <x:v>12</x:v>
      </x:c>
      <x:c r="B20" s="21" t="n">
        <x:f>AVERAGE(D102:D113)</x:f>
        <x:v>20683.430000000004</x:v>
      </x:c>
      <x:c r="C20" s="23" t="n">
        <x:f>AVERAGE(E102:E113)</x:f>
        <x:v>0.07160580553440012</x:v>
      </x:c>
      <x:c r="D20" s="25" t="n">
        <x:f>AVERAGE(H102:H113)</x:f>
        <x:v>235.63194444444446</x:v>
      </x:c>
      <x:c r="E20" s="23" t="n">
        <x:f>AVERAGE(I102:I113)</x:f>
        <x:v>0.09321284630885175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2" customHeight="1">
      <x:c r="A22" s="5" t="str">
        <x:v>MM12 apresentou os menores erros de receita e unidades na avaliação de 2024.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2" customHeight="1">
      <x:c r="A23" s="5" t="str">
        <x:v>A avaliação de um passo não garante o erro dos três meses futuros.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38" customHeight="1">
      <x:c r="A26" s="9" t="str">
        <x:v>Janela (meses)</x:v>
      </x:c>
      <x:c r="B26" s="9" t="str">
        <x:v>Projeção trimestral (R$)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2" customHeight="1">
      <x:c r="A27" s="2" t="n">
        <x:v>3</x:v>
      </x:c>
      <x:c r="B27" s="12" t="n">
        <x:f>SUM(K43:K45)</x:f>
        <x:v>833373.1022222224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2" customHeight="1">
      <x:c r="A28" s="2" t="n">
        <x:v>6</x:v>
      </x:c>
      <x:c r="B28" s="12" t="n">
        <x:f>SUM(L43:L45)</x:f>
        <x:v>812718.9052314814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2" customHeight="1">
      <x:c r="A29" s="2" t="n">
        <x:v>12</x:v>
      </x:c>
      <x:c r="B29" s="12" t="n">
        <x:f>B10</x:f>
        <x:v>821646.5171006946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2" customHeight="1">
      <x:c r="A31" s="2" t="str">
        <x:v>Variação prevista ante T1/2024</x:v>
      </x:c>
      <x:c r="B31" s="22" t="n">
        <x:f>B10/SUM('Mensal'!D19:D21)-1</x:f>
        <x:v>0.05709129942010516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38" customHeight="1">
      <x:c r="A34" s="9" t="str">
        <x:v>Mês</x:v>
      </x:c>
      <x:c r="B34" s="9" t="str">
        <x:v>Receita (R$)</x:v>
      </x:c>
      <x:c r="C34" s="9" t="str">
        <x:v>Unidades</x:v>
      </x:c>
      <x:c r="D34" s="9" t="str">
        <x:v>Pedidos</x:v>
      </x:c>
      <x:c r="E34" s="9" t="str">
        <x:v>Receita observada</x:v>
      </x:c>
      <x:c r="F34" s="9" t="str">
        <x:v>Receita projetada</x:v>
      </x:c>
      <x:c r="G34" s="9" t="str">
        <x:v>Unidades observadas</x:v>
      </x:c>
      <x:c r="H34" s="9" t="str">
        <x:v>Unidades projetadas</x:v>
      </x:c>
      <x:c r="I34" s="9" t="str">
        <x:v>Rótulo</x:v>
      </x:c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2" customHeight="1">
      <x:c r="A35" s="42" t="n">
        <x:f>'Mensal'!A7</x:f>
        <x:v>44927</x:v>
      </x:c>
      <x:c r="B35" s="12" t="n">
        <x:f>'Mensal'!D7</x:f>
        <x:v>182694.1</x:v>
      </x:c>
      <x:c r="C35" s="27" t="n">
        <x:f>'Mensal'!C7</x:f>
        <x:v>1746</x:v>
      </x:c>
      <x:c r="D35" s="27" t="n">
        <x:f>'Mensal'!B7</x:f>
        <x:v>72</x:v>
      </x:c>
      <x:c r="E35" s="12" t="n">
        <x:f>B35</x:f>
        <x:v>182694.1</x:v>
      </x:c>
      <x:c r="F35" s="12"/>
      <x:c r="G35" s="27" t="n">
        <x:f>C35</x:f>
        <x:v>1746</x:v>
      </x:c>
      <x:c r="H35" s="27"/>
      <x:c r="I35" s="2" t="str">
        <x:v>jan/23</x:v>
      </x:c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2" customHeight="1">
      <x:c r="A36" s="42" t="n">
        <x:f>'Mensal'!A8</x:f>
        <x:v>44958</x:v>
      </x:c>
      <x:c r="B36" s="12" t="n">
        <x:f>'Mensal'!D8</x:f>
        <x:v>284875.38</x:v>
      </x:c>
      <x:c r="C36" s="27" t="n">
        <x:f>'Mensal'!C8</x:f>
        <x:v>2437</x:v>
      </x:c>
      <x:c r="D36" s="27" t="n">
        <x:f>'Mensal'!B8</x:f>
        <x:v>98</x:v>
      </x:c>
      <x:c r="E36" s="12" t="n">
        <x:f>B36</x:f>
        <x:v>284875.38</x:v>
      </x:c>
      <x:c r="F36" s="12"/>
      <x:c r="G36" s="27" t="n">
        <x:f>C36</x:f>
        <x:v>2437</x:v>
      </x:c>
      <x:c r="H36" s="27"/>
      <x:c r="I36" s="2" t="str">
        <x:v>fev/23</x:v>
      </x:c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2" customHeight="1">
      <x:c r="A37" s="42" t="n">
        <x:f>'Mensal'!A9</x:f>
        <x:v>44986</x:v>
      </x:c>
      <x:c r="B37" s="12" t="n">
        <x:f>'Mensal'!D9</x:f>
        <x:v>218898.26</x:v>
      </x:c>
      <x:c r="C37" s="27" t="n">
        <x:f>'Mensal'!C9</x:f>
        <x:v>1989</x:v>
      </x:c>
      <x:c r="D37" s="27" t="n">
        <x:f>'Mensal'!B9</x:f>
        <x:v>86</x:v>
      </x:c>
      <x:c r="E37" s="12" t="n">
        <x:f>B37</x:f>
        <x:v>218898.26</x:v>
      </x:c>
      <x:c r="F37" s="12"/>
      <x:c r="G37" s="27" t="n">
        <x:f>C37</x:f>
        <x:v>1989</x:v>
      </x:c>
      <x:c r="H37" s="27"/>
      <x:c r="I37" s="2" t="str">
        <x:v>mar/23</x:v>
      </x:c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2" customHeight="1">
      <x:c r="A38" s="42" t="n">
        <x:f>'Mensal'!A10</x:f>
        <x:v>45017</x:v>
      </x:c>
      <x:c r="B38" s="12" t="n">
        <x:f>'Mensal'!D10</x:f>
        <x:v>241784.58999999994</x:v>
      </x:c>
      <x:c r="C38" s="27" t="n">
        <x:f>'Mensal'!C10</x:f>
        <x:v>2213</x:v>
      </x:c>
      <x:c r="D38" s="27" t="n">
        <x:f>'Mensal'!B10</x:f>
        <x:v>93</x:v>
      </x:c>
      <x:c r="E38" s="12" t="n">
        <x:f>B38</x:f>
        <x:v>241784.58999999994</x:v>
      </x:c>
      <x:c r="F38" s="12"/>
      <x:c r="G38" s="27" t="n">
        <x:f>C38</x:f>
        <x:v>2213</x:v>
      </x:c>
      <x:c r="H38" s="27"/>
      <x:c r="I38" s="2" t="str">
        <x:v>abr/23</x:v>
      </x:c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2" customHeight="1">
      <x:c r="A39" s="42" t="n">
        <x:f>'Mensal'!A11</x:f>
        <x:v>45047</x:v>
      </x:c>
      <x:c r="B39" s="12" t="n">
        <x:f>'Mensal'!D11</x:f>
        <x:v>231835.54000000007</x:v>
      </x:c>
      <x:c r="C39" s="27" t="n">
        <x:f>'Mensal'!C11</x:f>
        <x:v>2161</x:v>
      </x:c>
      <x:c r="D39" s="27" t="n">
        <x:f>'Mensal'!B11</x:f>
        <x:v>82</x:v>
      </x:c>
      <x:c r="E39" s="12" t="n">
        <x:f>B39</x:f>
        <x:v>231835.54000000007</x:v>
      </x:c>
      <x:c r="F39" s="12"/>
      <x:c r="G39" s="27" t="n">
        <x:f>C39</x:f>
        <x:v>2161</x:v>
      </x:c>
      <x:c r="H39" s="27"/>
      <x:c r="I39" s="2" t="str">
        <x:v>mai/23</x:v>
      </x:c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2" customHeight="1">
      <x:c r="A40" s="42" t="n">
        <x:f>'Mensal'!A12</x:f>
        <x:v>45078</x:v>
      </x:c>
      <x:c r="B40" s="12" t="n">
        <x:f>'Mensal'!D12</x:f>
        <x:v>204810.88999999998</x:v>
      </x:c>
      <x:c r="C40" s="27" t="n">
        <x:f>'Mensal'!C12</x:f>
        <x:v>2058</x:v>
      </x:c>
      <x:c r="D40" s="27" t="n">
        <x:f>'Mensal'!B12</x:f>
        <x:v>83</x:v>
      </x:c>
      <x:c r="E40" s="12" t="n">
        <x:f>B40</x:f>
        <x:v>204810.88999999998</x:v>
      </x:c>
      <x:c r="F40" s="12"/>
      <x:c r="G40" s="27" t="n">
        <x:f>C40</x:f>
        <x:v>2058</x:v>
      </x:c>
      <x:c r="H40" s="27"/>
      <x:c r="I40" s="2" t="str">
        <x:v>jun/23</x:v>
      </x:c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2" customHeight="1">
      <x:c r="A41" s="42" t="n">
        <x:f>'Mensal'!A13</x:f>
        <x:v>45108</x:v>
      </x:c>
      <x:c r="B41" s="12" t="n">
        <x:f>'Mensal'!D13</x:f>
        <x:v>304828.81000000006</x:v>
      </x:c>
      <x:c r="C41" s="27" t="n">
        <x:f>'Mensal'!C13</x:f>
        <x:v>2669</x:v>
      </x:c>
      <x:c r="D41" s="27" t="n">
        <x:f>'Mensal'!B13</x:f>
        <x:v>107</x:v>
      </x:c>
      <x:c r="E41" s="12" t="n">
        <x:f>B41</x:f>
        <x:v>304828.81000000006</x:v>
      </x:c>
      <x:c r="F41" s="12"/>
      <x:c r="G41" s="27" t="n">
        <x:f>C41</x:f>
        <x:v>2669</x:v>
      </x:c>
      <x:c r="H41" s="27"/>
      <x:c r="I41" s="2" t="str">
        <x:v>jul/23</x:v>
      </x:c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38" customHeight="1">
      <x:c r="A42" s="42" t="n">
        <x:f>'Mensal'!A14</x:f>
        <x:v>45139</x:v>
      </x:c>
      <x:c r="B42" s="12" t="n">
        <x:f>'Mensal'!D14</x:f>
        <x:v>304000.91000000015</x:v>
      </x:c>
      <x:c r="C42" s="27" t="n">
        <x:f>'Mensal'!C14</x:f>
        <x:v>2704</x:v>
      </x:c>
      <x:c r="D42" s="27" t="n">
        <x:f>'Mensal'!B14</x:f>
        <x:v>103</x:v>
      </x:c>
      <x:c r="E42" s="12" t="n">
        <x:f>B42</x:f>
        <x:v>304000.91000000015</x:v>
      </x:c>
      <x:c r="F42" s="12"/>
      <x:c r="G42" s="27" t="n">
        <x:f>C42</x:f>
        <x:v>2704</x:v>
      </x:c>
      <x:c r="H42" s="27"/>
      <x:c r="I42" s="2" t="str">
        <x:v>ago/23</x:v>
      </x:c>
      <x:c r="J42" s="2"/>
      <x:c r="K42" s="9" t="str">
        <x:v>MM3 receita (R$)</x:v>
      </x:c>
      <x:c r="L42" s="9" t="str">
        <x:v>MM6 receita (R$)</x:v>
      </x:c>
      <x:c r="M42" s="2"/>
      <x:c r="N42" s="2"/>
      <x:c r="O42" s="2"/>
      <x:c r="P42" s="2"/>
      <x:c r="Q42" s="2"/>
      <x:c r="R42" s="2"/>
    </x:row>
    <x:row r="43" ht="22" customHeight="1">
      <x:c r="A43" s="42" t="n">
        <x:f>'Mensal'!A15</x:f>
        <x:v>45170</x:v>
      </x:c>
      <x:c r="B43" s="12" t="n">
        <x:f>'Mensal'!D15</x:f>
        <x:v>229309.96000000008</x:v>
      </x:c>
      <x:c r="C43" s="27" t="n">
        <x:f>'Mensal'!C15</x:f>
        <x:v>2049</x:v>
      </x:c>
      <x:c r="D43" s="27" t="n">
        <x:f>'Mensal'!B15</x:f>
        <x:v>80</x:v>
      </x:c>
      <x:c r="E43" s="12" t="n">
        <x:f>B43</x:f>
        <x:v>229309.96000000008</x:v>
      </x:c>
      <x:c r="F43" s="12"/>
      <x:c r="G43" s="27" t="n">
        <x:f>C43</x:f>
        <x:v>2049</x:v>
      </x:c>
      <x:c r="H43" s="27"/>
      <x:c r="I43" s="2" t="str">
        <x:v>set/23</x:v>
      </x:c>
      <x:c r="J43" s="2"/>
      <x:c r="K43" s="12" t="n">
        <x:f>AVERAGE(B56:B58)</x:f>
        <x:v>274717.55000000005</x:v>
      </x:c>
      <x:c r="L43" s="12" t="n">
        <x:f>AVERAGE(B53:B58)</x:f>
        <x:v>269380.97833333333</x:v>
      </x:c>
      <x:c r="M43" s="2"/>
      <x:c r="N43" s="2"/>
      <x:c r="O43" s="2"/>
      <x:c r="P43" s="2"/>
      <x:c r="Q43" s="2"/>
      <x:c r="R43" s="2"/>
    </x:row>
    <x:row r="44" ht="22" customHeight="1">
      <x:c r="A44" s="42" t="n">
        <x:f>'Mensal'!A16</x:f>
        <x:v>45200</x:v>
      </x:c>
      <x:c r="B44" s="12" t="n">
        <x:f>'Mensal'!D16</x:f>
        <x:v>274836.67999999993</x:v>
      </x:c>
      <x:c r="C44" s="27" t="n">
        <x:f>'Mensal'!C16</x:f>
        <x:v>2750</x:v>
      </x:c>
      <x:c r="D44" s="27" t="n">
        <x:f>'Mensal'!B16</x:f>
        <x:v>109</x:v>
      </x:c>
      <x:c r="E44" s="12" t="n">
        <x:f>B44</x:f>
        <x:v>274836.67999999993</x:v>
      </x:c>
      <x:c r="F44" s="12"/>
      <x:c r="G44" s="27" t="n">
        <x:f>C44</x:f>
        <x:v>2750</x:v>
      </x:c>
      <x:c r="H44" s="27"/>
      <x:c r="I44" s="2" t="str">
        <x:v>out/23</x:v>
      </x:c>
      <x:c r="J44" s="2"/>
      <x:c r="K44" s="12" t="n">
        <x:f>AVERAGE(B57:B58,K43)</x:f>
        <x:v>283705.6066666667</x:v>
      </x:c>
      <x:c r="L44" s="12" t="n">
        <x:f>AVERAGE(B54:B58,L43)</x:f>
        <x:v>270808.2447222222</x:v>
      </x:c>
      <x:c r="M44" s="2"/>
      <x:c r="N44" s="2"/>
      <x:c r="O44" s="2"/>
      <x:c r="P44" s="2"/>
      <x:c r="Q44" s="2"/>
      <x:c r="R44" s="2"/>
    </x:row>
    <x:row r="45" ht="22" customHeight="1">
      <x:c r="A45" s="42" t="n">
        <x:f>'Mensal'!A17</x:f>
        <x:v>45231</x:v>
      </x:c>
      <x:c r="B45" s="12" t="n">
        <x:f>'Mensal'!D17</x:f>
        <x:v>223156.66999999998</x:v>
      </x:c>
      <x:c r="C45" s="27" t="n">
        <x:f>'Mensal'!C17</x:f>
        <x:v>2294</x:v>
      </x:c>
      <x:c r="D45" s="27" t="n">
        <x:f>'Mensal'!B17</x:f>
        <x:v>85</x:v>
      </x:c>
      <x:c r="E45" s="12" t="n">
        <x:f>B45</x:f>
        <x:v>223156.66999999998</x:v>
      </x:c>
      <x:c r="F45" s="12"/>
      <x:c r="G45" s="27" t="n">
        <x:f>C45</x:f>
        <x:v>2294</x:v>
      </x:c>
      <x:c r="H45" s="27"/>
      <x:c r="I45" s="2" t="str">
        <x:v>nov/23</x:v>
      </x:c>
      <x:c r="J45" s="2"/>
      <x:c r="K45" s="12" t="n">
        <x:f>AVERAGE(B58,K43:K44)</x:f>
        <x:v>274949.9455555556</x:v>
      </x:c>
      <x:c r="L45" s="12" t="n">
        <x:f>AVERAGE(B55:B58,L43:L44)</x:f>
        <x:v>272529.68217592593</x:v>
      </x:c>
      <x:c r="M45" s="2"/>
      <x:c r="N45" s="2"/>
      <x:c r="O45" s="2"/>
      <x:c r="P45" s="2"/>
      <x:c r="Q45" s="2"/>
      <x:c r="R45" s="2"/>
    </x:row>
    <x:row r="46" ht="22" customHeight="1">
      <x:c r="A46" s="42" t="n">
        <x:f>'Mensal'!A18</x:f>
        <x:v>45261</x:v>
      </x:c>
      <x:c r="B46" s="12" t="n">
        <x:f>'Mensal'!D18</x:f>
        <x:v>264561.68</x:v>
      </x:c>
      <x:c r="C46" s="27" t="n">
        <x:f>'Mensal'!C18</x:f>
        <x:v>2291</x:v>
      </x:c>
      <x:c r="D46" s="27" t="n">
        <x:f>'Mensal'!B18</x:f>
        <x:v>96</x:v>
      </x:c>
      <x:c r="E46" s="12" t="n">
        <x:f>B46</x:f>
        <x:v>264561.68</x:v>
      </x:c>
      <x:c r="F46" s="12"/>
      <x:c r="G46" s="27" t="n">
        <x:f>C46</x:f>
        <x:v>2291</x:v>
      </x:c>
      <x:c r="H46" s="27"/>
      <x:c r="I46" s="2" t="str">
        <x:v>dez/23</x:v>
      </x:c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2" customHeight="1">
      <x:c r="A47" s="42" t="n">
        <x:f>'Mensal'!A19</x:f>
        <x:v>45292</x:v>
      </x:c>
      <x:c r="B47" s="12" t="n">
        <x:f>'Mensal'!D19</x:f>
        <x:v>232748.03</x:v>
      </x:c>
      <x:c r="C47" s="27" t="n">
        <x:f>'Mensal'!C19</x:f>
        <x:v>2003</x:v>
      </x:c>
      <x:c r="D47" s="27" t="n">
        <x:f>'Mensal'!B19</x:f>
        <x:v>84</x:v>
      </x:c>
      <x:c r="E47" s="12" t="n">
        <x:f>B47</x:f>
        <x:v>232748.03</x:v>
      </x:c>
      <x:c r="F47" s="12"/>
      <x:c r="G47" s="27" t="n">
        <x:f>C47</x:f>
        <x:v>2003</x:v>
      </x:c>
      <x:c r="H47" s="27"/>
      <x:c r="I47" s="2" t="str">
        <x:v>jan/24</x:v>
      </x:c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2" customHeight="1">
      <x:c r="A48" s="42" t="n">
        <x:f>'Mensal'!A20</x:f>
        <x:v>45323</x:v>
      </x:c>
      <x:c r="B48" s="12" t="n">
        <x:f>'Mensal'!D20</x:f>
        <x:v>288305.54999999993</x:v>
      </x:c>
      <x:c r="C48" s="27" t="n">
        <x:f>'Mensal'!C20</x:f>
        <x:v>2629</x:v>
      </x:c>
      <x:c r="D48" s="27" t="n">
        <x:f>'Mensal'!B20</x:f>
        <x:v>111</x:v>
      </x:c>
      <x:c r="E48" s="12" t="n">
        <x:f>B48</x:f>
        <x:v>288305.54999999993</x:v>
      </x:c>
      <x:c r="F48" s="12"/>
      <x:c r="G48" s="27" t="n">
        <x:f>C48</x:f>
        <x:v>2629</x:v>
      </x:c>
      <x:c r="H48" s="27"/>
      <x:c r="I48" s="2" t="str">
        <x:v>fev/24</x:v>
      </x:c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38" customHeight="1">
      <x:c r="A49" s="42" t="n">
        <x:f>'Mensal'!A21</x:f>
        <x:v>45352</x:v>
      </x:c>
      <x:c r="B49" s="12" t="n">
        <x:f>'Mensal'!D21</x:f>
        <x:v>256217.52000000008</x:v>
      </x:c>
      <x:c r="C49" s="27" t="n">
        <x:f>'Mensal'!C21</x:f>
        <x:v>2211</x:v>
      </x:c>
      <x:c r="D49" s="27" t="n">
        <x:f>'Mensal'!B21</x:f>
        <x:v>89</x:v>
      </x:c>
      <x:c r="E49" s="12" t="n">
        <x:f>B49</x:f>
        <x:v>256217.52000000008</x:v>
      </x:c>
      <x:c r="F49" s="12"/>
      <x:c r="G49" s="27" t="n">
        <x:f>C49</x:f>
        <x:v>2211</x:v>
      </x:c>
      <x:c r="H49" s="27"/>
      <x:c r="I49" s="2" t="str">
        <x:v>mar/24</x:v>
      </x:c>
      <x:c r="J49" s="2"/>
      <x:c r="K49" s="9" t="str">
        <x:v>Mês</x:v>
      </x:c>
      <x:c r="L49" s="9" t="str">
        <x:v>Receita observada</x:v>
      </x:c>
      <x:c r="M49" s="9" t="str">
        <x:v>Projeção MM12 (R$)</x:v>
      </x:c>
      <x:c r="N49" s="9" t="str">
        <x:v>Unidades observadas</x:v>
      </x:c>
      <x:c r="O49" s="9" t="str">
        <x:v>Projeção MM12 (un.)</x:v>
      </x:c>
      <x:c r="P49" s="2"/>
      <x:c r="Q49" s="2"/>
      <x:c r="R49" s="2"/>
    </x:row>
    <x:row r="50" ht="22" customHeight="1">
      <x:c r="A50" s="42" t="n">
        <x:f>'Mensal'!A22</x:f>
        <x:v>45383</x:v>
      </x:c>
      <x:c r="B50" s="12" t="n">
        <x:f>'Mensal'!D22</x:f>
        <x:v>278278.7899999999</x:v>
      </x:c>
      <x:c r="C50" s="27" t="n">
        <x:f>'Mensal'!C22</x:f>
        <x:v>2570</x:v>
      </x:c>
      <x:c r="D50" s="27" t="n">
        <x:f>'Mensal'!B22</x:f>
        <x:v>98</x:v>
      </x:c>
      <x:c r="E50" s="12" t="n">
        <x:f>B50</x:f>
        <x:v>278278.7899999999</x:v>
      </x:c>
      <x:c r="F50" s="12"/>
      <x:c r="G50" s="27" t="n">
        <x:f>C50</x:f>
        <x:v>2570</x:v>
      </x:c>
      <x:c r="H50" s="27"/>
      <x:c r="I50" s="2" t="str">
        <x:v>abr/24</x:v>
      </x:c>
      <x:c r="J50" s="2"/>
      <x:c r="K50" s="2" t="str">
        <x:f>I47</x:f>
        <x:v>jan/24</x:v>
      </x:c>
      <x:c r="L50" s="12" t="n">
        <x:f>E47</x:f>
        <x:v>232748.03</x:v>
      </x:c>
      <x:c r="M50" s="12"/>
      <x:c r="N50" s="27" t="n">
        <x:f>G47</x:f>
        <x:v>2003</x:v>
      </x:c>
      <x:c r="O50" s="27"/>
      <x:c r="P50" s="2"/>
      <x:c r="Q50" s="2"/>
      <x:c r="R50" s="2"/>
    </x:row>
    <x:row r="51" ht="22" customHeight="1">
      <x:c r="A51" s="42" t="n">
        <x:f>'Mensal'!A23</x:f>
        <x:v>45413</x:v>
      </x:c>
      <x:c r="B51" s="12" t="n">
        <x:f>'Mensal'!D23</x:f>
        <x:v>263695.99999999994</x:v>
      </x:c>
      <x:c r="C51" s="27" t="n">
        <x:f>'Mensal'!C23</x:f>
        <x:v>2228</x:v>
      </x:c>
      <x:c r="D51" s="27" t="n">
        <x:f>'Mensal'!B23</x:f>
        <x:v>85</x:v>
      </x:c>
      <x:c r="E51" s="12" t="n">
        <x:f>B51</x:f>
        <x:v>263695.99999999994</x:v>
      </x:c>
      <x:c r="F51" s="12"/>
      <x:c r="G51" s="27" t="n">
        <x:f>C51</x:f>
        <x:v>2228</x:v>
      </x:c>
      <x:c r="H51" s="27"/>
      <x:c r="I51" s="2" t="str">
        <x:v>mai/24</x:v>
      </x:c>
      <x:c r="J51" s="2"/>
      <x:c r="K51" s="2" t="str">
        <x:f>I48</x:f>
        <x:v>fev/24</x:v>
      </x:c>
      <x:c r="L51" s="12" t="n">
        <x:f>E48</x:f>
        <x:v>288305.54999999993</x:v>
      </x:c>
      <x:c r="M51" s="12"/>
      <x:c r="N51" s="27" t="n">
        <x:f>G48</x:f>
        <x:v>2629</x:v>
      </x:c>
      <x:c r="O51" s="27"/>
      <x:c r="P51" s="2"/>
      <x:c r="Q51" s="2"/>
      <x:c r="R51" s="2"/>
    </x:row>
    <x:row r="52" ht="22" customHeight="1">
      <x:c r="A52" s="42" t="n">
        <x:f>'Mensal'!A24</x:f>
        <x:v>45444</x:v>
      </x:c>
      <x:c r="B52" s="12" t="n">
        <x:f>'Mensal'!D24</x:f>
        <x:v>329170.99000000017</x:v>
      </x:c>
      <x:c r="C52" s="27" t="n">
        <x:f>'Mensal'!C24</x:f>
        <x:v>2884</x:v>
      </x:c>
      <x:c r="D52" s="27" t="n">
        <x:f>'Mensal'!B24</x:f>
        <x:v>104</x:v>
      </x:c>
      <x:c r="E52" s="12" t="n">
        <x:f>B52</x:f>
        <x:v>329170.99000000017</x:v>
      </x:c>
      <x:c r="F52" s="12"/>
      <x:c r="G52" s="27" t="n">
        <x:f>C52</x:f>
        <x:v>2884</x:v>
      </x:c>
      <x:c r="H52" s="27"/>
      <x:c r="I52" s="2" t="str">
        <x:v>jun/24</x:v>
      </x:c>
      <x:c r="J52" s="2"/>
      <x:c r="K52" s="2" t="str">
        <x:f>I49</x:f>
        <x:v>mar/24</x:v>
      </x:c>
      <x:c r="L52" s="12" t="n">
        <x:f>E49</x:f>
        <x:v>256217.52000000008</x:v>
      </x:c>
      <x:c r="M52" s="12"/>
      <x:c r="N52" s="27" t="n">
        <x:f>G49</x:f>
        <x:v>2211</x:v>
      </x:c>
      <x:c r="O52" s="27"/>
      <x:c r="P52" s="2"/>
      <x:c r="Q52" s="2"/>
      <x:c r="R52" s="2"/>
    </x:row>
    <x:row r="53" ht="22" customHeight="1">
      <x:c r="A53" s="42" t="n">
        <x:f>'Mensal'!A25</x:f>
        <x:v>45474</x:v>
      </x:c>
      <x:c r="B53" s="12" t="n">
        <x:f>'Mensal'!D25</x:f>
        <x:v>260817.37999999998</x:v>
      </x:c>
      <x:c r="C53" s="27" t="n">
        <x:f>'Mensal'!C25</x:f>
        <x:v>2328</x:v>
      </x:c>
      <x:c r="D53" s="27" t="n">
        <x:f>'Mensal'!B25</x:f>
        <x:v>97</x:v>
      </x:c>
      <x:c r="E53" s="12" t="n">
        <x:f>B53</x:f>
        <x:v>260817.37999999998</x:v>
      </x:c>
      <x:c r="F53" s="12"/>
      <x:c r="G53" s="27" t="n">
        <x:f>C53</x:f>
        <x:v>2328</x:v>
      </x:c>
      <x:c r="H53" s="27"/>
      <x:c r="I53" s="2" t="str">
        <x:v>jul/24</x:v>
      </x:c>
      <x:c r="J53" s="2"/>
      <x:c r="K53" s="2" t="str">
        <x:f>I50</x:f>
        <x:v>abr/24</x:v>
      </x:c>
      <x:c r="L53" s="12" t="n">
        <x:f>E50</x:f>
        <x:v>278278.7899999999</x:v>
      </x:c>
      <x:c r="M53" s="12"/>
      <x:c r="N53" s="27" t="n">
        <x:f>G50</x:f>
        <x:v>2570</x:v>
      </x:c>
      <x:c r="O53" s="27"/>
      <x:c r="P53" s="2"/>
      <x:c r="Q53" s="2"/>
      <x:c r="R53" s="2"/>
    </x:row>
    <x:row r="54" ht="22" customHeight="1">
      <x:c r="A54" s="42" t="n">
        <x:f>'Mensal'!A26</x:f>
        <x:v>45505</x:v>
      </x:c>
      <x:c r="B54" s="12" t="n">
        <x:f>'Mensal'!D26</x:f>
        <x:v>260479.61999999997</x:v>
      </x:c>
      <x:c r="C54" s="27" t="n">
        <x:f>'Mensal'!C26</x:f>
        <x:v>2304</x:v>
      </x:c>
      <x:c r="D54" s="27" t="n">
        <x:f>'Mensal'!B26</x:f>
        <x:v>94</x:v>
      </x:c>
      <x:c r="E54" s="12" t="n">
        <x:f>B54</x:f>
        <x:v>260479.61999999997</x:v>
      </x:c>
      <x:c r="F54" s="12"/>
      <x:c r="G54" s="27" t="n">
        <x:f>C54</x:f>
        <x:v>2304</x:v>
      </x:c>
      <x:c r="H54" s="27"/>
      <x:c r="I54" s="2" t="str">
        <x:v>ago/24</x:v>
      </x:c>
      <x:c r="J54" s="2"/>
      <x:c r="K54" s="2" t="str">
        <x:f>I51</x:f>
        <x:v>mai/24</x:v>
      </x:c>
      <x:c r="L54" s="12" t="n">
        <x:f>E51</x:f>
        <x:v>263695.99999999994</x:v>
      </x:c>
      <x:c r="M54" s="12"/>
      <x:c r="N54" s="27" t="n">
        <x:f>G51</x:f>
        <x:v>2228</x:v>
      </x:c>
      <x:c r="O54" s="27"/>
      <x:c r="P54" s="2"/>
      <x:c r="Q54" s="2"/>
      <x:c r="R54" s="2"/>
    </x:row>
    <x:row r="55" ht="22" customHeight="1">
      <x:c r="A55" s="42" t="n">
        <x:f>'Mensal'!A27</x:f>
        <x:v>45536</x:v>
      </x:c>
      <x:c r="B55" s="12" t="n">
        <x:f>'Mensal'!D27</x:f>
        <x:v>270836.22</x:v>
      </x:c>
      <x:c r="C55" s="27" t="n">
        <x:f>'Mensal'!C27</x:f>
        <x:v>2468</x:v>
      </x:c>
      <x:c r="D55" s="27" t="n">
        <x:f>'Mensal'!B27</x:f>
        <x:v>97</x:v>
      </x:c>
      <x:c r="E55" s="12" t="n">
        <x:f>B55</x:f>
        <x:v>270836.22</x:v>
      </x:c>
      <x:c r="F55" s="12"/>
      <x:c r="G55" s="27" t="n">
        <x:f>C55</x:f>
        <x:v>2468</x:v>
      </x:c>
      <x:c r="H55" s="27"/>
      <x:c r="I55" s="2" t="str">
        <x:v>set/24</x:v>
      </x:c>
      <x:c r="J55" s="2"/>
      <x:c r="K55" s="2" t="str">
        <x:f>I52</x:f>
        <x:v>jun/24</x:v>
      </x:c>
      <x:c r="L55" s="12" t="n">
        <x:f>E52</x:f>
        <x:v>329170.99000000017</x:v>
      </x:c>
      <x:c r="M55" s="12"/>
      <x:c r="N55" s="27" t="n">
        <x:f>G52</x:f>
        <x:v>2884</x:v>
      </x:c>
      <x:c r="O55" s="27"/>
      <x:c r="P55" s="2"/>
      <x:c r="Q55" s="2"/>
      <x:c r="R55" s="2"/>
    </x:row>
    <x:row r="56" ht="22" customHeight="1">
      <x:c r="A56" s="42" t="n">
        <x:f>'Mensal'!A28</x:f>
        <x:v>45566</x:v>
      </x:c>
      <x:c r="B56" s="12" t="n">
        <x:f>'Mensal'!D28</x:f>
        <x:v>247753.38000000006</x:v>
      </x:c>
      <x:c r="C56" s="27" t="n">
        <x:f>'Mensal'!C28</x:f>
        <x:v>2254</x:v>
      </x:c>
      <x:c r="D56" s="27" t="n">
        <x:f>'Mensal'!B28</x:f>
        <x:v>94</x:v>
      </x:c>
      <x:c r="E56" s="12" t="n">
        <x:f>B56</x:f>
        <x:v>247753.38000000006</x:v>
      </x:c>
      <x:c r="F56" s="12"/>
      <x:c r="G56" s="27" t="n">
        <x:f>C56</x:f>
        <x:v>2254</x:v>
      </x:c>
      <x:c r="H56" s="27"/>
      <x:c r="I56" s="2" t="str">
        <x:v>out/24</x:v>
      </x:c>
      <x:c r="J56" s="2"/>
      <x:c r="K56" s="2" t="str">
        <x:f>I53</x:f>
        <x:v>jul/24</x:v>
      </x:c>
      <x:c r="L56" s="12" t="n">
        <x:f>E53</x:f>
        <x:v>260817.37999999998</x:v>
      </x:c>
      <x:c r="M56" s="12"/>
      <x:c r="N56" s="27" t="n">
        <x:f>G53</x:f>
        <x:v>2328</x:v>
      </x:c>
      <x:c r="O56" s="27"/>
      <x:c r="P56" s="2"/>
      <x:c r="Q56" s="2"/>
      <x:c r="R56" s="2"/>
    </x:row>
    <x:row r="57" ht="22" customHeight="1">
      <x:c r="A57" s="42" t="n">
        <x:f>'Mensal'!A29</x:f>
        <x:v>45597</x:v>
      </x:c>
      <x:c r="B57" s="12" t="n">
        <x:f>'Mensal'!D29</x:f>
        <x:v>309972.5900000001</x:v>
      </x:c>
      <x:c r="C57" s="27" t="n">
        <x:f>'Mensal'!C29</x:f>
        <x:v>2711</x:v>
      </x:c>
      <x:c r="D57" s="27" t="n">
        <x:f>'Mensal'!B29</x:f>
        <x:v>102</x:v>
      </x:c>
      <x:c r="E57" s="12" t="n">
        <x:f>B57</x:f>
        <x:v>309972.5900000001</x:v>
      </x:c>
      <x:c r="F57" s="12"/>
      <x:c r="G57" s="27" t="n">
        <x:f>C57</x:f>
        <x:v>2711</x:v>
      </x:c>
      <x:c r="H57" s="27"/>
      <x:c r="I57" s="2" t="str">
        <x:v>nov/24</x:v>
      </x:c>
      <x:c r="J57" s="2"/>
      <x:c r="K57" s="2" t="str">
        <x:f>I54</x:f>
        <x:v>ago/24</x:v>
      </x:c>
      <x:c r="L57" s="12" t="n">
        <x:f>E54</x:f>
        <x:v>260479.61999999997</x:v>
      </x:c>
      <x:c r="M57" s="12"/>
      <x:c r="N57" s="27" t="n">
        <x:f>G54</x:f>
        <x:v>2304</x:v>
      </x:c>
      <x:c r="O57" s="27"/>
      <x:c r="P57" s="2"/>
      <x:c r="Q57" s="2"/>
      <x:c r="R57" s="2"/>
    </x:row>
    <x:row r="58" ht="22" customHeight="1">
      <x:c r="A58" s="42" t="n">
        <x:f>'Mensal'!A30</x:f>
        <x:v>45627</x:v>
      </x:c>
      <x:c r="B58" s="12" t="n">
        <x:f>'Mensal'!D30</x:f>
        <x:v>266426.68</x:v>
      </x:c>
      <x:c r="C58" s="27" t="n">
        <x:f>'Mensal'!C30</x:f>
        <x:v>2831</x:v>
      </x:c>
      <x:c r="D58" s="27" t="n">
        <x:f>'Mensal'!B30</x:f>
        <x:v>101</x:v>
      </x:c>
      <x:c r="E58" s="12" t="n">
        <x:f>B58</x:f>
        <x:v>266426.68</x:v>
      </x:c>
      <x:c r="F58" s="12" t="n">
        <x:f>B58</x:f>
        <x:v>266426.68</x:v>
      </x:c>
      <x:c r="G58" s="27" t="n">
        <x:f>C58</x:f>
        <x:v>2831</x:v>
      </x:c>
      <x:c r="H58" s="27" t="n">
        <x:f>C58</x:f>
        <x:v>2831</x:v>
      </x:c>
      <x:c r="I58" s="2" t="str">
        <x:v>dez/24</x:v>
      </x:c>
      <x:c r="J58" s="2"/>
      <x:c r="K58" s="2" t="str">
        <x:f>I55</x:f>
        <x:v>set/24</x:v>
      </x:c>
      <x:c r="L58" s="12" t="n">
        <x:f>E55</x:f>
        <x:v>270836.22</x:v>
      </x:c>
      <x:c r="M58" s="12"/>
      <x:c r="N58" s="27" t="n">
        <x:f>G55</x:f>
        <x:v>2468</x:v>
      </x:c>
      <x:c r="O58" s="27"/>
      <x:c r="P58" s="2"/>
      <x:c r="Q58" s="2"/>
      <x:c r="R58" s="2"/>
    </x:row>
    <x:row r="59" ht="22" customHeight="1">
      <x:c r="A59" s="42" t="n">
        <x:v>45658</x:v>
      </x:c>
      <x:c r="B59" s="12" t="n">
        <x:f>AVERAGE(B47:B58)</x:f>
        <x:v>272058.56250000006</x:v>
      </x:c>
      <x:c r="C59" s="27" t="n">
        <x:f>AVERAGE(C47:C58)</x:f>
        <x:v>2451.75</x:v>
      </x:c>
      <x:c r="D59" s="27" t="n">
        <x:f>AVERAGE(D47:D58)</x:f>
        <x:v>96.33333333333333</x:v>
      </x:c>
      <x:c r="E59" s="12"/>
      <x:c r="F59" s="12" t="n">
        <x:f>B59</x:f>
        <x:v>272058.56250000006</x:v>
      </x:c>
      <x:c r="G59" s="27"/>
      <x:c r="H59" s="27" t="n">
        <x:f>C59</x:f>
        <x:v>2451.75</x:v>
      </x:c>
      <x:c r="I59" s="2" t="str">
        <x:v>jan/25</x:v>
      </x:c>
      <x:c r="J59" s="2"/>
      <x:c r="K59" s="2" t="str">
        <x:f>I56</x:f>
        <x:v>out/24</x:v>
      </x:c>
      <x:c r="L59" s="12" t="n">
        <x:f>E56</x:f>
        <x:v>247753.38000000006</x:v>
      </x:c>
      <x:c r="M59" s="12"/>
      <x:c r="N59" s="27" t="n">
        <x:f>G56</x:f>
        <x:v>2254</x:v>
      </x:c>
      <x:c r="O59" s="27"/>
      <x:c r="P59" s="2"/>
      <x:c r="Q59" s="2"/>
      <x:c r="R59" s="2"/>
    </x:row>
    <x:row r="60" ht="22" customHeight="1">
      <x:c r="A60" s="42" t="n">
        <x:v>45689</x:v>
      </x:c>
      <x:c r="B60" s="12" t="n">
        <x:f>AVERAGE(B48:B59)</x:f>
        <x:v>275334.44020833337</x:v>
      </x:c>
      <x:c r="C60" s="27" t="n">
        <x:f>AVERAGE(C48:C59)</x:f>
        <x:v>2489.1458333333335</x:v>
      </x:c>
      <x:c r="D60" s="27" t="n">
        <x:f>AVERAGE(D48:D59)</x:f>
        <x:v>97.3611111111111</x:v>
      </x:c>
      <x:c r="E60" s="12"/>
      <x:c r="F60" s="12" t="n">
        <x:f>B60</x:f>
        <x:v>275334.44020833337</x:v>
      </x:c>
      <x:c r="G60" s="27"/>
      <x:c r="H60" s="27" t="n">
        <x:f>C60</x:f>
        <x:v>2489.1458333333335</x:v>
      </x:c>
      <x:c r="I60" s="2" t="str">
        <x:v>fev/25</x:v>
      </x:c>
      <x:c r="J60" s="2"/>
      <x:c r="K60" s="2" t="str">
        <x:f>I57</x:f>
        <x:v>nov/24</x:v>
      </x:c>
      <x:c r="L60" s="12" t="n">
        <x:f>E57</x:f>
        <x:v>309972.5900000001</x:v>
      </x:c>
      <x:c r="M60" s="12"/>
      <x:c r="N60" s="27" t="n">
        <x:f>G57</x:f>
        <x:v>2711</x:v>
      </x:c>
      <x:c r="O60" s="27"/>
      <x:c r="P60" s="2"/>
      <x:c r="Q60" s="2"/>
      <x:c r="R60" s="2"/>
    </x:row>
    <x:row r="61" ht="22" customHeight="1">
      <x:c r="A61" s="42" t="n">
        <x:v>45717</x:v>
      </x:c>
      <x:c r="B61" s="12" t="n">
        <x:f>AVERAGE(B49:B60)</x:f>
        <x:v>274253.51439236116</x:v>
      </x:c>
      <x:c r="C61" s="27" t="n">
        <x:f>AVERAGE(C49:C60)</x:f>
        <x:v>2477.4913194444443</x:v>
      </x:c>
      <x:c r="D61" s="27" t="n">
        <x:f>AVERAGE(D49:D60)</x:f>
        <x:v>96.22453703703702</x:v>
      </x:c>
      <x:c r="E61" s="12"/>
      <x:c r="F61" s="12" t="n">
        <x:f>B61</x:f>
        <x:v>274253.51439236116</x:v>
      </x:c>
      <x:c r="G61" s="27"/>
      <x:c r="H61" s="27" t="n">
        <x:f>C61</x:f>
        <x:v>2477.4913194444443</x:v>
      </x:c>
      <x:c r="I61" s="2" t="str">
        <x:v>mar/25</x:v>
      </x:c>
      <x:c r="J61" s="2"/>
      <x:c r="K61" s="2" t="str">
        <x:f>I58</x:f>
        <x:v>dez/24</x:v>
      </x:c>
      <x:c r="L61" s="12" t="n">
        <x:f>E58</x:f>
        <x:v>266426.68</x:v>
      </x:c>
      <x:c r="M61" s="12" t="n">
        <x:f>F58</x:f>
        <x:v>266426.68</x:v>
      </x:c>
      <x:c r="N61" s="27" t="n">
        <x:f>G58</x:f>
        <x:v>2831</x:v>
      </x:c>
      <x:c r="O61" s="27" t="n">
        <x:f>H58</x:f>
        <x:v>2831</x:v>
      </x:c>
      <x:c r="P61" s="2"/>
      <x:c r="Q61" s="2"/>
      <x:c r="R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 t="str">
        <x:f>I59</x:f>
        <x:v>jan/25</x:v>
      </x:c>
      <x:c r="L62" s="12"/>
      <x:c r="M62" s="12" t="n">
        <x:f>F59</x:f>
        <x:v>272058.56250000006</x:v>
      </x:c>
      <x:c r="N62" s="27"/>
      <x:c r="O62" s="27" t="n">
        <x:f>H59</x:f>
        <x:v>2451.75</x:v>
      </x:c>
      <x:c r="P62" s="2"/>
      <x:c r="Q62" s="2"/>
      <x:c r="R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 t="str">
        <x:f>I60</x:f>
        <x:v>fev/25</x:v>
      </x:c>
      <x:c r="L63" s="12"/>
      <x:c r="M63" s="12" t="n">
        <x:f>F60</x:f>
        <x:v>275334.44020833337</x:v>
      </x:c>
      <x:c r="N63" s="27"/>
      <x:c r="O63" s="27" t="n">
        <x:f>H60</x:f>
        <x:v>2489.1458333333335</x:v>
      </x:c>
      <x:c r="P63" s="2"/>
      <x:c r="Q63" s="2"/>
      <x:c r="R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 t="str">
        <x:f>I61</x:f>
        <x:v>mar/25</x:v>
      </x:c>
      <x:c r="L64" s="12"/>
      <x:c r="M64" s="12" t="n">
        <x:f>F61</x:f>
        <x:v>274253.51439236116</x:v>
      </x:c>
      <x:c r="N64" s="27"/>
      <x:c r="O64" s="27" t="n">
        <x:f>H61</x:f>
        <x:v>2477.4913194444443</x:v>
      </x:c>
      <x:c r="P64" s="2"/>
      <x:c r="Q64" s="2"/>
      <x:c r="R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</x:row>
    <x:row r="68" ht="22" customHeight="1">
      <x:c r="A68" s="15" t="str">
        <x:v>Detalhamento da validação MM3</x:v>
      </x:c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</x:row>
    <x:row r="69" ht="38" customHeight="1">
      <x:c r="A69" s="9" t="str">
        <x:v>Mês de 2024</x:v>
      </x:c>
      <x:c r="B69" s="9" t="str">
        <x:v>Receita observada</x:v>
      </x:c>
      <x:c r="C69" s="9" t="str">
        <x:v>Receita prevista</x:v>
      </x:c>
      <x:c r="D69" s="9" t="str">
        <x:v>Erro absoluto (R$)</x:v>
      </x:c>
      <x:c r="E69" s="9" t="str">
        <x:v>Erro % absoluto</x:v>
      </x:c>
      <x:c r="F69" s="9" t="str">
        <x:v>Unidades observadas</x:v>
      </x:c>
      <x:c r="G69" s="9" t="str">
        <x:v>Unidades previstas</x:v>
      </x:c>
      <x:c r="H69" s="9" t="str">
        <x:v>Erro absoluto (un.)</x:v>
      </x:c>
      <x:c r="I69" s="9" t="str">
        <x:v>Erro % absoluto</x:v>
      </x:c>
      <x:c r="J69" s="2"/>
      <x:c r="K69" s="2"/>
      <x:c r="L69" s="2"/>
      <x:c r="M69" s="2"/>
      <x:c r="N69" s="2"/>
      <x:c r="O69" s="2"/>
      <x:c r="P69" s="2"/>
      <x:c r="Q69" s="2"/>
      <x:c r="R69" s="2"/>
    </x:row>
    <x:row r="70" ht="22" customHeight="1">
      <x:c r="A70" s="42" t="n">
        <x:f>A47</x:f>
        <x:v>45292</x:v>
      </x:c>
      <x:c r="B70" s="12" t="n">
        <x:f>B47</x:f>
        <x:v>232748.03</x:v>
      </x:c>
      <x:c r="C70" s="12" t="n">
        <x:f>AVERAGE(B44:B46)</x:f>
        <x:v>254185.00999999998</x:v>
      </x:c>
      <x:c r="D70" s="12" t="n">
        <x:f>ABS(B70-C70)</x:f>
        <x:v>21436.97999999998</x:v>
      </x:c>
      <x:c r="E70" s="22" t="n">
        <x:f>D70/B70</x:f>
        <x:v>0.09210380856929265</x:v>
      </x:c>
      <x:c r="F70" s="27" t="n">
        <x:f>C47</x:f>
        <x:v>2003</x:v>
      </x:c>
      <x:c r="G70" s="27" t="n">
        <x:f>AVERAGE(C44:C46)</x:f>
        <x:v>2445</x:v>
      </x:c>
      <x:c r="H70" s="27" t="n">
        <x:f>ABS(F70-G70)</x:f>
        <x:v>442</x:v>
      </x:c>
      <x:c r="I70" s="22" t="n">
        <x:f>H70/F70</x:f>
        <x:v>0.22066899650524213</x:v>
      </x:c>
      <x:c r="J70" s="2"/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42" t="n">
        <x:f>A48</x:f>
        <x:v>45323</x:v>
      </x:c>
      <x:c r="B71" s="12" t="n">
        <x:f>B48</x:f>
        <x:v>288305.54999999993</x:v>
      </x:c>
      <x:c r="C71" s="12" t="n">
        <x:f>AVERAGE(B45:B47)</x:f>
        <x:v>240155.46</x:v>
      </x:c>
      <x:c r="D71" s="12" t="n">
        <x:f>ABS(B71-C71)</x:f>
        <x:v>48150.08999999994</x:v>
      </x:c>
      <x:c r="E71" s="22" t="n">
        <x:f>D71/B71</x:f>
        <x:v>0.16701062466539388</x:v>
      </x:c>
      <x:c r="F71" s="27" t="n">
        <x:f>C48</x:f>
        <x:v>2629</x:v>
      </x:c>
      <x:c r="G71" s="27" t="n">
        <x:f>AVERAGE(C45:C47)</x:f>
        <x:v>2196</x:v>
      </x:c>
      <x:c r="H71" s="27" t="n">
        <x:f>ABS(F71-G71)</x:f>
        <x:v>433</x:v>
      </x:c>
      <x:c r="I71" s="22" t="n">
        <x:f>H71/F71</x:f>
        <x:v>0.16470140737923164</x:v>
      </x:c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2" customHeight="1">
      <x:c r="A72" s="42" t="n">
        <x:f>A49</x:f>
        <x:v>45352</x:v>
      </x:c>
      <x:c r="B72" s="12" t="n">
        <x:f>B49</x:f>
        <x:v>256217.52000000008</x:v>
      </x:c>
      <x:c r="C72" s="12" t="n">
        <x:f>AVERAGE(B46:B48)</x:f>
        <x:v>261871.7533333333</x:v>
      </x:c>
      <x:c r="D72" s="12" t="n">
        <x:f>ABS(B72-C72)</x:f>
        <x:v>5654.233333333221</x:v>
      </x:c>
      <x:c r="E72" s="22" t="n">
        <x:f>D72/B72</x:f>
        <x:v>0.022068097971337866</x:v>
      </x:c>
      <x:c r="F72" s="27" t="n">
        <x:f>C49</x:f>
        <x:v>2211</x:v>
      </x:c>
      <x:c r="G72" s="27" t="n">
        <x:f>AVERAGE(C46:C48)</x:f>
        <x:v>2307.6666666666665</x:v>
      </x:c>
      <x:c r="H72" s="27" t="n">
        <x:f>ABS(F72-G72)</x:f>
        <x:v>96.66666666666652</x:v>
      </x:c>
      <x:c r="I72" s="22" t="n">
        <x:f>H72/F72</x:f>
        <x:v>0.04372078998944664</x:v>
      </x:c>
      <x:c r="J72" s="2"/>
      <x:c r="K72" s="2"/>
      <x:c r="L72" s="2"/>
      <x:c r="M72" s="2"/>
      <x:c r="N72" s="2"/>
      <x:c r="O72" s="2"/>
      <x:c r="P72" s="2"/>
      <x:c r="Q72" s="2"/>
      <x:c r="R72" s="2"/>
    </x:row>
    <x:row r="73" ht="22" customHeight="1">
      <x:c r="A73" s="42" t="n">
        <x:f>A50</x:f>
        <x:v>45383</x:v>
      </x:c>
      <x:c r="B73" s="12" t="n">
        <x:f>B50</x:f>
        <x:v>278278.7899999999</x:v>
      </x:c>
      <x:c r="C73" s="12" t="n">
        <x:f>AVERAGE(B47:B49)</x:f>
        <x:v>259090.3666666667</x:v>
      </x:c>
      <x:c r="D73" s="12" t="n">
        <x:f>ABS(B73-C73)</x:f>
        <x:v>19188.423333333223</x:v>
      </x:c>
      <x:c r="E73" s="22" t="n">
        <x:f>D73/B73</x:f>
        <x:v>0.06895395561168434</x:v>
      </x:c>
      <x:c r="F73" s="27" t="n">
        <x:f>C50</x:f>
        <x:v>2570</x:v>
      </x:c>
      <x:c r="G73" s="27" t="n">
        <x:f>AVERAGE(C47:C49)</x:f>
        <x:v>2281</x:v>
      </x:c>
      <x:c r="H73" s="27" t="n">
        <x:f>ABS(F73-G73)</x:f>
        <x:v>289</x:v>
      </x:c>
      <x:c r="I73" s="22" t="n">
        <x:f>H73/F73</x:f>
        <x:v>0.11245136186770428</x:v>
      </x:c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2" customHeight="1">
      <x:c r="A74" s="42" t="n">
        <x:f>A51</x:f>
        <x:v>45413</x:v>
      </x:c>
      <x:c r="B74" s="12" t="n">
        <x:f>B51</x:f>
        <x:v>263695.99999999994</x:v>
      </x:c>
      <x:c r="C74" s="12" t="n">
        <x:f>AVERAGE(B48:B50)</x:f>
        <x:v>274267.2866666667</x:v>
      </x:c>
      <x:c r="D74" s="12" t="n">
        <x:f>ABS(B74-C74)</x:f>
        <x:v>10571.28666666674</x:v>
      </x:c>
      <x:c r="E74" s="22" t="n">
        <x:f>D74/B74</x:f>
        <x:v>0.040088915518880615</x:v>
      </x:c>
      <x:c r="F74" s="27" t="n">
        <x:f>C51</x:f>
        <x:v>2228</x:v>
      </x:c>
      <x:c r="G74" s="27" t="n">
        <x:f>AVERAGE(C48:C50)</x:f>
        <x:v>2470</x:v>
      </x:c>
      <x:c r="H74" s="27" t="n">
        <x:f>ABS(F74-G74)</x:f>
        <x:v>242</x:v>
      </x:c>
      <x:c r="I74" s="22" t="n">
        <x:f>H74/F74</x:f>
        <x:v>0.10861759425493717</x:v>
      </x:c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2" customHeight="1">
      <x:c r="A75" s="42" t="n">
        <x:f>A52</x:f>
        <x:v>45444</x:v>
      </x:c>
      <x:c r="B75" s="12" t="n">
        <x:f>B52</x:f>
        <x:v>329170.99000000017</x:v>
      </x:c>
      <x:c r="C75" s="12" t="n">
        <x:f>AVERAGE(B49:B51)</x:f>
        <x:v>266064.10333333333</x:v>
      </x:c>
      <x:c r="D75" s="12" t="n">
        <x:f>ABS(B75-C75)</x:f>
        <x:v>63106.88666666683</x:v>
      </x:c>
      <x:c r="E75" s="22" t="n">
        <x:f>D75/B75</x:f>
        <x:v>0.1917146060370229</x:v>
      </x:c>
      <x:c r="F75" s="27" t="n">
        <x:f>C52</x:f>
        <x:v>2884</x:v>
      </x:c>
      <x:c r="G75" s="27" t="n">
        <x:f>AVERAGE(C49:C51)</x:f>
        <x:v>2336.3333333333335</x:v>
      </x:c>
      <x:c r="H75" s="27" t="n">
        <x:f>ABS(F75-G75)</x:f>
        <x:v>547.6666666666665</x:v>
      </x:c>
      <x:c r="I75" s="22" t="n">
        <x:f>H75/F75</x:f>
        <x:v>0.18989828941285247</x:v>
      </x:c>
      <x:c r="J75" s="2"/>
      <x:c r="K75" s="2"/>
      <x:c r="L75" s="2"/>
      <x:c r="M75" s="2"/>
      <x:c r="N75" s="2"/>
      <x:c r="O75" s="2"/>
      <x:c r="P75" s="2"/>
      <x:c r="Q75" s="2"/>
      <x:c r="R75" s="2"/>
    </x:row>
    <x:row r="76" ht="22" customHeight="1">
      <x:c r="A76" s="42" t="n">
        <x:f>A53</x:f>
        <x:v>45474</x:v>
      </x:c>
      <x:c r="B76" s="12" t="n">
        <x:f>B53</x:f>
        <x:v>260817.37999999998</x:v>
      </x:c>
      <x:c r="C76" s="12" t="n">
        <x:f>AVERAGE(B50:B52)</x:f>
        <x:v>290381.9266666667</x:v>
      </x:c>
      <x:c r="D76" s="12" t="n">
        <x:f>ABS(B76-C76)</x:f>
        <x:v>29564.54666666672</x:v>
      </x:c>
      <x:c r="E76" s="22" t="n">
        <x:f>D76/B76</x:f>
        <x:v>0.1133534378217691</x:v>
      </x:c>
      <x:c r="F76" s="27" t="n">
        <x:f>C53</x:f>
        <x:v>2328</x:v>
      </x:c>
      <x:c r="G76" s="27" t="n">
        <x:f>AVERAGE(C50:C52)</x:f>
        <x:v>2560.6666666666665</x:v>
      </x:c>
      <x:c r="H76" s="27" t="n">
        <x:f>ABS(F76-G76)</x:f>
        <x:v>232.66666666666652</x:v>
      </x:c>
      <x:c r="I76" s="22" t="n">
        <x:f>H76/F76</x:f>
        <x:v>0.09994272623138596</x:v>
      </x:c>
      <x:c r="J76" s="2"/>
      <x:c r="K76" s="2"/>
      <x:c r="L76" s="2"/>
      <x:c r="M76" s="2"/>
      <x:c r="N76" s="2"/>
      <x:c r="O76" s="2"/>
      <x:c r="P76" s="2"/>
      <x:c r="Q76" s="2"/>
      <x:c r="R76" s="2"/>
    </x:row>
    <x:row r="77" ht="22" customHeight="1">
      <x:c r="A77" s="42" t="n">
        <x:f>A54</x:f>
        <x:v>45505</x:v>
      </x:c>
      <x:c r="B77" s="12" t="n">
        <x:f>B54</x:f>
        <x:v>260479.61999999997</x:v>
      </x:c>
      <x:c r="C77" s="12" t="n">
        <x:f>AVERAGE(B51:B53)</x:f>
        <x:v>284561.4566666667</x:v>
      </x:c>
      <x:c r="D77" s="12" t="n">
        <x:f>ABS(B77-C77)</x:f>
        <x:v>24081.836666666757</x:v>
      </x:c>
      <x:c r="E77" s="22" t="n">
        <x:f>D77/B77</x:f>
        <x:v>0.09245190340291022</x:v>
      </x:c>
      <x:c r="F77" s="27" t="n">
        <x:f>C54</x:f>
        <x:v>2304</x:v>
      </x:c>
      <x:c r="G77" s="27" t="n">
        <x:f>AVERAGE(C51:C53)</x:f>
        <x:v>2480</x:v>
      </x:c>
      <x:c r="H77" s="27" t="n">
        <x:f>ABS(F77-G77)</x:f>
        <x:v>176</x:v>
      </x:c>
      <x:c r="I77" s="22" t="n">
        <x:f>H77/F77</x:f>
        <x:v>0.0763888888888889</x:v>
      </x:c>
      <x:c r="J77" s="2"/>
      <x:c r="K77" s="2"/>
      <x:c r="L77" s="2"/>
      <x:c r="M77" s="2"/>
      <x:c r="N77" s="2"/>
      <x:c r="O77" s="2"/>
      <x:c r="P77" s="2"/>
      <x:c r="Q77" s="2"/>
      <x:c r="R77" s="2"/>
    </x:row>
    <x:row r="78" ht="22" customHeight="1">
      <x:c r="A78" s="42" t="n">
        <x:f>A55</x:f>
        <x:v>45536</x:v>
      </x:c>
      <x:c r="B78" s="12" t="n">
        <x:f>B55</x:f>
        <x:v>270836.22</x:v>
      </x:c>
      <x:c r="C78" s="12" t="n">
        <x:f>AVERAGE(B52:B54)</x:f>
        <x:v>283489.33</x:v>
      </x:c>
      <x:c r="D78" s="12" t="n">
        <x:f>ABS(B78-C78)</x:f>
        <x:v>12653.110000000044</x:v>
      </x:c>
      <x:c r="E78" s="22" t="n">
        <x:f>D78/B78</x:f>
        <x:v>0.04671867743538898</x:v>
      </x:c>
      <x:c r="F78" s="27" t="n">
        <x:f>C55</x:f>
        <x:v>2468</x:v>
      </x:c>
      <x:c r="G78" s="27" t="n">
        <x:f>AVERAGE(C52:C54)</x:f>
        <x:v>2505.3333333333335</x:v>
      </x:c>
      <x:c r="H78" s="27" t="n">
        <x:f>ABS(F78-G78)</x:f>
        <x:v>37.333333333333485</x:v>
      </x:c>
      <x:c r="I78" s="22" t="n">
        <x:f>H78/F78</x:f>
        <x:v>0.015126958400864459</x:v>
      </x:c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2" customHeight="1">
      <x:c r="A79" s="42" t="n">
        <x:f>A56</x:f>
        <x:v>45566</x:v>
      </x:c>
      <x:c r="B79" s="12" t="n">
        <x:f>B56</x:f>
        <x:v>247753.38000000006</x:v>
      </x:c>
      <x:c r="C79" s="12" t="n">
        <x:f>AVERAGE(B53:B55)</x:f>
        <x:v>264044.4066666667</x:v>
      </x:c>
      <x:c r="D79" s="12" t="n">
        <x:f>ABS(B79-C79)</x:f>
        <x:v>16291.026666666614</x:v>
      </x:c>
      <x:c r="E79" s="22" t="n">
        <x:f>D79/B79</x:f>
        <x:v>0.06575501277385846</x:v>
      </x:c>
      <x:c r="F79" s="27" t="n">
        <x:f>C56</x:f>
        <x:v>2254</x:v>
      </x:c>
      <x:c r="G79" s="27" t="n">
        <x:f>AVERAGE(C53:C55)</x:f>
        <x:v>2366.6666666666665</x:v>
      </x:c>
      <x:c r="H79" s="27" t="n">
        <x:f>ABS(F79-G79)</x:f>
        <x:v>112.66666666666652</x:v>
      </x:c>
      <x:c r="I79" s="22" t="n">
        <x:f>H79/F79</x:f>
        <x:v>0.04998521147589464</x:v>
      </x:c>
      <x:c r="J79" s="2"/>
      <x:c r="K79" s="2"/>
      <x:c r="L79" s="2"/>
      <x:c r="M79" s="2"/>
      <x:c r="N79" s="2"/>
      <x:c r="O79" s="2"/>
      <x:c r="P79" s="2"/>
      <x:c r="Q79" s="2"/>
      <x:c r="R79" s="2"/>
    </x:row>
    <x:row r="80" ht="22" customHeight="1">
      <x:c r="A80" s="42" t="n">
        <x:f>A57</x:f>
        <x:v>45597</x:v>
      </x:c>
      <x:c r="B80" s="12" t="n">
        <x:f>B57</x:f>
        <x:v>309972.5900000001</x:v>
      </x:c>
      <x:c r="C80" s="12" t="n">
        <x:f>AVERAGE(B54:B56)</x:f>
        <x:v>259689.74</x:v>
      </x:c>
      <x:c r="D80" s="12" t="n">
        <x:f>ABS(B80-C80)</x:f>
        <x:v>50282.85000000009</x:v>
      </x:c>
      <x:c r="E80" s="22" t="n">
        <x:f>D80/B80</x:f>
        <x:v>0.16221708506548943</x:v>
      </x:c>
      <x:c r="F80" s="27" t="n">
        <x:f>C57</x:f>
        <x:v>2711</x:v>
      </x:c>
      <x:c r="G80" s="27" t="n">
        <x:f>AVERAGE(C54:C56)</x:f>
        <x:v>2342</x:v>
      </x:c>
      <x:c r="H80" s="27" t="n">
        <x:f>ABS(F80-G80)</x:f>
        <x:v>369</x:v>
      </x:c>
      <x:c r="I80" s="22" t="n">
        <x:f>H80/F80</x:f>
        <x:v>0.13611213574326816</x:v>
      </x:c>
      <x:c r="J80" s="2"/>
      <x:c r="K80" s="2"/>
      <x:c r="L80" s="2"/>
      <x:c r="M80" s="2"/>
      <x:c r="N80" s="2"/>
      <x:c r="O80" s="2"/>
      <x:c r="P80" s="2"/>
      <x:c r="Q80" s="2"/>
      <x:c r="R80" s="2"/>
    </x:row>
    <x:row r="81" ht="22" customHeight="1">
      <x:c r="A81" s="42" t="n">
        <x:f>A58</x:f>
        <x:v>45627</x:v>
      </x:c>
      <x:c r="B81" s="12" t="n">
        <x:f>B58</x:f>
        <x:v>266426.68</x:v>
      </x:c>
      <x:c r="C81" s="12" t="n">
        <x:f>AVERAGE(B55:B57)</x:f>
        <x:v>276187.3966666667</x:v>
      </x:c>
      <x:c r="D81" s="12" t="n">
        <x:f>ABS(B81-C81)</x:f>
        <x:v>9760.716666666733</x:v>
      </x:c>
      <x:c r="E81" s="22" t="n">
        <x:f>D81/B81</x:f>
        <x:v>0.03663565776020154</x:v>
      </x:c>
      <x:c r="F81" s="27" t="n">
        <x:f>C58</x:f>
        <x:v>2831</x:v>
      </x:c>
      <x:c r="G81" s="27" t="n">
        <x:f>AVERAGE(C55:C57)</x:f>
        <x:v>2477.6666666666665</x:v>
      </x:c>
      <x:c r="H81" s="27" t="n">
        <x:f>ABS(F81-G81)</x:f>
        <x:v>353.3333333333335</x:v>
      </x:c>
      <x:c r="I81" s="22" t="n">
        <x:f>H81/F81</x:f>
        <x:v>0.12480866596020257</x:v>
      </x:c>
      <x:c r="J81" s="2"/>
      <x:c r="K81" s="2"/>
      <x:c r="L81" s="2"/>
      <x:c r="M81" s="2"/>
      <x:c r="N81" s="2"/>
      <x:c r="O81" s="2"/>
      <x:c r="P81" s="2"/>
      <x:c r="Q81" s="2"/>
      <x:c r="R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</x:row>
    <x:row r="84" ht="22" customHeight="1">
      <x:c r="A84" s="15" t="str">
        <x:v>Detalhamento da validação MM6</x:v>
      </x:c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</x:row>
    <x:row r="85" ht="38" customHeight="1">
      <x:c r="A85" s="9" t="str">
        <x:v>Mês de 2024</x:v>
      </x:c>
      <x:c r="B85" s="9" t="str">
        <x:v>Receita observada</x:v>
      </x:c>
      <x:c r="C85" s="9" t="str">
        <x:v>Receita prevista</x:v>
      </x:c>
      <x:c r="D85" s="9" t="str">
        <x:v>Erro absoluto (R$)</x:v>
      </x:c>
      <x:c r="E85" s="9" t="str">
        <x:v>Erro % absoluto</x:v>
      </x:c>
      <x:c r="F85" s="9" t="str">
        <x:v>Unidades observadas</x:v>
      </x:c>
      <x:c r="G85" s="9" t="str">
        <x:v>Unidades previstas</x:v>
      </x:c>
      <x:c r="H85" s="9" t="str">
        <x:v>Erro absoluto (un.)</x:v>
      </x:c>
      <x:c r="I85" s="9" t="str">
        <x:v>Erro % absoluto</x:v>
      </x:c>
      <x:c r="J85" s="2"/>
      <x:c r="K85" s="2"/>
      <x:c r="L85" s="2"/>
      <x:c r="M85" s="2"/>
      <x:c r="N85" s="2"/>
      <x:c r="O85" s="2"/>
      <x:c r="P85" s="2"/>
      <x:c r="Q85" s="2"/>
      <x:c r="R85" s="2"/>
    </x:row>
    <x:row r="86" ht="22" customHeight="1">
      <x:c r="A86" s="42" t="n">
        <x:f>A47</x:f>
        <x:v>45292</x:v>
      </x:c>
      <x:c r="B86" s="12" t="n">
        <x:f>B47</x:f>
        <x:v>232748.03</x:v>
      </x:c>
      <x:c r="C86" s="12" t="n">
        <x:f>AVERAGE(B41:B46)</x:f>
        <x:v>266782.4516666667</x:v>
      </x:c>
      <x:c r="D86" s="12" t="n">
        <x:f>ABS(B86-C86)</x:f>
        <x:v>34034.42166666672</x:v>
      </x:c>
      <x:c r="E86" s="22" t="n">
        <x:f>D86/B86</x:f>
        <x:v>0.14622861326330763</x:v>
      </x:c>
      <x:c r="F86" s="27" t="n">
        <x:f>C47</x:f>
        <x:v>2003</x:v>
      </x:c>
      <x:c r="G86" s="27" t="n">
        <x:f>AVERAGE(C41:C46)</x:f>
        <x:v>2459.5</x:v>
      </x:c>
      <x:c r="H86" s="27" t="n">
        <x:f>ABS(F86-G86)</x:f>
        <x:v>456.5</x:v>
      </x:c>
      <x:c r="I86" s="22" t="n">
        <x:f>H86/F86</x:f>
        <x:v>0.22790813779331004</x:v>
      </x:c>
      <x:c r="J86" s="2"/>
      <x:c r="K86" s="2"/>
      <x:c r="L86" s="2"/>
      <x:c r="M86" s="2"/>
      <x:c r="N86" s="2"/>
      <x:c r="O86" s="2"/>
      <x:c r="P86" s="2"/>
      <x:c r="Q86" s="2"/>
      <x:c r="R86" s="2"/>
    </x:row>
    <x:row r="87" ht="22" customHeight="1">
      <x:c r="A87" s="42" t="n">
        <x:f>A48</x:f>
        <x:v>45323</x:v>
      </x:c>
      <x:c r="B87" s="12" t="n">
        <x:f>B48</x:f>
        <x:v>288305.54999999993</x:v>
      </x:c>
      <x:c r="C87" s="12" t="n">
        <x:f>AVERAGE(B42:B47)</x:f>
        <x:v>254768.98833333337</x:v>
      </x:c>
      <x:c r="D87" s="12" t="n">
        <x:f>ABS(B87-C87)</x:f>
        <x:v>33536.56166666656</x:v>
      </x:c>
      <x:c r="E87" s="22" t="n">
        <x:f>D87/B87</x:f>
        <x:v>0.11632298326087225</x:v>
      </x:c>
      <x:c r="F87" s="27" t="n">
        <x:f>C48</x:f>
        <x:v>2629</x:v>
      </x:c>
      <x:c r="G87" s="27" t="n">
        <x:f>AVERAGE(C42:C47)</x:f>
        <x:v>2348.5</x:v>
      </x:c>
      <x:c r="H87" s="27" t="n">
        <x:f>ABS(F87-G87)</x:f>
        <x:v>280.5</x:v>
      </x:c>
      <x:c r="I87" s="22" t="n">
        <x:f>H87/F87</x:f>
        <x:v>0.10669456066945607</x:v>
      </x:c>
      <x:c r="J87" s="2"/>
      <x:c r="K87" s="2"/>
      <x:c r="L87" s="2"/>
      <x:c r="M87" s="2"/>
      <x:c r="N87" s="2"/>
      <x:c r="O87" s="2"/>
      <x:c r="P87" s="2"/>
      <x:c r="Q87" s="2"/>
      <x:c r="R87" s="2"/>
    </x:row>
    <x:row r="88" ht="22" customHeight="1">
      <x:c r="A88" s="42" t="n">
        <x:f>A49</x:f>
        <x:v>45352</x:v>
      </x:c>
      <x:c r="B88" s="12" t="n">
        <x:f>B49</x:f>
        <x:v>256217.52000000008</x:v>
      </x:c>
      <x:c r="C88" s="12" t="n">
        <x:f>AVERAGE(B43:B48)</x:f>
        <x:v>252153.09499999997</x:v>
      </x:c>
      <x:c r="D88" s="12" t="n">
        <x:f>ABS(B88-C88)</x:f>
        <x:v>4064.425000000105</x:v>
      </x:c>
      <x:c r="E88" s="22" t="n">
        <x:f>D88/B88</x:f>
        <x:v>0.015863181409296694</x:v>
      </x:c>
      <x:c r="F88" s="27" t="n">
        <x:f>C49</x:f>
        <x:v>2211</x:v>
      </x:c>
      <x:c r="G88" s="27" t="n">
        <x:f>AVERAGE(C43:C48)</x:f>
        <x:v>2336</x:v>
      </x:c>
      <x:c r="H88" s="27" t="n">
        <x:f>ABS(F88-G88)</x:f>
        <x:v>125</x:v>
      </x:c>
      <x:c r="I88" s="22" t="n">
        <x:f>H88/F88</x:f>
        <x:v>0.056535504296698326</x:v>
      </x:c>
      <x:c r="J88" s="2"/>
      <x:c r="K88" s="2"/>
      <x:c r="L88" s="2"/>
      <x:c r="M88" s="2"/>
      <x:c r="N88" s="2"/>
      <x:c r="O88" s="2"/>
      <x:c r="P88" s="2"/>
      <x:c r="Q88" s="2"/>
      <x:c r="R88" s="2"/>
    </x:row>
    <x:row r="89" ht="22" customHeight="1">
      <x:c r="A89" s="42" t="n">
        <x:f>A50</x:f>
        <x:v>45383</x:v>
      </x:c>
      <x:c r="B89" s="12" t="n">
        <x:f>B50</x:f>
        <x:v>278278.7899999999</x:v>
      </x:c>
      <x:c r="C89" s="12" t="n">
        <x:f>AVERAGE(B44:B49)</x:f>
        <x:v>256637.68833333332</x:v>
      </x:c>
      <x:c r="D89" s="12" t="n">
        <x:f>ABS(B89-C89)</x:f>
        <x:v>21641.101666666596</x:v>
      </x:c>
      <x:c r="E89" s="22" t="n">
        <x:f>D89/B89</x:f>
        <x:v>0.07776770075314257</x:v>
      </x:c>
      <x:c r="F89" s="27" t="n">
        <x:f>C50</x:f>
        <x:v>2570</x:v>
      </x:c>
      <x:c r="G89" s="27" t="n">
        <x:f>AVERAGE(C44:C49)</x:f>
        <x:v>2363</x:v>
      </x:c>
      <x:c r="H89" s="27" t="n">
        <x:f>ABS(F89-G89)</x:f>
        <x:v>207</x:v>
      </x:c>
      <x:c r="I89" s="22" t="n">
        <x:f>H89/F89</x:f>
        <x:v>0.08054474708171207</x:v>
      </x:c>
      <x:c r="J89" s="2"/>
      <x:c r="K89" s="2"/>
      <x:c r="L89" s="2"/>
      <x:c r="M89" s="2"/>
      <x:c r="N89" s="2"/>
      <x:c r="O89" s="2"/>
      <x:c r="P89" s="2"/>
      <x:c r="Q89" s="2"/>
      <x:c r="R89" s="2"/>
    </x:row>
    <x:row r="90" ht="22" customHeight="1">
      <x:c r="A90" s="42" t="n">
        <x:f>A51</x:f>
        <x:v>45413</x:v>
      </x:c>
      <x:c r="B90" s="12" t="n">
        <x:f>B51</x:f>
        <x:v>263695.99999999994</x:v>
      </x:c>
      <x:c r="C90" s="12" t="n">
        <x:f>AVERAGE(B45:B50)</x:f>
        <x:v>257211.3733333333</x:v>
      </x:c>
      <x:c r="D90" s="12" t="n">
        <x:f>ABS(B90-C90)</x:f>
        <x:v>6484.626666666649</x:v>
      </x:c>
      <x:c r="E90" s="22" t="n">
        <x:f>D90/B90</x:f>
        <x:v>0.024591297049127214</x:v>
      </x:c>
      <x:c r="F90" s="27" t="n">
        <x:f>C51</x:f>
        <x:v>2228</x:v>
      </x:c>
      <x:c r="G90" s="27" t="n">
        <x:f>AVERAGE(C45:C50)</x:f>
        <x:v>2333</x:v>
      </x:c>
      <x:c r="H90" s="27" t="n">
        <x:f>ABS(F90-G90)</x:f>
        <x:v>105</x:v>
      </x:c>
      <x:c r="I90" s="22" t="n">
        <x:f>H90/F90</x:f>
        <x:v>0.047127468581687613</x:v>
      </x:c>
      <x:c r="J90" s="2"/>
      <x:c r="K90" s="2"/>
      <x:c r="L90" s="2"/>
      <x:c r="M90" s="2"/>
      <x:c r="N90" s="2"/>
      <x:c r="O90" s="2"/>
      <x:c r="P90" s="2"/>
      <x:c r="Q90" s="2"/>
      <x:c r="R90" s="2"/>
    </x:row>
    <x:row r="91" ht="22" customHeight="1">
      <x:c r="A91" s="42" t="n">
        <x:f>A52</x:f>
        <x:v>45444</x:v>
      </x:c>
      <x:c r="B91" s="12" t="n">
        <x:f>B52</x:f>
        <x:v>329170.99000000017</x:v>
      </x:c>
      <x:c r="C91" s="12" t="n">
        <x:f>AVERAGE(B46:B51)</x:f>
        <x:v>263967.9283333333</x:v>
      </x:c>
      <x:c r="D91" s="12" t="n">
        <x:f>ABS(B91-C91)</x:f>
        <x:v>65203.06166666688</x:v>
      </x:c>
      <x:c r="E91" s="22" t="n">
        <x:f>D91/B91</x:f>
        <x:v>0.19808264898029698</x:v>
      </x:c>
      <x:c r="F91" s="27" t="n">
        <x:f>C52</x:f>
        <x:v>2884</x:v>
      </x:c>
      <x:c r="G91" s="27" t="n">
        <x:f>AVERAGE(C46:C51)</x:f>
        <x:v>2322</x:v>
      </x:c>
      <x:c r="H91" s="27" t="n">
        <x:f>ABS(F91-G91)</x:f>
        <x:v>562</x:v>
      </x:c>
      <x:c r="I91" s="22" t="n">
        <x:f>H91/F91</x:f>
        <x:v>0.19486823855755894</x:v>
      </x:c>
      <x:c r="J91" s="2"/>
      <x:c r="K91" s="2"/>
      <x:c r="L91" s="2"/>
      <x:c r="M91" s="2"/>
      <x:c r="N91" s="2"/>
      <x:c r="O91" s="2"/>
      <x:c r="P91" s="2"/>
      <x:c r="Q91" s="2"/>
      <x:c r="R91" s="2"/>
    </x:row>
    <x:row r="92" ht="22" customHeight="1">
      <x:c r="A92" s="42" t="n">
        <x:f>A53</x:f>
        <x:v>45474</x:v>
      </x:c>
      <x:c r="B92" s="12" t="n">
        <x:f>B53</x:f>
        <x:v>260817.37999999998</x:v>
      </x:c>
      <x:c r="C92" s="12" t="n">
        <x:f>AVERAGE(B47:B52)</x:f>
        <x:v>274736.1466666667</x:v>
      </x:c>
      <x:c r="D92" s="12" t="n">
        <x:f>ABS(B92-C92)</x:f>
        <x:v>13918.76666666675</x:v>
      </x:c>
      <x:c r="E92" s="22" t="n">
        <x:f>D92/B92</x:f>
        <x:v>0.053365947724291804</x:v>
      </x:c>
      <x:c r="F92" s="27" t="n">
        <x:f>C53</x:f>
        <x:v>2328</x:v>
      </x:c>
      <x:c r="G92" s="27" t="n">
        <x:f>AVERAGE(C47:C52)</x:f>
        <x:v>2420.8333333333335</x:v>
      </x:c>
      <x:c r="H92" s="27" t="n">
        <x:f>ABS(F92-G92)</x:f>
        <x:v>92.83333333333348</x:v>
      </x:c>
      <x:c r="I92" s="22" t="n">
        <x:f>H92/F92</x:f>
        <x:v>0.03987686139748002</x:v>
      </x:c>
      <x:c r="J92" s="2"/>
      <x:c r="K92" s="2"/>
      <x:c r="L92" s="2"/>
      <x:c r="M92" s="2"/>
      <x:c r="N92" s="2"/>
      <x:c r="O92" s="2"/>
      <x:c r="P92" s="2"/>
      <x:c r="Q92" s="2"/>
      <x:c r="R92" s="2"/>
    </x:row>
    <x:row r="93" ht="22" customHeight="1">
      <x:c r="A93" s="42" t="n">
        <x:f>A54</x:f>
        <x:v>45505</x:v>
      </x:c>
      <x:c r="B93" s="12" t="n">
        <x:f>B54</x:f>
        <x:v>260479.61999999997</x:v>
      </x:c>
      <x:c r="C93" s="12" t="n">
        <x:f>AVERAGE(B48:B53)</x:f>
        <x:v>279414.37166666664</x:v>
      </x:c>
      <x:c r="D93" s="12" t="n">
        <x:f>ABS(B93-C93)</x:f>
        <x:v>18934.751666666678</x:v>
      </x:c>
      <x:c r="E93" s="22" t="n">
        <x:f>D93/B93</x:f>
        <x:v>0.07269187380827215</x:v>
      </x:c>
      <x:c r="F93" s="27" t="n">
        <x:f>C54</x:f>
        <x:v>2304</x:v>
      </x:c>
      <x:c r="G93" s="27" t="n">
        <x:f>AVERAGE(C48:C53)</x:f>
        <x:v>2475</x:v>
      </x:c>
      <x:c r="H93" s="27" t="n">
        <x:f>ABS(F93-G93)</x:f>
        <x:v>171</x:v>
      </x:c>
      <x:c r="I93" s="22" t="n">
        <x:f>H93/F93</x:f>
        <x:v>0.07421875</x:v>
      </x:c>
      <x:c r="J93" s="2"/>
      <x:c r="K93" s="2"/>
      <x:c r="L93" s="2"/>
      <x:c r="M93" s="2"/>
      <x:c r="N93" s="2"/>
      <x:c r="O93" s="2"/>
      <x:c r="P93" s="2"/>
      <x:c r="Q93" s="2"/>
      <x:c r="R93" s="2"/>
    </x:row>
    <x:row r="94" ht="22" customHeight="1">
      <x:c r="A94" s="42" t="n">
        <x:f>A55</x:f>
        <x:v>45536</x:v>
      </x:c>
      <x:c r="B94" s="12" t="n">
        <x:f>B55</x:f>
        <x:v>270836.22</x:v>
      </x:c>
      <x:c r="C94" s="12" t="n">
        <x:f>AVERAGE(B49:B54)</x:f>
        <x:v>274776.7166666667</x:v>
      </x:c>
      <x:c r="D94" s="12" t="n">
        <x:f>ABS(B94-C94)</x:f>
        <x:v>3940.4966666667024</x:v>
      </x:c>
      <x:c r="E94" s="22" t="n">
        <x:f>D94/B94</x:f>
        <x:v>0.014549371079934223</x:v>
      </x:c>
      <x:c r="F94" s="27" t="n">
        <x:f>C55</x:f>
        <x:v>2468</x:v>
      </x:c>
      <x:c r="G94" s="27" t="n">
        <x:f>AVERAGE(C49:C54)</x:f>
        <x:v>2420.8333333333335</x:v>
      </x:c>
      <x:c r="H94" s="27" t="n">
        <x:f>ABS(F94-G94)</x:f>
        <x:v>47.166666666666515</x:v>
      </x:c>
      <x:c r="I94" s="22" t="n">
        <x:f>H94/F94</x:f>
        <x:v>0.019111291193949154</x:v>
      </x:c>
      <x:c r="J94" s="2"/>
      <x:c r="K94" s="2"/>
      <x:c r="L94" s="2"/>
      <x:c r="M94" s="2"/>
      <x:c r="N94" s="2"/>
      <x:c r="O94" s="2"/>
      <x:c r="P94" s="2"/>
      <x:c r="Q94" s="2"/>
      <x:c r="R94" s="2"/>
    </x:row>
    <x:row r="95" ht="22" customHeight="1">
      <x:c r="A95" s="42" t="n">
        <x:f>A56</x:f>
        <x:v>45566</x:v>
      </x:c>
      <x:c r="B95" s="12" t="n">
        <x:f>B56</x:f>
        <x:v>247753.38000000006</x:v>
      </x:c>
      <x:c r="C95" s="12" t="n">
        <x:f>AVERAGE(B50:B55)</x:f>
        <x:v>277213.1666666666</x:v>
      </x:c>
      <x:c r="D95" s="12" t="n">
        <x:f>ABS(B95-C95)</x:f>
        <x:v>29459.786666666565</x:v>
      </x:c>
      <x:c r="E95" s="22" t="n">
        <x:f>D95/B95</x:f>
        <x:v>0.11890770841013978</x:v>
      </x:c>
      <x:c r="F95" s="27" t="n">
        <x:f>C56</x:f>
        <x:v>2254</x:v>
      </x:c>
      <x:c r="G95" s="27" t="n">
        <x:f>AVERAGE(C50:C55)</x:f>
        <x:v>2463.6666666666665</x:v>
      </x:c>
      <x:c r="H95" s="27" t="n">
        <x:f>ABS(F95-G95)</x:f>
        <x:v>209.66666666666652</x:v>
      </x:c>
      <x:c r="I95" s="22" t="n">
        <x:f>H95/F95</x:f>
        <x:v>0.09301981662230102</x:v>
      </x:c>
      <x:c r="J95" s="2"/>
      <x:c r="K95" s="2"/>
      <x:c r="L95" s="2"/>
      <x:c r="M95" s="2"/>
      <x:c r="N95" s="2"/>
      <x:c r="O95" s="2"/>
      <x:c r="P95" s="2"/>
      <x:c r="Q95" s="2"/>
      <x:c r="R95" s="2"/>
    </x:row>
    <x:row r="96" ht="22" customHeight="1">
      <x:c r="A96" s="42" t="n">
        <x:f>A57</x:f>
        <x:v>45597</x:v>
      </x:c>
      <x:c r="B96" s="12" t="n">
        <x:f>B57</x:f>
        <x:v>309972.5900000001</x:v>
      </x:c>
      <x:c r="C96" s="12" t="n">
        <x:f>AVERAGE(B51:B56)</x:f>
        <x:v>272125.5983333333</x:v>
      </x:c>
      <x:c r="D96" s="12" t="n">
        <x:f>ABS(B96-C96)</x:f>
        <x:v>37846.991666666756</x:v>
      </x:c>
      <x:c r="E96" s="22" t="n">
        <x:f>D96/B96</x:f>
        <x:v>0.12209786570698637</x:v>
      </x:c>
      <x:c r="F96" s="27" t="n">
        <x:f>C57</x:f>
        <x:v>2711</x:v>
      </x:c>
      <x:c r="G96" s="27" t="n">
        <x:f>AVERAGE(C51:C56)</x:f>
        <x:v>2411</x:v>
      </x:c>
      <x:c r="H96" s="27" t="n">
        <x:f>ABS(F96-G96)</x:f>
        <x:v>300</x:v>
      </x:c>
      <x:c r="I96" s="22" t="n">
        <x:f>H96/F96</x:f>
        <x:v>0.11066027296200664</x:v>
      </x:c>
      <x:c r="J96" s="2"/>
      <x:c r="K96" s="2"/>
      <x:c r="L96" s="2"/>
      <x:c r="M96" s="2"/>
      <x:c r="N96" s="2"/>
      <x:c r="O96" s="2"/>
      <x:c r="P96" s="2"/>
      <x:c r="Q96" s="2"/>
      <x:c r="R96" s="2"/>
    </x:row>
    <x:row r="97" ht="22" customHeight="1">
      <x:c r="A97" s="42" t="n">
        <x:f>A58</x:f>
        <x:v>45627</x:v>
      </x:c>
      <x:c r="B97" s="12" t="n">
        <x:f>B58</x:f>
        <x:v>266426.68</x:v>
      </x:c>
      <x:c r="C97" s="12" t="n">
        <x:f>AVERAGE(B52:B57)</x:f>
        <x:v>279838.36333333334</x:v>
      </x:c>
      <x:c r="D97" s="12" t="n">
        <x:f>ABS(B97-C97)</x:f>
        <x:v>13411.683333333349</x:v>
      </x:c>
      <x:c r="E97" s="22" t="n">
        <x:f>D97/B97</x:f>
        <x:v>0.050339115186712344</x:v>
      </x:c>
      <x:c r="F97" s="27" t="n">
        <x:f>C58</x:f>
        <x:v>2831</x:v>
      </x:c>
      <x:c r="G97" s="27" t="n">
        <x:f>AVERAGE(C52:C57)</x:f>
        <x:v>2491.5</x:v>
      </x:c>
      <x:c r="H97" s="27" t="n">
        <x:f>ABS(F97-G97)</x:f>
        <x:v>339.5</x:v>
      </x:c>
      <x:c r="I97" s="22" t="n">
        <x:f>H97/F97</x:f>
        <x:v>0.1199222889438361</x:v>
      </x:c>
      <x:c r="J97" s="2"/>
      <x:c r="K97" s="2"/>
      <x:c r="L97" s="2"/>
      <x:c r="M97" s="2"/>
      <x:c r="N97" s="2"/>
      <x:c r="O97" s="2"/>
      <x:c r="P97" s="2"/>
      <x:c r="Q97" s="2"/>
      <x:c r="R97" s="2"/>
    </x:row>
    <x:row r="98" ht="22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</x:row>
    <x:row r="99" ht="22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</x:row>
    <x:row r="100" ht="22" customHeight="1">
      <x:c r="A100" s="15" t="str">
        <x:v>Detalhamento da validação MM12</x:v>
      </x:c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</x:row>
    <x:row r="101" ht="38" customHeight="1">
      <x:c r="A101" s="9" t="str">
        <x:v>Mês de 2024</x:v>
      </x:c>
      <x:c r="B101" s="9" t="str">
        <x:v>Receita observada</x:v>
      </x:c>
      <x:c r="C101" s="9" t="str">
        <x:v>Receita prevista</x:v>
      </x:c>
      <x:c r="D101" s="9" t="str">
        <x:v>Erro absoluto (R$)</x:v>
      </x:c>
      <x:c r="E101" s="9" t="str">
        <x:v>Erro % absoluto</x:v>
      </x:c>
      <x:c r="F101" s="9" t="str">
        <x:v>Unidades observadas</x:v>
      </x:c>
      <x:c r="G101" s="9" t="str">
        <x:v>Unidades previstas</x:v>
      </x:c>
      <x:c r="H101" s="9" t="str">
        <x:v>Erro absoluto (un.)</x:v>
      </x:c>
      <x:c r="I101" s="9" t="str">
        <x:v>Erro % absoluto</x:v>
      </x:c>
      <x:c r="J101" s="2"/>
      <x:c r="K101" s="2"/>
      <x:c r="L101" s="2"/>
      <x:c r="M101" s="2"/>
      <x:c r="N101" s="2"/>
      <x:c r="O101" s="2"/>
      <x:c r="P101" s="2"/>
      <x:c r="Q101" s="2"/>
      <x:c r="R101" s="2"/>
    </x:row>
    <x:row r="102" ht="22" customHeight="1">
      <x:c r="A102" s="42" t="n">
        <x:f>A47</x:f>
        <x:v>45292</x:v>
      </x:c>
      <x:c r="B102" s="12" t="n">
        <x:f>B47</x:f>
        <x:v>232748.03</x:v>
      </x:c>
      <x:c r="C102" s="12" t="n">
        <x:f>AVERAGE(B35:B46)</x:f>
        <x:v>247132.78916666668</x:v>
      </x:c>
      <x:c r="D102" s="12" t="n">
        <x:f>ABS(B102-C102)</x:f>
        <x:v>14384.759166666685</x:v>
      </x:c>
      <x:c r="E102" s="22" t="n">
        <x:f>D102/B102</x:f>
        <x:v>0.06180399965862948</x:v>
      </x:c>
      <x:c r="F102" s="27" t="n">
        <x:f>C47</x:f>
        <x:v>2003</x:v>
      </x:c>
      <x:c r="G102" s="27" t="n">
        <x:f>AVERAGE(C35:C46)</x:f>
        <x:v>2280.0833333333335</x:v>
      </x:c>
      <x:c r="H102" s="27" t="n">
        <x:f>ABS(F102-G102)</x:f>
        <x:v>277.0833333333335</x:v>
      </x:c>
      <x:c r="I102" s="22" t="n">
        <x:f>H102/F102</x:f>
        <x:v>0.13833416541853893</x:v>
      </x:c>
      <x:c r="J102" s="2"/>
      <x:c r="K102" s="2"/>
      <x:c r="L102" s="2"/>
      <x:c r="M102" s="2"/>
      <x:c r="N102" s="2"/>
      <x:c r="O102" s="2"/>
      <x:c r="P102" s="2"/>
      <x:c r="Q102" s="2"/>
      <x:c r="R102" s="2"/>
    </x:row>
    <x:row r="103" ht="22" customHeight="1">
      <x:c r="A103" s="42" t="n">
        <x:f>A48</x:f>
        <x:v>45323</x:v>
      </x:c>
      <x:c r="B103" s="12" t="n">
        <x:f>B48</x:f>
        <x:v>288305.54999999993</x:v>
      </x:c>
      <x:c r="C103" s="12" t="n">
        <x:f>AVERAGE(B36:B47)</x:f>
        <x:v>251303.95000000004</x:v>
      </x:c>
      <x:c r="D103" s="12" t="n">
        <x:f>ABS(B103-C103)</x:f>
        <x:v>37001.59999999989</x:v>
      </x:c>
      <x:c r="E103" s="22" t="n">
        <x:f>D103/B103</x:f>
        <x:v>0.12834161534524707</x:v>
      </x:c>
      <x:c r="F103" s="27" t="n">
        <x:f>C48</x:f>
        <x:v>2629</x:v>
      </x:c>
      <x:c r="G103" s="27" t="n">
        <x:f>AVERAGE(C36:C47)</x:f>
        <x:v>2301.5</x:v>
      </x:c>
      <x:c r="H103" s="27" t="n">
        <x:f>ABS(F103-G103)</x:f>
        <x:v>327.5</x:v>
      </x:c>
      <x:c r="I103" s="22" t="n">
        <x:f>H103/F103</x:f>
        <x:v>0.12457208063902625</x:v>
      </x:c>
      <x:c r="J103" s="2"/>
      <x:c r="K103" s="2"/>
      <x:c r="L103" s="2"/>
      <x:c r="M103" s="2"/>
      <x:c r="N103" s="2"/>
      <x:c r="O103" s="2"/>
      <x:c r="P103" s="2"/>
      <x:c r="Q103" s="2"/>
      <x:c r="R103" s="2"/>
    </x:row>
    <x:row r="104" ht="22" customHeight="1">
      <x:c r="A104" s="42" t="n">
        <x:f>A49</x:f>
        <x:v>45352</x:v>
      </x:c>
      <x:c r="B104" s="12" t="n">
        <x:f>B49</x:f>
        <x:v>256217.52000000008</x:v>
      </x:c>
      <x:c r="C104" s="12" t="n">
        <x:f>AVERAGE(B37:B48)</x:f>
        <x:v>251589.79750000002</x:v>
      </x:c>
      <x:c r="D104" s="12" t="n">
        <x:f>ABS(B104-C104)</x:f>
        <x:v>4627.722500000062</x:v>
      </x:c>
      <x:c r="E104" s="22" t="n">
        <x:f>D104/B104</x:f>
        <x:v>0.018061694219817834</x:v>
      </x:c>
      <x:c r="F104" s="27" t="n">
        <x:f>C49</x:f>
        <x:v>2211</x:v>
      </x:c>
      <x:c r="G104" s="27" t="n">
        <x:f>AVERAGE(C37:C48)</x:f>
        <x:v>2317.5</x:v>
      </x:c>
      <x:c r="H104" s="27" t="n">
        <x:f>ABS(F104-G104)</x:f>
        <x:v>106.5</x:v>
      </x:c>
      <x:c r="I104" s="22" t="n">
        <x:f>H104/F104</x:f>
        <x:v>0.04816824966078698</x:v>
      </x:c>
      <x:c r="J104" s="2"/>
      <x:c r="K104" s="2"/>
      <x:c r="L104" s="2"/>
      <x:c r="M104" s="2"/>
      <x:c r="N104" s="2"/>
      <x:c r="O104" s="2"/>
      <x:c r="P104" s="2"/>
      <x:c r="Q104" s="2"/>
      <x:c r="R104" s="2"/>
    </x:row>
    <x:row r="105" ht="22" customHeight="1">
      <x:c r="A105" s="42" t="n">
        <x:f>A50</x:f>
        <x:v>45383</x:v>
      </x:c>
      <x:c r="B105" s="12" t="n">
        <x:f>B50</x:f>
        <x:v>278278.7899999999</x:v>
      </x:c>
      <x:c r="C105" s="12" t="n">
        <x:f>AVERAGE(B38:B49)</x:f>
        <x:v>254699.7358333333</x:v>
      </x:c>
      <x:c r="D105" s="12" t="n">
        <x:f>ABS(B105-C105)</x:f>
        <x:v>23579.05416666661</x:v>
      </x:c>
      <x:c r="E105" s="22" t="n">
        <x:f>D105/B105</x:f>
        <x:v>0.08473176905313774</x:v>
      </x:c>
      <x:c r="F105" s="27" t="n">
        <x:f>C50</x:f>
        <x:v>2570</x:v>
      </x:c>
      <x:c r="G105" s="27" t="n">
        <x:f>AVERAGE(C38:C49)</x:f>
        <x:v>2336</x:v>
      </x:c>
      <x:c r="H105" s="27" t="n">
        <x:f>ABS(F105-G105)</x:f>
        <x:v>234</x:v>
      </x:c>
      <x:c r="I105" s="22" t="n">
        <x:f>H105/F105</x:f>
        <x:v>0.09105058365758754</x:v>
      </x:c>
      <x:c r="J105" s="2"/>
      <x:c r="K105" s="2"/>
      <x:c r="L105" s="2"/>
      <x:c r="M105" s="2"/>
      <x:c r="N105" s="2"/>
      <x:c r="O105" s="2"/>
      <x:c r="P105" s="2"/>
      <x:c r="Q105" s="2"/>
      <x:c r="R105" s="2"/>
    </x:row>
    <x:row r="106" ht="22" customHeight="1">
      <x:c r="A106" s="42" t="n">
        <x:f>A51</x:f>
        <x:v>45413</x:v>
      </x:c>
      <x:c r="B106" s="12" t="n">
        <x:f>B51</x:f>
        <x:v>263695.99999999994</x:v>
      </x:c>
      <x:c r="C106" s="12" t="n">
        <x:f>AVERAGE(B39:B50)</x:f>
        <x:v>257740.91916666666</x:v>
      </x:c>
      <x:c r="D106" s="12" t="n">
        <x:f>ABS(B106-C106)</x:f>
        <x:v>5955.0808333332825</x:v>
      </x:c>
      <x:c r="E106" s="22" t="n">
        <x:f>D106/B106</x:f>
        <x:v>0.02258312918411081</x:v>
      </x:c>
      <x:c r="F106" s="27" t="n">
        <x:f>C51</x:f>
        <x:v>2228</x:v>
      </x:c>
      <x:c r="G106" s="27" t="n">
        <x:f>AVERAGE(C39:C50)</x:f>
        <x:v>2365.75</x:v>
      </x:c>
      <x:c r="H106" s="27" t="n">
        <x:f>ABS(F106-G106)</x:f>
        <x:v>137.75</x:v>
      </x:c>
      <x:c r="I106" s="22" t="n">
        <x:f>H106/F106</x:f>
        <x:v>0.06182675044883303</x:v>
      </x:c>
      <x:c r="J106" s="2"/>
      <x:c r="K106" s="2"/>
      <x:c r="L106" s="2"/>
      <x:c r="M106" s="2"/>
      <x:c r="N106" s="2"/>
      <x:c r="O106" s="2"/>
      <x:c r="P106" s="2"/>
      <x:c r="Q106" s="2"/>
      <x:c r="R106" s="2"/>
    </x:row>
    <x:row r="107" ht="22" customHeight="1">
      <x:c r="A107" s="42" t="n">
        <x:f>A52</x:f>
        <x:v>45444</x:v>
      </x:c>
      <x:c r="B107" s="12" t="n">
        <x:f>B52</x:f>
        <x:v>329170.99000000017</x:v>
      </x:c>
      <x:c r="C107" s="12" t="n">
        <x:f>AVERAGE(B40:B51)</x:f>
        <x:v>260395.95750000002</x:v>
      </x:c>
      <x:c r="D107" s="12" t="n">
        <x:f>ABS(B107-C107)</x:f>
        <x:v>68775.03250000015</x:v>
      </x:c>
      <x:c r="E107" s="22" t="n">
        <x:f>D107/B107</x:f>
        <x:v>0.20893406341792184</x:v>
      </x:c>
      <x:c r="F107" s="27" t="n">
        <x:f>C52</x:f>
        <x:v>2884</x:v>
      </x:c>
      <x:c r="G107" s="27" t="n">
        <x:f>AVERAGE(C40:C51)</x:f>
        <x:v>2371.3333333333335</x:v>
      </x:c>
      <x:c r="H107" s="27" t="n">
        <x:f>ABS(F107-G107)</x:f>
        <x:v>512.6666666666665</x:v>
      </x:c>
      <x:c r="I107" s="22" t="n">
        <x:f>H107/F107</x:f>
        <x:v>0.1777623670827554</x:v>
      </x:c>
      <x:c r="J107" s="2"/>
      <x:c r="K107" s="2"/>
      <x:c r="L107" s="2"/>
      <x:c r="M107" s="2"/>
      <x:c r="N107" s="2"/>
      <x:c r="O107" s="2"/>
      <x:c r="P107" s="2"/>
      <x:c r="Q107" s="2"/>
      <x:c r="R107" s="2"/>
    </x:row>
    <x:row r="108" ht="22" customHeight="1">
      <x:c r="A108" s="42" t="n">
        <x:f>A53</x:f>
        <x:v>45474</x:v>
      </x:c>
      <x:c r="B108" s="12" t="n">
        <x:f>B53</x:f>
        <x:v>260817.37999999998</x:v>
      </x:c>
      <x:c r="C108" s="12" t="n">
        <x:f>AVERAGE(B41:B52)</x:f>
        <x:v>270759.2991666667</x:v>
      </x:c>
      <x:c r="D108" s="12" t="n">
        <x:f>ABS(B108-C108)</x:f>
        <x:v>9941.919166666718</x:v>
      </x:c>
      <x:c r="E108" s="22" t="n">
        <x:f>D108/B108</x:f>
        <x:v>0.03811831545377351</x:v>
      </x:c>
      <x:c r="F108" s="27" t="n">
        <x:f>C53</x:f>
        <x:v>2328</x:v>
      </x:c>
      <x:c r="G108" s="27" t="n">
        <x:f>AVERAGE(C41:C52)</x:f>
        <x:v>2440.1666666666665</x:v>
      </x:c>
      <x:c r="H108" s="27" t="n">
        <x:f>ABS(F108-G108)</x:f>
        <x:v>112.16666666666652</x:v>
      </x:c>
      <x:c r="I108" s="22" t="n">
        <x:f>H108/F108</x:f>
        <x:v>0.04818155784650623</x:v>
      </x:c>
      <x:c r="J108" s="2"/>
      <x:c r="K108" s="2"/>
      <x:c r="L108" s="2"/>
      <x:c r="M108" s="2"/>
      <x:c r="N108" s="2"/>
      <x:c r="O108" s="2"/>
      <x:c r="P108" s="2"/>
      <x:c r="Q108" s="2"/>
      <x:c r="R108" s="2"/>
    </x:row>
    <x:row r="109" ht="22" customHeight="1">
      <x:c r="A109" s="42" t="n">
        <x:f>A54</x:f>
        <x:v>45505</x:v>
      </x:c>
      <x:c r="B109" s="12" t="n">
        <x:f>B54</x:f>
        <x:v>260479.61999999997</x:v>
      </x:c>
      <x:c r="C109" s="12" t="n">
        <x:f>AVERAGE(B42:B53)</x:f>
        <x:v>267091.68</x:v>
      </x:c>
      <x:c r="D109" s="12" t="n">
        <x:f>ABS(B109-C109)</x:f>
        <x:v>6612.060000000027</x:v>
      </x:c>
      <x:c r="E109" s="22" t="n">
        <x:f>D109/B109</x:f>
        <x:v>0.025384174009467717</x:v>
      </x:c>
      <x:c r="F109" s="27" t="n">
        <x:f>C54</x:f>
        <x:v>2304</x:v>
      </x:c>
      <x:c r="G109" s="27" t="n">
        <x:f>AVERAGE(C42:C53)</x:f>
        <x:v>2411.75</x:v>
      </x:c>
      <x:c r="H109" s="27" t="n">
        <x:f>ABS(F109-G109)</x:f>
        <x:v>107.75</x:v>
      </x:c>
      <x:c r="I109" s="22" t="n">
        <x:f>H109/F109</x:f>
        <x:v>0.04676649305555555</x:v>
      </x:c>
      <x:c r="J109" s="2"/>
      <x:c r="K109" s="2"/>
      <x:c r="L109" s="2"/>
      <x:c r="M109" s="2"/>
      <x:c r="N109" s="2"/>
      <x:c r="O109" s="2"/>
      <x:c r="P109" s="2"/>
      <x:c r="Q109" s="2"/>
      <x:c r="R109" s="2"/>
    </x:row>
    <x:row r="110" ht="22" customHeight="1">
      <x:c r="A110" s="42" t="n">
        <x:f>A55</x:f>
        <x:v>45536</x:v>
      </x:c>
      <x:c r="B110" s="12" t="n">
        <x:f>B55</x:f>
        <x:v>270836.22</x:v>
      </x:c>
      <x:c r="C110" s="12" t="n">
        <x:f>AVERAGE(B43:B54)</x:f>
        <x:v>263464.9058333333</x:v>
      </x:c>
      <x:c r="D110" s="12" t="n">
        <x:f>ABS(B110-C110)</x:f>
        <x:v>7371.314166666649</x:v>
      </x:c>
      <x:c r="E110" s="22" t="n">
        <x:f>D110/B110</x:f>
        <x:v>0.027216869910038802</x:v>
      </x:c>
      <x:c r="F110" s="27" t="n">
        <x:f>C55</x:f>
        <x:v>2468</x:v>
      </x:c>
      <x:c r="G110" s="27" t="n">
        <x:f>AVERAGE(C43:C54)</x:f>
        <x:v>2378.4166666666665</x:v>
      </x:c>
      <x:c r="H110" s="27" t="n">
        <x:f>ABS(F110-G110)</x:f>
        <x:v>89.58333333333348</x:v>
      </x:c>
      <x:c r="I110" s="22" t="n">
        <x:f>H110/F110</x:f>
        <x:v>0.03629794705564566</x:v>
      </x:c>
      <x:c r="J110" s="2"/>
      <x:c r="K110" s="2"/>
      <x:c r="L110" s="2"/>
      <x:c r="M110" s="2"/>
      <x:c r="N110" s="2"/>
      <x:c r="O110" s="2"/>
      <x:c r="P110" s="2"/>
      <x:c r="Q110" s="2"/>
      <x:c r="R110" s="2"/>
    </x:row>
    <x:row r="111" ht="22" customHeight="1">
      <x:c r="A111" s="42" t="n">
        <x:f>A56</x:f>
        <x:v>45566</x:v>
      </x:c>
      <x:c r="B111" s="12" t="n">
        <x:f>B56</x:f>
        <x:v>247753.38000000006</x:v>
      </x:c>
      <x:c r="C111" s="12" t="n">
        <x:f>AVERAGE(B44:B55)</x:f>
        <x:v>266925.4275</x:v>
      </x:c>
      <x:c r="D111" s="12" t="n">
        <x:f>ABS(B111-C111)</x:f>
        <x:v>19172.047499999928</x:v>
      </x:c>
      <x:c r="E111" s="22" t="n">
        <x:f>D111/B111</x:f>
        <x:v>0.07738359613903117</x:v>
      </x:c>
      <x:c r="F111" s="27" t="n">
        <x:f>C56</x:f>
        <x:v>2254</x:v>
      </x:c>
      <x:c r="G111" s="27" t="n">
        <x:f>AVERAGE(C44:C55)</x:f>
        <x:v>2413.3333333333335</x:v>
      </x:c>
      <x:c r="H111" s="27" t="n">
        <x:f>ABS(F111-G111)</x:f>
        <x:v>159.33333333333348</x:v>
      </x:c>
      <x:c r="I111" s="22" t="n">
        <x:f>H111/F111</x:f>
        <x:v>0.07068914522330678</x:v>
      </x:c>
      <x:c r="J111" s="2"/>
      <x:c r="K111" s="2"/>
      <x:c r="L111" s="2"/>
      <x:c r="M111" s="2"/>
      <x:c r="N111" s="2"/>
      <x:c r="O111" s="2"/>
      <x:c r="P111" s="2"/>
      <x:c r="Q111" s="2"/>
      <x:c r="R111" s="2"/>
    </x:row>
    <x:row r="112" ht="22" customHeight="1">
      <x:c r="A112" s="42" t="n">
        <x:f>A57</x:f>
        <x:v>45597</x:v>
      </x:c>
      <x:c r="B112" s="12" t="n">
        <x:f>B57</x:f>
        <x:v>309972.5900000001</x:v>
      </x:c>
      <x:c r="C112" s="12" t="n">
        <x:f>AVERAGE(B45:B56)</x:f>
        <x:v>264668.48583333334</x:v>
      </x:c>
      <x:c r="D112" s="12" t="n">
        <x:f>ABS(B112-C112)</x:f>
        <x:v>45304.104166666744</x:v>
      </x:c>
      <x:c r="E112" s="22" t="n">
        <x:f>D112/B112</x:f>
        <x:v>0.14615519445337644</x:v>
      </x:c>
      <x:c r="F112" s="27" t="n">
        <x:f>C57</x:f>
        <x:v>2711</x:v>
      </x:c>
      <x:c r="G112" s="27" t="n">
        <x:f>AVERAGE(C45:C56)</x:f>
        <x:v>2372</x:v>
      </x:c>
      <x:c r="H112" s="27" t="n">
        <x:f>ABS(F112-G112)</x:f>
        <x:v>339</x:v>
      </x:c>
      <x:c r="I112" s="22" t="n">
        <x:f>H112/F112</x:f>
        <x:v>0.1250461084470675</x:v>
      </x:c>
      <x:c r="J112" s="2"/>
      <x:c r="K112" s="2"/>
      <x:c r="L112" s="2"/>
      <x:c r="M112" s="2"/>
      <x:c r="N112" s="2"/>
      <x:c r="O112" s="2"/>
      <x:c r="P112" s="2"/>
      <x:c r="Q112" s="2"/>
      <x:c r="R112" s="2"/>
    </x:row>
    <x:row r="113" ht="22" customHeight="1">
      <x:c r="A113" s="42" t="n">
        <x:f>A58</x:f>
        <x:v>45627</x:v>
      </x:c>
      <x:c r="B113" s="12" t="n">
        <x:f>B58</x:f>
        <x:v>266426.68</x:v>
      </x:c>
      <x:c r="C113" s="12" t="n">
        <x:f>AVERAGE(B46:B57)</x:f>
        <x:v>271903.1458333333</x:v>
      </x:c>
      <x:c r="D113" s="12" t="n">
        <x:f>ABS(B113-C113)</x:f>
        <x:v>5476.465833333321</x:v>
      </x:c>
      <x:c r="E113" s="22" t="n">
        <x:f>D113/B113</x:f>
        <x:v>0.0205552455682491</x:v>
      </x:c>
      <x:c r="F113" s="27" t="n">
        <x:f>C58</x:f>
        <x:v>2831</x:v>
      </x:c>
      <x:c r="G113" s="27" t="n">
        <x:f>AVERAGE(C46:C57)</x:f>
        <x:v>2406.75</x:v>
      </x:c>
      <x:c r="H113" s="27" t="n">
        <x:f>ABS(F113-G113)</x:f>
        <x:v>424.25</x:v>
      </x:c>
      <x:c r="I113" s="22" t="n">
        <x:f>H113/F113</x:f>
        <x:v>0.1498587071706111</x:v>
      </x:c>
      <x:c r="J113" s="2"/>
      <x:c r="K113" s="2"/>
      <x:c r="L113" s="2"/>
      <x:c r="M113" s="2"/>
      <x:c r="N113" s="2"/>
      <x:c r="O113" s="2"/>
      <x:c r="P113" s="2"/>
      <x:c r="Q113" s="2"/>
      <x:c r="R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</x:row>
  </x:sheetData>
  <x:pageMargins left="0.7" right="0.7" top="0.75" bottom="0.75" header="0.3" footer="0.3"/>
  <x:drawing xmlns:r="http://schemas.openxmlformats.org/officeDocument/2006/relationships" r:id="R00bab8531aa140db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  <x:col min="5" max="5" width="14" hidden="0" customWidth="1"/>
    <x:col min="6" max="6" width="20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  <x:col min="11" max="11" width="22" hidden="0" customWidth="1"/>
    <x:col min="12" max="12" width="14" hidden="0" customWidth="1"/>
    <x:col min="13" max="13" width="43" hidden="0" customWidth="1"/>
    <x:col min="14" max="14" width="2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2" customHeight="1">
      <x:c r="A2" s="3" t="str">
        <x:v>Moda Global — base de pedidos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2" customHeight="1">
      <x:c r="A4" s="5" t="str">
        <x:v>Fonte: Estudo_Caso_Fast_Fashion_ModaGlobal_20261028090016.xlsx, Sheet1. Linhas originais preservadas.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8" customHeight="1">
      <x:c r="A6" s="9" t="str">
        <x:v>ID Pedido</x:v>
      </x:c>
      <x:c r="B6" s="9" t="str">
        <x:v>Data</x:v>
      </x:c>
      <x:c r="C6" s="9" t="str">
        <x:v>Mercado</x:v>
      </x:c>
      <x:c r="D6" s="9" t="str">
        <x:v>Categoria</x:v>
      </x:c>
      <x:c r="E6" s="9" t="str">
        <x:v>Quantidade Vendida</x:v>
      </x:c>
      <x:c r="F6" s="9" t="str">
        <x:v>Preço Unitário (R$)</x:v>
      </x:c>
      <x:c r="G6" s="9" t="str">
        <x:v>Faturamento (R$)</x:v>
      </x:c>
      <x:c r="H6" s="9" t="str">
        <x:v>Estoque Atual</x:v>
      </x:c>
      <x:c r="I6" s="9" t="str">
        <x:v>Ano</x:v>
      </x:c>
      <x:c r="J6" s="9" t="str">
        <x:v>Mês</x:v>
      </x:c>
      <x:c r="K6" s="9" t="str">
        <x:v>Diferença receita (R$)</x:v>
      </x:c>
      <x:c r="L6" s="2"/>
      <x:c r="M6" s="9" t="str">
        <x:v>Verificação</x:v>
      </x:c>
      <x:c r="N6" s="9" t="str">
        <x:v>Resultado</x:v>
      </x:c>
      <x:c r="O6" s="2"/>
      <x:c r="P6" s="2"/>
      <x:c r="Q6" s="2"/>
      <x:c r="R6" s="2"/>
    </x:row>
    <x:row r="7" ht="22" customHeight="1">
      <x:c r="A7" s="2" t="n">
        <x:v>100001</x:v>
      </x:c>
      <x:c r="B7" s="10" t="n">
        <x:v>45600</x:v>
      </x:c>
      <x:c r="C7" s="2" t="str">
        <x:v>Colômbia</x:v>
      </x:c>
      <x:c r="D7" s="2" t="str">
        <x:v>Moda Infantil</x:v>
      </x:c>
      <x:c r="E7" s="11" t="n">
        <x:v>29</x:v>
      </x:c>
      <x:c r="F7" s="12" t="n">
        <x:v>154.89</x:v>
      </x:c>
      <x:c r="G7" s="12" t="n">
        <x:v>4491.809999999999</x:v>
      </x:c>
      <x:c r="H7" s="13" t="n">
        <x:v>242</x:v>
      </x:c>
      <x:c r="I7" s="13" t="n">
        <x:f>YEAR(B7)</x:f>
        <x:v>2024</x:v>
      </x:c>
      <x:c r="J7" s="13" t="n">
        <x:f>MONTH(B7)</x:f>
        <x:v>11</x:v>
      </x:c>
      <x:c r="K7" s="14" t="n">
        <x:f>ROUND(E7*F7-G7,10)</x:f>
        <x:v>0</x:v>
      </x:c>
      <x:c r="L7" s="2"/>
      <x:c r="M7" s="2" t="str">
        <x:v>Registros de pedidos</x:v>
      </x:c>
      <x:c r="N7" s="13" t="n">
        <x:f>COUNT('Base'!$A$7:$A$2256)</x:f>
        <x:v>2250</x:v>
      </x:c>
      <x:c r="O7" s="2"/>
      <x:c r="P7" s="2"/>
      <x:c r="Q7" s="2"/>
      <x:c r="R7" s="2"/>
    </x:row>
    <x:row r="8" ht="22" customHeight="1">
      <x:c r="A8" s="2" t="n">
        <x:v>100002</x:v>
      </x:c>
      <x:c r="B8" s="10" t="n">
        <x:v>45021</x:v>
      </x:c>
      <x:c r="C8" s="2" t="str">
        <x:v>México</x:v>
      </x:c>
      <x:c r="D8" s="2" t="str">
        <x:v>Acessórios</x:v>
      </x:c>
      <x:c r="E8" s="11" t="n">
        <x:v>39</x:v>
      </x:c>
      <x:c r="F8" s="12" t="n">
        <x:v>185.21</x:v>
      </x:c>
      <x:c r="G8" s="12" t="n">
        <x:v>7223.190000000001</x:v>
      </x:c>
      <x:c r="H8" s="13" t="n">
        <x:v>199</x:v>
      </x:c>
      <x:c r="I8" s="13" t="n">
        <x:f>YEAR(B8)</x:f>
        <x:v>2023</x:v>
      </x:c>
      <x:c r="J8" s="13" t="n">
        <x:f>MONTH(B8)</x:f>
        <x:v>4</x:v>
      </x:c>
      <x:c r="K8" s="14" t="n">
        <x:f>ROUND(E8*F8-G8,10)</x:f>
        <x:v>0</x:v>
      </x:c>
      <x:c r="L8" s="2"/>
      <x:c r="M8" s="2" t="str">
        <x:v>IDs repetidos (conferência da fonte)</x:v>
      </x:c>
      <x:c r="N8" s="13" t="n">
        <x:v>0</x:v>
      </x:c>
      <x:c r="O8" s="2"/>
      <x:c r="P8" s="2"/>
      <x:c r="Q8" s="2"/>
      <x:c r="R8" s="2"/>
    </x:row>
    <x:row r="9" ht="22" customHeight="1">
      <x:c r="A9" s="2" t="n">
        <x:v>100003</x:v>
      </x:c>
      <x:c r="B9" s="10" t="n">
        <x:v>45003</x:v>
      </x:c>
      <x:c r="C9" s="2" t="str">
        <x:v>Chile</x:v>
      </x:c>
      <x:c r="D9" s="2" t="str">
        <x:v>Calçados</x:v>
      </x:c>
      <x:c r="E9" s="11" t="n">
        <x:v>24</x:v>
      </x:c>
      <x:c r="F9" s="12" t="n">
        <x:v>39.45</x:v>
      </x:c>
      <x:c r="G9" s="12" t="n">
        <x:v>946.8000000000001</x:v>
      </x:c>
      <x:c r="H9" s="13" t="n">
        <x:v>180</x:v>
      </x:c>
      <x:c r="I9" s="13" t="n">
        <x:f>YEAR(B9)</x:f>
        <x:v>2023</x:v>
      </x:c>
      <x:c r="J9" s="13" t="n">
        <x:f>MONTH(B9)</x:f>
        <x:v>3</x:v>
      </x:c>
      <x:c r="K9" s="14" t="n">
        <x:f>ROUND(E9*F9-G9,10)</x:f>
        <x:v>0</x:v>
      </x:c>
      <x:c r="L9" s="2"/>
      <x:c r="M9" s="2" t="str">
        <x:v>Valores ausentes nas 8 colunas</x:v>
      </x:c>
      <x:c r="N9" s="13" t="n">
        <x:f>COUNTBLANK(A7:H2256)</x:f>
        <x:v>0</x:v>
      </x:c>
      <x:c r="O9" s="2"/>
      <x:c r="P9" s="2"/>
      <x:c r="Q9" s="2"/>
      <x:c r="R9" s="2"/>
    </x:row>
    <x:row r="10" ht="22" customHeight="1">
      <x:c r="A10" s="2" t="n">
        <x:v>100004</x:v>
      </x:c>
      <x:c r="B10" s="10" t="n">
        <x:v>45120</x:v>
      </x:c>
      <x:c r="C10" s="2" t="str">
        <x:v>México</x:v>
      </x:c>
      <x:c r="D10" s="2" t="str">
        <x:v>Moda Feminina</x:v>
      </x:c>
      <x:c r="E10" s="11" t="n">
        <x:v>26</x:v>
      </x:c>
      <x:c r="F10" s="12" t="n">
        <x:v>61.87</x:v>
      </x:c>
      <x:c r="G10" s="12" t="n">
        <x:v>1608.62</x:v>
      </x:c>
      <x:c r="H10" s="13" t="n">
        <x:v>151</x:v>
      </x:c>
      <x:c r="I10" s="13" t="n">
        <x:f>YEAR(B10)</x:f>
        <x:v>2023</x:v>
      </x:c>
      <x:c r="J10" s="13" t="n">
        <x:f>MONTH(B10)</x:f>
        <x:v>7</x:v>
      </x:c>
      <x:c r="K10" s="14" t="n">
        <x:f>ROUND(E10*F10-G10,10)</x:f>
        <x:v>0</x:v>
      </x:c>
      <x:c r="L10" s="2"/>
      <x:c r="M10" s="2" t="str">
        <x:v>Datas numéricas</x:v>
      </x:c>
      <x:c r="N10" s="13" t="n">
        <x:f>COUNT('Base'!$B$7:$B$2256)</x:f>
        <x:v>2250</x:v>
      </x:c>
      <x:c r="O10" s="2"/>
      <x:c r="P10" s="2"/>
      <x:c r="Q10" s="2"/>
      <x:c r="R10" s="2"/>
    </x:row>
    <x:row r="11" ht="22" customHeight="1">
      <x:c r="A11" s="2" t="n">
        <x:v>100005</x:v>
      </x:c>
      <x:c r="B11" s="10" t="n">
        <x:v>45614</x:v>
      </x:c>
      <x:c r="C11" s="2" t="str">
        <x:v>México</x:v>
      </x:c>
      <x:c r="D11" s="2" t="str">
        <x:v>Moda Feminina</x:v>
      </x:c>
      <x:c r="E11" s="11" t="n">
        <x:v>17</x:v>
      </x:c>
      <x:c r="F11" s="12" t="n">
        <x:v>155.05</x:v>
      </x:c>
      <x:c r="G11" s="12" t="n">
        <x:v>2635.85</x:v>
      </x:c>
      <x:c r="H11" s="13" t="n">
        <x:v>359</x:v>
      </x:c>
      <x:c r="I11" s="13" t="n">
        <x:f>YEAR(B11)</x:f>
        <x:v>2024</x:v>
      </x:c>
      <x:c r="J11" s="13" t="n">
        <x:f>MONTH(B11)</x:f>
        <x:v>11</x:v>
      </x:c>
      <x:c r="K11" s="14" t="n">
        <x:f>ROUND(E11*F11-G11,10)</x:f>
        <x:v>0</x:v>
      </x:c>
      <x:c r="L11" s="2"/>
      <x:c r="M11" s="2" t="str">
        <x:v>Meses com pedidos</x:v>
      </x:c>
      <x:c r="N11" s="13" t="n">
        <x:f>COUNTIF('Mensal'!B7:B30,"&gt;0")</x:f>
        <x:v>24</x:v>
      </x:c>
      <x:c r="O11" s="2"/>
      <x:c r="P11" s="2"/>
      <x:c r="Q11" s="2"/>
      <x:c r="R11" s="2"/>
    </x:row>
    <x:row r="12" ht="22" customHeight="1">
      <x:c r="A12" s="2" t="n">
        <x:v>100006</x:v>
      </x:c>
      <x:c r="B12" s="10" t="n">
        <x:v>45031</x:v>
      </x:c>
      <x:c r="C12" s="2" t="str">
        <x:v>Argentina</x:v>
      </x:c>
      <x:c r="D12" s="2" t="str">
        <x:v>Moda Feminina</x:v>
      </x:c>
      <x:c r="E12" s="11" t="n">
        <x:v>7</x:v>
      </x:c>
      <x:c r="F12" s="12" t="n">
        <x:v>69.41</x:v>
      </x:c>
      <x:c r="G12" s="12" t="n">
        <x:v>485.87</x:v>
      </x:c>
      <x:c r="H12" s="13" t="n">
        <x:v>319</x:v>
      </x:c>
      <x:c r="I12" s="13" t="n">
        <x:f>YEAR(B12)</x:f>
        <x:v>2023</x:v>
      </x:c>
      <x:c r="J12" s="13" t="n">
        <x:f>MONTH(B12)</x:f>
        <x:v>4</x:v>
      </x:c>
      <x:c r="K12" s="14" t="n">
        <x:f>ROUND(E12*F12-G12,10)</x:f>
        <x:v>0</x:v>
      </x:c>
      <x:c r="L12" s="2"/>
      <x:c r="M12" s="2" t="str">
        <x:v>Receita divergente acima de R$ 0,005</x:v>
      </x:c>
      <x:c r="N12" s="13" t="n">
        <x:f>COUNTIF('Base'!$K$7:$K$2256,"&gt;0.005")+COUNTIF('Base'!$K$7:$K$2256,"&lt;-0.005")</x:f>
        <x:v>0</x:v>
      </x:c>
      <x:c r="O12" s="2"/>
      <x:c r="P12" s="2"/>
      <x:c r="Q12" s="2"/>
      <x:c r="R12" s="2"/>
    </x:row>
    <x:row r="13" ht="22" customHeight="1">
      <x:c r="A13" s="2" t="n">
        <x:v>100007</x:v>
      </x:c>
      <x:c r="B13" s="10" t="n">
        <x:v>45275</x:v>
      </x:c>
      <x:c r="C13" s="2" t="str">
        <x:v>Chile</x:v>
      </x:c>
      <x:c r="D13" s="2" t="str">
        <x:v>Moda Feminina</x:v>
      </x:c>
      <x:c r="E13" s="11" t="n">
        <x:v>13</x:v>
      </x:c>
      <x:c r="F13" s="12" t="n">
        <x:v>132.44</x:v>
      </x:c>
      <x:c r="G13" s="12" t="n">
        <x:v>1721.72</x:v>
      </x:c>
      <x:c r="H13" s="13" t="n">
        <x:v>341</x:v>
      </x:c>
      <x:c r="I13" s="13" t="n">
        <x:f>YEAR(B13)</x:f>
        <x:v>2023</x:v>
      </x:c>
      <x:c r="J13" s="13" t="n">
        <x:f>MONTH(B13)</x:f>
        <x:v>12</x:v>
      </x:c>
      <x:c r="K13" s="14" t="n">
        <x:f>ROUND(E13*F13-G13,10)</x:f>
        <x:v>0</x:v>
      </x:c>
      <x:c r="L13" s="2"/>
      <x:c r="M13" s="2" t="str">
        <x:v>Menor quantidade</x:v>
      </x:c>
      <x:c r="N13" s="13" t="n">
        <x:f>MIN('Base'!$E$7:$E$2256)</x:f>
        <x:v>1</x:v>
      </x:c>
      <x:c r="O13" s="2"/>
      <x:c r="P13" s="2"/>
      <x:c r="Q13" s="2"/>
      <x:c r="R13" s="2"/>
    </x:row>
    <x:row r="14" ht="22" customHeight="1">
      <x:c r="A14" s="2" t="n">
        <x:v>100008</x:v>
      </x:c>
      <x:c r="B14" s="10" t="n">
        <x:v>45274</x:v>
      </x:c>
      <x:c r="C14" s="2" t="str">
        <x:v>Chile</x:v>
      </x:c>
      <x:c r="D14" s="2" t="str">
        <x:v>Moda Infantil</x:v>
      </x:c>
      <x:c r="E14" s="11" t="n">
        <x:v>5</x:v>
      </x:c>
      <x:c r="F14" s="12" t="n">
        <x:v>34.61</x:v>
      </x:c>
      <x:c r="G14" s="12" t="n">
        <x:v>173.05</x:v>
      </x:c>
      <x:c r="H14" s="13" t="n">
        <x:v>259</x:v>
      </x:c>
      <x:c r="I14" s="13" t="n">
        <x:f>YEAR(B14)</x:f>
        <x:v>2023</x:v>
      </x:c>
      <x:c r="J14" s="13" t="n">
        <x:f>MONTH(B14)</x:f>
        <x:v>12</x:v>
      </x:c>
      <x:c r="K14" s="14" t="n">
        <x:f>ROUND(E14*F14-G14,10)</x:f>
        <x:v>0</x:v>
      </x:c>
      <x:c r="L14" s="2"/>
      <x:c r="M14" s="2" t="str">
        <x:v>Maior quantidade</x:v>
      </x:c>
      <x:c r="N14" s="13" t="n">
        <x:f>MAX('Base'!$E$7:$E$2256)</x:f>
        <x:v>49</x:v>
      </x:c>
      <x:c r="O14" s="2"/>
      <x:c r="P14" s="2"/>
      <x:c r="Q14" s="2"/>
      <x:c r="R14" s="2"/>
    </x:row>
    <x:row r="15" ht="22" customHeight="1">
      <x:c r="A15" s="2" t="n">
        <x:v>100009</x:v>
      </x:c>
      <x:c r="B15" s="10" t="n">
        <x:v>45488</x:v>
      </x:c>
      <x:c r="C15" s="2" t="str">
        <x:v>Chile</x:v>
      </x:c>
      <x:c r="D15" s="2" t="str">
        <x:v>Acessórios</x:v>
      </x:c>
      <x:c r="E15" s="11" t="n">
        <x:v>26</x:v>
      </x:c>
      <x:c r="F15" s="12" t="n">
        <x:v>101.4</x:v>
      </x:c>
      <x:c r="G15" s="12" t="n">
        <x:v>2636.4</x:v>
      </x:c>
      <x:c r="H15" s="13" t="n">
        <x:v>410</x:v>
      </x:c>
      <x:c r="I15" s="13" t="n">
        <x:f>YEAR(B15)</x:f>
        <x:v>2024</x:v>
      </x:c>
      <x:c r="J15" s="13" t="n">
        <x:f>MONTH(B15)</x:f>
        <x:v>7</x:v>
      </x:c>
      <x:c r="K15" s="14" t="n">
        <x:f>ROUND(E15*F15-G15,10)</x:f>
        <x:v>0</x:v>
      </x:c>
      <x:c r="L15" s="2"/>
      <x:c r="M15" s="2"/>
      <x:c r="N15" s="2"/>
      <x:c r="O15" s="2"/>
      <x:c r="P15" s="2"/>
      <x:c r="Q15" s="2"/>
      <x:c r="R15" s="2"/>
    </x:row>
    <x:row r="16" ht="22" customHeight="1">
      <x:c r="A16" s="2" t="n">
        <x:v>100010</x:v>
      </x:c>
      <x:c r="B16" s="10" t="n">
        <x:v>45615</x:v>
      </x:c>
      <x:c r="C16" s="2" t="str">
        <x:v>México</x:v>
      </x:c>
      <x:c r="D16" s="2" t="str">
        <x:v>Moda Masculina</x:v>
      </x:c>
      <x:c r="E16" s="11" t="n">
        <x:v>49</x:v>
      </x:c>
      <x:c r="F16" s="12" t="n">
        <x:v>153.04</x:v>
      </x:c>
      <x:c r="G16" s="12" t="n">
        <x:v>7498.96</x:v>
      </x:c>
      <x:c r="H16" s="13" t="n">
        <x:v>387</x:v>
      </x:c>
      <x:c r="I16" s="13" t="n">
        <x:f>YEAR(B16)</x:f>
        <x:v>2024</x:v>
      </x:c>
      <x:c r="J16" s="13" t="n">
        <x:f>MONTH(B16)</x:f>
        <x:v>11</x:v>
      </x:c>
      <x:c r="K16" s="14" t="n">
        <x:f>ROUND(E16*F16-G16,10)</x:f>
        <x:v>0</x:v>
      </x:c>
      <x:c r="L16" s="2"/>
      <x:c r="M16" s="2"/>
      <x:c r="N16" s="2"/>
      <x:c r="O16" s="2"/>
      <x:c r="P16" s="2"/>
      <x:c r="Q16" s="2"/>
      <x:c r="R16" s="2"/>
    </x:row>
    <x:row r="17" ht="22" customHeight="1">
      <x:c r="A17" s="2" t="n">
        <x:v>100011</x:v>
      </x:c>
      <x:c r="B17" s="10" t="n">
        <x:v>45012</x:v>
      </x:c>
      <x:c r="C17" s="2" t="str">
        <x:v>Colômbia</x:v>
      </x:c>
      <x:c r="D17" s="2" t="str">
        <x:v>Moda Infantil</x:v>
      </x:c>
      <x:c r="E17" s="11" t="n">
        <x:v>3</x:v>
      </x:c>
      <x:c r="F17" s="12" t="n">
        <x:v>143.57</x:v>
      </x:c>
      <x:c r="G17" s="12" t="n">
        <x:v>430.71</x:v>
      </x:c>
      <x:c r="H17" s="13" t="n">
        <x:v>116</x:v>
      </x:c>
      <x:c r="I17" s="13" t="n">
        <x:f>YEAR(B17)</x:f>
        <x:v>2023</x:v>
      </x:c>
      <x:c r="J17" s="13" t="n">
        <x:f>MONTH(B17)</x:f>
        <x:v>3</x:v>
      </x:c>
      <x:c r="K17" s="14" t="n">
        <x:f>ROUND(E17*F17-G17,10)</x:f>
        <x:v>0</x:v>
      </x:c>
      <x:c r="L17" s="2"/>
      <x:c r="M17" s="15" t="str">
        <x:v>Referências e definições</x:v>
      </x:c>
      <x:c r="N17" s="2"/>
      <x:c r="O17" s="2"/>
      <x:c r="P17" s="2"/>
      <x:c r="Q17" s="2"/>
      <x:c r="R17" s="2"/>
    </x:row>
    <x:row r="18" ht="22" customHeight="1">
      <x:c r="A18" s="2" t="n">
        <x:v>100012</x:v>
      </x:c>
      <x:c r="B18" s="10" t="n">
        <x:v>45186</x:v>
      </x:c>
      <x:c r="C18" s="2" t="str">
        <x:v>Chile</x:v>
      </x:c>
      <x:c r="D18" s="2" t="str">
        <x:v>Moda Infantil</x:v>
      </x:c>
      <x:c r="E18" s="11" t="n">
        <x:v>7</x:v>
      </x:c>
      <x:c r="F18" s="12" t="n">
        <x:v>166.71</x:v>
      </x:c>
      <x:c r="G18" s="12" t="n">
        <x:v>1166.97</x:v>
      </x:c>
      <x:c r="H18" s="13" t="n">
        <x:v>59</x:v>
      </x:c>
      <x:c r="I18" s="13" t="n">
        <x:f>YEAR(B18)</x:f>
        <x:v>2023</x:v>
      </x:c>
      <x:c r="J18" s="13" t="n">
        <x:f>MONTH(B18)</x:f>
        <x:v>9</x:v>
      </x:c>
      <x:c r="K18" s="14" t="n">
        <x:f>ROUND(E18*F18-G18,10)</x:f>
        <x:v>0</x:v>
      </x:c>
      <x:c r="L18" s="2"/>
      <x:c r="M18" s="2"/>
      <x:c r="N18" s="2"/>
      <x:c r="O18" s="2"/>
      <x:c r="P18" s="2"/>
      <x:c r="Q18" s="2"/>
      <x:c r="R18" s="2"/>
    </x:row>
    <x:row r="19" ht="22" customHeight="1">
      <x:c r="A19" s="2" t="n">
        <x:v>100013</x:v>
      </x:c>
      <x:c r="B19" s="10" t="n">
        <x:v>45079</x:v>
      </x:c>
      <x:c r="C19" s="2" t="str">
        <x:v>Peru</x:v>
      </x:c>
      <x:c r="D19" s="2" t="str">
        <x:v>Moda Masculina</x:v>
      </x:c>
      <x:c r="E19" s="11" t="n">
        <x:v>49</x:v>
      </x:c>
      <x:c r="F19" s="12" t="n">
        <x:v>177.94</x:v>
      </x:c>
      <x:c r="G19" s="12" t="n">
        <x:v>8719.06</x:v>
      </x:c>
      <x:c r="H19" s="13" t="n">
        <x:v>98</x:v>
      </x:c>
      <x:c r="I19" s="13" t="n">
        <x:f>YEAR(B19)</x:f>
        <x:v>2023</x:v>
      </x:c>
      <x:c r="J19" s="13" t="n">
        <x:f>MONTH(B19)</x:f>
        <x:v>6</x:v>
      </x:c>
      <x:c r="K19" s="14" t="n">
        <x:f>ROUND(E19*F19-G19,10)</x:f>
        <x:v>0</x:v>
      </x:c>
      <x:c r="L19" s="2"/>
      <x:c r="M19" s="2" t="str">
        <x:v>Resultados: Trabalho_Academico_Moda_Global_ABNT.docx, seções 3 a 7 e Apêndice A.</x:v>
      </x:c>
      <x:c r="N19" s="2"/>
      <x:c r="O19" s="2"/>
      <x:c r="P19" s="2"/>
      <x:c r="Q19" s="2"/>
      <x:c r="R19" s="2"/>
    </x:row>
    <x:row r="20" ht="22" customHeight="1">
      <x:c r="A20" s="2" t="n">
        <x:v>100014</x:v>
      </x:c>
      <x:c r="B20" s="10" t="n">
        <x:v>45648</x:v>
      </x:c>
      <x:c r="C20" s="2" t="str">
        <x:v>México</x:v>
      </x:c>
      <x:c r="D20" s="2" t="str">
        <x:v>Moda Masculina</x:v>
      </x:c>
      <x:c r="E20" s="11" t="n">
        <x:v>39</x:v>
      </x:c>
      <x:c r="F20" s="12" t="n">
        <x:v>159.17</x:v>
      </x:c>
      <x:c r="G20" s="12" t="n">
        <x:v>6207.629999999999</x:v>
      </x:c>
      <x:c r="H20" s="13" t="n">
        <x:v>160</x:v>
      </x:c>
      <x:c r="I20" s="13" t="n">
        <x:f>YEAR(B20)</x:f>
        <x:v>2024</x:v>
      </x:c>
      <x:c r="J20" s="13" t="n">
        <x:f>MONTH(B20)</x:f>
        <x:v>12</x:v>
      </x:c>
      <x:c r="K20" s="14" t="n">
        <x:f>ROUND(E20*F20-G20,10)</x:f>
        <x:v>0</x:v>
      </x:c>
      <x:c r="L20" s="2"/>
      <x:c r="M20" s="2" t="str">
        <x:v>Contexto: proposta UniRitter, UC Análise de Dados e Big Data, avaliação A3, 2026/2.</x:v>
      </x:c>
      <x:c r="N20" s="2"/>
      <x:c r="O20" s="2"/>
      <x:c r="P20" s="2"/>
      <x:c r="Q20" s="2"/>
      <x:c r="R20" s="2"/>
    </x:row>
    <x:row r="21" ht="22" customHeight="1">
      <x:c r="A21" s="2" t="n">
        <x:v>100015</x:v>
      </x:c>
      <x:c r="B21" s="10" t="n">
        <x:v>44938</x:v>
      </x:c>
      <x:c r="C21" s="2" t="str">
        <x:v>Argentina</x:v>
      </x:c>
      <x:c r="D21" s="2" t="str">
        <x:v>Moda Feminina</x:v>
      </x:c>
      <x:c r="E21" s="11" t="n">
        <x:v>1</x:v>
      </x:c>
      <x:c r="F21" s="12" t="n">
        <x:v>140.89</x:v>
      </x:c>
      <x:c r="G21" s="12" t="n">
        <x:v>140.89</x:v>
      </x:c>
      <x:c r="H21" s="13" t="n">
        <x:v>370</x:v>
      </x:c>
      <x:c r="I21" s="13" t="n">
        <x:f>YEAR(B21)</x:f>
        <x:v>2023</x:v>
      </x:c>
      <x:c r="J21" s="13" t="n">
        <x:f>MONTH(B21)</x:f>
        <x:v>1</x:v>
      </x:c>
      <x:c r="K21" s="14" t="n">
        <x:f>ROUND(E21*F21-G21,10)</x:f>
        <x:v>0</x:v>
      </x:c>
      <x:c r="L21" s="2"/>
      <x:c r="M21" s="2"/>
      <x:c r="N21" s="2"/>
      <x:c r="O21" s="2"/>
      <x:c r="P21" s="2"/>
      <x:c r="Q21" s="2"/>
      <x:c r="R21" s="2"/>
    </x:row>
    <x:row r="22" ht="22" customHeight="1">
      <x:c r="A22" s="2" t="n">
        <x:v>100016</x:v>
      </x:c>
      <x:c r="B22" s="10" t="n">
        <x:v>45050</x:v>
      </x:c>
      <x:c r="C22" s="2" t="str">
        <x:v>Colômbia</x:v>
      </x:c>
      <x:c r="D22" s="2" t="str">
        <x:v>Moda Infantil</x:v>
      </x:c>
      <x:c r="E22" s="11" t="n">
        <x:v>49</x:v>
      </x:c>
      <x:c r="F22" s="12" t="n">
        <x:v>25.71</x:v>
      </x:c>
      <x:c r="G22" s="12" t="n">
        <x:v>1259.79</x:v>
      </x:c>
      <x:c r="H22" s="13" t="n">
        <x:v>268</x:v>
      </x:c>
      <x:c r="I22" s="13" t="n">
        <x:f>YEAR(B22)</x:f>
        <x:v>2023</x:v>
      </x:c>
      <x:c r="J22" s="13" t="n">
        <x:f>MONTH(B22)</x:f>
        <x:v>5</x:v>
      </x:c>
      <x:c r="K22" s="14" t="n">
        <x:f>ROUND(E22*F22-G22,10)</x:f>
        <x:v>0</x:v>
      </x:c>
      <x:c r="L22" s="2"/>
      <x:c r="M22" s="2" t="str">
        <x:v>Pedido = uma linha e um ID único. Ticket = receita total ÷ quantidade de pedidos.</x:v>
      </x:c>
      <x:c r="N22" s="2"/>
      <x:c r="O22" s="2"/>
      <x:c r="P22" s="2"/>
      <x:c r="Q22" s="2"/>
      <x:c r="R22" s="2"/>
    </x:row>
    <x:row r="23" ht="22" customHeight="1">
      <x:c r="A23" s="2" t="n">
        <x:v>100017</x:v>
      </x:c>
      <x:c r="B23" s="10" t="n">
        <x:v>45653</x:v>
      </x:c>
      <x:c r="C23" s="2" t="str">
        <x:v>Peru</x:v>
      </x:c>
      <x:c r="D23" s="2" t="str">
        <x:v>Calçados</x:v>
      </x:c>
      <x:c r="E23" s="11" t="n">
        <x:v>17</x:v>
      </x:c>
      <x:c r="F23" s="12" t="n">
        <x:v>116.29</x:v>
      </x:c>
      <x:c r="G23" s="12" t="n">
        <x:v>1976.93</x:v>
      </x:c>
      <x:c r="H23" s="13" t="n">
        <x:v>106</x:v>
      </x:c>
      <x:c r="I23" s="13" t="n">
        <x:f>YEAR(B23)</x:f>
        <x:v>2024</x:v>
      </x:c>
      <x:c r="J23" s="13" t="n">
        <x:f>MONTH(B23)</x:f>
        <x:v>12</x:v>
      </x:c>
      <x:c r="K23" s="14" t="n">
        <x:f>ROUND(E23*F23-G23,10)</x:f>
        <x:v>0</x:v>
      </x:c>
      <x:c r="L23" s="2"/>
      <x:c r="M23" s="2" t="str">
        <x:v>Receita nominal em R$. Sem conversão cambial, ajuste de inflação ou dedução de custos.</x:v>
      </x:c>
      <x:c r="N23" s="2"/>
      <x:c r="O23" s="2"/>
      <x:c r="P23" s="2"/>
      <x:c r="Q23" s="2"/>
      <x:c r="R23" s="2"/>
    </x:row>
    <x:row r="24" ht="22" customHeight="1">
      <x:c r="A24" s="2" t="n">
        <x:v>100018</x:v>
      </x:c>
      <x:c r="B24" s="10" t="n">
        <x:v>45170</x:v>
      </x:c>
      <x:c r="C24" s="2" t="str">
        <x:v>Peru</x:v>
      </x:c>
      <x:c r="D24" s="2" t="str">
        <x:v>Moda Masculina</x:v>
      </x:c>
      <x:c r="E24" s="11" t="n">
        <x:v>43</x:v>
      </x:c>
      <x:c r="F24" s="12" t="n">
        <x:v>26.79</x:v>
      </x:c>
      <x:c r="G24" s="12" t="n">
        <x:v>1151.97</x:v>
      </x:c>
      <x:c r="H24" s="13" t="n">
        <x:v>332</x:v>
      </x:c>
      <x:c r="I24" s="13" t="n">
        <x:f>YEAR(B24)</x:f>
        <x:v>2023</x:v>
      </x:c>
      <x:c r="J24" s="13" t="n">
        <x:f>MONTH(B24)</x:f>
        <x:v>9</x:v>
      </x:c>
      <x:c r="K24" s="14" t="n">
        <x:f>ROUND(E24*F24-G24,10)</x:f>
        <x:v>0</x:v>
      </x:c>
      <x:c r="L24" s="2"/>
      <x:c r="M24" s="2" t="str">
        <x:v>Estoque = média das linhas. Faltam produto, local e data de posição para consolidar saldos.</x:v>
      </x:c>
      <x:c r="N24" s="2"/>
      <x:c r="O24" s="2"/>
      <x:c r="P24" s="2"/>
      <x:c r="Q24" s="2"/>
      <x:c r="R24" s="2"/>
    </x:row>
    <x:row r="25" ht="22" customHeight="1">
      <x:c r="A25" s="2" t="n">
        <x:v>100019</x:v>
      </x:c>
      <x:c r="B25" s="10" t="n">
        <x:v>45486</x:v>
      </x:c>
      <x:c r="C25" s="2" t="str">
        <x:v>Argentina</x:v>
      </x:c>
      <x:c r="D25" s="2" t="str">
        <x:v>Moda Masculina</x:v>
      </x:c>
      <x:c r="E25" s="11" t="n">
        <x:v>25</x:v>
      </x:c>
      <x:c r="F25" s="12" t="n">
        <x:v>165.45</x:v>
      </x:c>
      <x:c r="G25" s="12" t="n">
        <x:v>4136.25</x:v>
      </x:c>
      <x:c r="H25" s="13" t="n">
        <x:v>162</x:v>
      </x:c>
      <x:c r="I25" s="13" t="n">
        <x:f>YEAR(B25)</x:f>
        <x:v>2024</x:v>
      </x:c>
      <x:c r="J25" s="13" t="n">
        <x:f>MONTH(B25)</x:f>
        <x:v>7</x:v>
      </x:c>
      <x:c r="K25" s="14" t="n">
        <x:f>ROUND(E25*F25-G25,10)</x:f>
        <x:v>0</x:v>
      </x:c>
      <x:c r="L25" s="2"/>
      <x:c r="M25" s="2"/>
      <x:c r="N25" s="2"/>
      <x:c r="O25" s="2"/>
      <x:c r="P25" s="2"/>
      <x:c r="Q25" s="2"/>
      <x:c r="R25" s="2"/>
    </x:row>
    <x:row r="26" ht="22" customHeight="1">
      <x:c r="A26" s="2" t="n">
        <x:v>100020</x:v>
      </x:c>
      <x:c r="B26" s="10" t="n">
        <x:v>45104</x:v>
      </x:c>
      <x:c r="C26" s="2" t="str">
        <x:v>Colômbia</x:v>
      </x:c>
      <x:c r="D26" s="2" t="str">
        <x:v>Acessórios</x:v>
      </x:c>
      <x:c r="E26" s="11" t="n">
        <x:v>3</x:v>
      </x:c>
      <x:c r="F26" s="12" t="n">
        <x:v>77.73</x:v>
      </x:c>
      <x:c r="G26" s="12" t="n">
        <x:v>233.19</x:v>
      </x:c>
      <x:c r="H26" s="13" t="n">
        <x:v>182</x:v>
      </x:c>
      <x:c r="I26" s="13" t="n">
        <x:f>YEAR(B26)</x:f>
        <x:v>2023</x:v>
      </x:c>
      <x:c r="J26" s="13" t="n">
        <x:f>MONTH(B26)</x:f>
        <x:v>6</x:v>
      </x:c>
      <x:c r="K26" s="14" t="n">
        <x:f>ROUND(E26*F26-G26,10)</x:f>
        <x:v>0</x:v>
      </x:c>
      <x:c r="L26" s="2"/>
      <x:c r="M26" s="2"/>
      <x:c r="N26" s="2"/>
      <x:c r="O26" s="2"/>
      <x:c r="P26" s="2"/>
      <x:c r="Q26" s="2"/>
      <x:c r="R26" s="2"/>
    </x:row>
    <x:row r="27" ht="22" customHeight="1">
      <x:c r="A27" s="2" t="n">
        <x:v>100021</x:v>
      </x:c>
      <x:c r="B27" s="10" t="n">
        <x:v>45629</x:v>
      </x:c>
      <x:c r="C27" s="2" t="str">
        <x:v>México</x:v>
      </x:c>
      <x:c r="D27" s="2" t="str">
        <x:v>Calçados</x:v>
      </x:c>
      <x:c r="E27" s="11" t="n">
        <x:v>15</x:v>
      </x:c>
      <x:c r="F27" s="12" t="n">
        <x:v>121.24</x:v>
      </x:c>
      <x:c r="G27" s="12" t="n">
        <x:v>1818.6</x:v>
      </x:c>
      <x:c r="H27" s="13" t="n">
        <x:v>120</x:v>
      </x:c>
      <x:c r="I27" s="13" t="n">
        <x:f>YEAR(B27)</x:f>
        <x:v>2024</x:v>
      </x:c>
      <x:c r="J27" s="13" t="n">
        <x:f>MONTH(B27)</x:f>
        <x:v>12</x:v>
      </x:c>
      <x:c r="K27" s="14" t="n">
        <x:f>ROUND(E27*F27-G27,10)</x:f>
        <x:v>0</x:v>
      </x:c>
      <x:c r="L27" s="2"/>
      <x:c r="M27" s="2"/>
      <x:c r="N27" s="2"/>
      <x:c r="O27" s="2"/>
      <x:c r="P27" s="2"/>
      <x:c r="Q27" s="2"/>
      <x:c r="R27" s="2"/>
    </x:row>
    <x:row r="28" ht="22" customHeight="1">
      <x:c r="A28" s="2" t="n">
        <x:v>100022</x:v>
      </x:c>
      <x:c r="B28" s="10" t="n">
        <x:v>45391</x:v>
      </x:c>
      <x:c r="C28" s="2" t="str">
        <x:v>Brasil</x:v>
      </x:c>
      <x:c r="D28" s="2" t="str">
        <x:v>Calçados</x:v>
      </x:c>
      <x:c r="E28" s="11" t="n">
        <x:v>29</x:v>
      </x:c>
      <x:c r="F28" s="12" t="n">
        <x:v>70.3</x:v>
      </x:c>
      <x:c r="G28" s="12" t="n">
        <x:v>2038.7</x:v>
      </x:c>
      <x:c r="H28" s="13" t="n">
        <x:v>132</x:v>
      </x:c>
      <x:c r="I28" s="13" t="n">
        <x:f>YEAR(B28)</x:f>
        <x:v>2024</x:v>
      </x:c>
      <x:c r="J28" s="13" t="n">
        <x:f>MONTH(B28)</x:f>
        <x:v>4</x:v>
      </x:c>
      <x:c r="K28" s="14" t="n">
        <x:f>ROUND(E28*F28-G28,10)</x:f>
        <x:v>0</x:v>
      </x:c>
      <x:c r="L28" s="2"/>
      <x:c r="M28" s="2"/>
      <x:c r="N28" s="2"/>
      <x:c r="O28" s="2"/>
      <x:c r="P28" s="2"/>
      <x:c r="Q28" s="2"/>
      <x:c r="R28" s="2"/>
    </x:row>
    <x:row r="29" ht="22" customHeight="1">
      <x:c r="A29" s="2" t="n">
        <x:v>100023</x:v>
      </x:c>
      <x:c r="B29" s="10" t="n">
        <x:v>45110</x:v>
      </x:c>
      <x:c r="C29" s="2" t="str">
        <x:v>Colômbia</x:v>
      </x:c>
      <x:c r="D29" s="2" t="str">
        <x:v>Moda Masculina</x:v>
      </x:c>
      <x:c r="E29" s="11" t="n">
        <x:v>43</x:v>
      </x:c>
      <x:c r="F29" s="12" t="n">
        <x:v>160.85</x:v>
      </x:c>
      <x:c r="G29" s="12" t="n">
        <x:v>6916.55</x:v>
      </x:c>
      <x:c r="H29" s="13" t="n">
        <x:v>106</x:v>
      </x:c>
      <x:c r="I29" s="13" t="n">
        <x:f>YEAR(B29)</x:f>
        <x:v>2023</x:v>
      </x:c>
      <x:c r="J29" s="13" t="n">
        <x:f>MONTH(B29)</x:f>
        <x:v>7</x:v>
      </x:c>
      <x:c r="K29" s="14" t="n">
        <x:f>ROUND(E29*F29-G29,10)</x:f>
        <x:v>0</x:v>
      </x:c>
      <x:c r="L29" s="2"/>
      <x:c r="M29" s="2"/>
      <x:c r="N29" s="2"/>
      <x:c r="O29" s="2"/>
      <x:c r="P29" s="2"/>
      <x:c r="Q29" s="2"/>
      <x:c r="R29" s="2"/>
    </x:row>
    <x:row r="30" ht="22" customHeight="1">
      <x:c r="A30" s="2" t="n">
        <x:v>100024</x:v>
      </x:c>
      <x:c r="B30" s="10" t="n">
        <x:v>45628</x:v>
      </x:c>
      <x:c r="C30" s="2" t="str">
        <x:v>Argentina</x:v>
      </x:c>
      <x:c r="D30" s="2" t="str">
        <x:v>Moda Feminina</x:v>
      </x:c>
      <x:c r="E30" s="11" t="n">
        <x:v>32</x:v>
      </x:c>
      <x:c r="F30" s="12" t="n">
        <x:v>179.57</x:v>
      </x:c>
      <x:c r="G30" s="12" t="n">
        <x:v>5746.24</x:v>
      </x:c>
      <x:c r="H30" s="13" t="n">
        <x:v>425</x:v>
      </x:c>
      <x:c r="I30" s="13" t="n">
        <x:f>YEAR(B30)</x:f>
        <x:v>2024</x:v>
      </x:c>
      <x:c r="J30" s="13" t="n">
        <x:f>MONTH(B30)</x:f>
        <x:v>12</x:v>
      </x:c>
      <x:c r="K30" s="14" t="n">
        <x:f>ROUND(E30*F30-G30,10)</x:f>
        <x:v>0</x:v>
      </x:c>
      <x:c r="L30" s="2"/>
      <x:c r="M30" s="2"/>
      <x:c r="N30" s="2"/>
      <x:c r="O30" s="2"/>
      <x:c r="P30" s="2"/>
      <x:c r="Q30" s="2"/>
      <x:c r="R30" s="2"/>
    </x:row>
    <x:row r="31" ht="22" customHeight="1">
      <x:c r="A31" s="2" t="n">
        <x:v>100025</x:v>
      </x:c>
      <x:c r="B31" s="10" t="n">
        <x:v>44945</x:v>
      </x:c>
      <x:c r="C31" s="2" t="str">
        <x:v>Peru</x:v>
      </x:c>
      <x:c r="D31" s="2" t="str">
        <x:v>Acessórios</x:v>
      </x:c>
      <x:c r="E31" s="11" t="n">
        <x:v>26</x:v>
      </x:c>
      <x:c r="F31" s="12" t="n">
        <x:v>91.76</x:v>
      </x:c>
      <x:c r="G31" s="12" t="n">
        <x:v>2385.76</x:v>
      </x:c>
      <x:c r="H31" s="13" t="n">
        <x:v>398</x:v>
      </x:c>
      <x:c r="I31" s="13" t="n">
        <x:f>YEAR(B31)</x:f>
        <x:v>2023</x:v>
      </x:c>
      <x:c r="J31" s="13" t="n">
        <x:f>MONTH(B31)</x:f>
        <x:v>1</x:v>
      </x:c>
      <x:c r="K31" s="14" t="n">
        <x:f>ROUND(E31*F31-G31,10)</x:f>
        <x:v>0</x:v>
      </x:c>
      <x:c r="L31" s="2"/>
      <x:c r="M31" s="2"/>
      <x:c r="N31" s="2"/>
      <x:c r="O31" s="2"/>
      <x:c r="P31" s="2"/>
      <x:c r="Q31" s="2"/>
      <x:c r="R31" s="2"/>
    </x:row>
    <x:row r="32" ht="22" customHeight="1">
      <x:c r="A32" s="2" t="n">
        <x:v>100026</x:v>
      </x:c>
      <x:c r="B32" s="10" t="n">
        <x:v>45636</x:v>
      </x:c>
      <x:c r="C32" s="2" t="str">
        <x:v>México</x:v>
      </x:c>
      <x:c r="D32" s="2" t="str">
        <x:v>Calçados</x:v>
      </x:c>
      <x:c r="E32" s="11" t="n">
        <x:v>16</x:v>
      </x:c>
      <x:c r="F32" s="12" t="n">
        <x:v>175.33</x:v>
      </x:c>
      <x:c r="G32" s="12" t="n">
        <x:v>2805.28</x:v>
      </x:c>
      <x:c r="H32" s="13" t="n">
        <x:v>320</x:v>
      </x:c>
      <x:c r="I32" s="13" t="n">
        <x:f>YEAR(B32)</x:f>
        <x:v>2024</x:v>
      </x:c>
      <x:c r="J32" s="13" t="n">
        <x:f>MONTH(B32)</x:f>
        <x:v>12</x:v>
      </x:c>
      <x:c r="K32" s="14" t="n">
        <x:f>ROUND(E32*F32-G32,10)</x:f>
        <x:v>0</x:v>
      </x:c>
      <x:c r="L32" s="2"/>
      <x:c r="M32" s="2"/>
      <x:c r="N32" s="2"/>
      <x:c r="O32" s="2"/>
      <x:c r="P32" s="2"/>
      <x:c r="Q32" s="2"/>
      <x:c r="R32" s="2"/>
    </x:row>
    <x:row r="33" ht="22" customHeight="1">
      <x:c r="A33" s="2" t="n">
        <x:v>100027</x:v>
      </x:c>
      <x:c r="B33" s="10" t="n">
        <x:v>45119</x:v>
      </x:c>
      <x:c r="C33" s="2" t="str">
        <x:v>Colômbia</x:v>
      </x:c>
      <x:c r="D33" s="2" t="str">
        <x:v>Moda Masculina</x:v>
      </x:c>
      <x:c r="E33" s="11" t="n">
        <x:v>25</x:v>
      </x:c>
      <x:c r="F33" s="12" t="n">
        <x:v>68.07</x:v>
      </x:c>
      <x:c r="G33" s="12" t="n">
        <x:v>1701.75</x:v>
      </x:c>
      <x:c r="H33" s="13" t="n">
        <x:v>160</x:v>
      </x:c>
      <x:c r="I33" s="13" t="n">
        <x:f>YEAR(B33)</x:f>
        <x:v>2023</x:v>
      </x:c>
      <x:c r="J33" s="13" t="n">
        <x:f>MONTH(B33)</x:f>
        <x:v>7</x:v>
      </x:c>
      <x:c r="K33" s="14" t="n">
        <x:f>ROUND(E33*F33-G33,10)</x:f>
        <x:v>0</x:v>
      </x:c>
      <x:c r="L33" s="2"/>
      <x:c r="M33" s="2"/>
      <x:c r="N33" s="2"/>
      <x:c r="O33" s="2"/>
      <x:c r="P33" s="2"/>
      <x:c r="Q33" s="2"/>
      <x:c r="R33" s="2"/>
    </x:row>
    <x:row r="34" ht="22" customHeight="1">
      <x:c r="A34" s="2" t="n">
        <x:v>100028</x:v>
      </x:c>
      <x:c r="B34" s="10" t="n">
        <x:v>45369</x:v>
      </x:c>
      <x:c r="C34" s="2" t="str">
        <x:v>Brasil</x:v>
      </x:c>
      <x:c r="D34" s="2" t="str">
        <x:v>Calçados</x:v>
      </x:c>
      <x:c r="E34" s="11" t="n">
        <x:v>28</x:v>
      </x:c>
      <x:c r="F34" s="12" t="n">
        <x:v>116.24</x:v>
      </x:c>
      <x:c r="G34" s="12" t="n">
        <x:v>3254.72</x:v>
      </x:c>
      <x:c r="H34" s="13" t="n">
        <x:v>406</x:v>
      </x:c>
      <x:c r="I34" s="13" t="n">
        <x:f>YEAR(B34)</x:f>
        <x:v>2024</x:v>
      </x:c>
      <x:c r="J34" s="13" t="n">
        <x:f>MONTH(B34)</x:f>
        <x:v>3</x:v>
      </x:c>
      <x:c r="K34" s="14" t="n">
        <x:f>ROUND(E34*F34-G34,10)</x:f>
        <x:v>0</x:v>
      </x:c>
      <x:c r="L34" s="2"/>
      <x:c r="M34" s="2"/>
      <x:c r="N34" s="2"/>
      <x:c r="O34" s="2"/>
      <x:c r="P34" s="2"/>
      <x:c r="Q34" s="2"/>
      <x:c r="R34" s="2"/>
    </x:row>
    <x:row r="35" ht="22" customHeight="1">
      <x:c r="A35" s="2" t="n">
        <x:v>100029</x:v>
      </x:c>
      <x:c r="B35" s="10" t="n">
        <x:v>44927</x:v>
      </x:c>
      <x:c r="C35" s="2" t="str">
        <x:v>Brasil</x:v>
      </x:c>
      <x:c r="D35" s="2" t="str">
        <x:v>Acessórios</x:v>
      </x:c>
      <x:c r="E35" s="11" t="n">
        <x:v>9</x:v>
      </x:c>
      <x:c r="F35" s="12" t="n">
        <x:v>174.58</x:v>
      </x:c>
      <x:c r="G35" s="12" t="n">
        <x:v>1571.22</x:v>
      </x:c>
      <x:c r="H35" s="13" t="n">
        <x:v>424</x:v>
      </x:c>
      <x:c r="I35" s="13" t="n">
        <x:f>YEAR(B35)</x:f>
        <x:v>2023</x:v>
      </x:c>
      <x:c r="J35" s="13" t="n">
        <x:f>MONTH(B35)</x:f>
        <x:v>1</x:v>
      </x:c>
      <x:c r="K35" s="14" t="n">
        <x:f>ROUND(E35*F35-G35,10)</x:f>
        <x:v>0</x:v>
      </x:c>
      <x:c r="L35" s="2"/>
      <x:c r="M35" s="2"/>
      <x:c r="N35" s="2"/>
      <x:c r="O35" s="2"/>
      <x:c r="P35" s="2"/>
      <x:c r="Q35" s="2"/>
      <x:c r="R35" s="2"/>
    </x:row>
    <x:row r="36" ht="22" customHeight="1">
      <x:c r="A36" s="2" t="n">
        <x:v>100030</x:v>
      </x:c>
      <x:c r="B36" s="10" t="n">
        <x:v>45540</x:v>
      </x:c>
      <x:c r="C36" s="2" t="str">
        <x:v>Chile</x:v>
      </x:c>
      <x:c r="D36" s="2" t="str">
        <x:v>Acessórios</x:v>
      </x:c>
      <x:c r="E36" s="11" t="n">
        <x:v>1</x:v>
      </x:c>
      <x:c r="F36" s="12" t="n">
        <x:v>78.66</x:v>
      </x:c>
      <x:c r="G36" s="12" t="n">
        <x:v>78.66</x:v>
      </x:c>
      <x:c r="H36" s="13" t="n">
        <x:v>125</x:v>
      </x:c>
      <x:c r="I36" s="13" t="n">
        <x:f>YEAR(B36)</x:f>
        <x:v>2024</x:v>
      </x:c>
      <x:c r="J36" s="13" t="n">
        <x:f>MONTH(B36)</x:f>
        <x:v>9</x:v>
      </x:c>
      <x:c r="K36" s="14" t="n">
        <x:f>ROUND(E36*F36-G36,10)</x:f>
        <x:v>0</x:v>
      </x:c>
      <x:c r="L36" s="2"/>
      <x:c r="M36" s="2"/>
      <x:c r="N36" s="2"/>
      <x:c r="O36" s="2"/>
      <x:c r="P36" s="2"/>
      <x:c r="Q36" s="2"/>
      <x:c r="R36" s="2"/>
    </x:row>
    <x:row r="37" ht="22" customHeight="1">
      <x:c r="A37" s="2" t="n">
        <x:v>100031</x:v>
      </x:c>
      <x:c r="B37" s="10" t="n">
        <x:v>44931</x:v>
      </x:c>
      <x:c r="C37" s="2" t="str">
        <x:v>Chile</x:v>
      </x:c>
      <x:c r="D37" s="2" t="str">
        <x:v>Moda Infantil</x:v>
      </x:c>
      <x:c r="E37" s="11" t="n">
        <x:v>29</x:v>
      </x:c>
      <x:c r="F37" s="12" t="n">
        <x:v>191.73</x:v>
      </x:c>
      <x:c r="G37" s="12" t="n">
        <x:v>5560.17</x:v>
      </x:c>
      <x:c r="H37" s="13" t="n">
        <x:v>207</x:v>
      </x:c>
      <x:c r="I37" s="13" t="n">
        <x:f>YEAR(B37)</x:f>
        <x:v>2023</x:v>
      </x:c>
      <x:c r="J37" s="13" t="n">
        <x:f>MONTH(B37)</x:f>
        <x:v>1</x:v>
      </x:c>
      <x:c r="K37" s="14" t="n">
        <x:f>ROUND(E37*F37-G37,10)</x:f>
        <x:v>0</x:v>
      </x:c>
      <x:c r="L37" s="2"/>
      <x:c r="M37" s="2"/>
      <x:c r="N37" s="2"/>
      <x:c r="O37" s="2"/>
      <x:c r="P37" s="2"/>
      <x:c r="Q37" s="2"/>
      <x:c r="R37" s="2"/>
    </x:row>
    <x:row r="38" ht="22" customHeight="1">
      <x:c r="A38" s="2" t="n">
        <x:v>100032</x:v>
      </x:c>
      <x:c r="B38" s="10" t="n">
        <x:v>45154</x:v>
      </x:c>
      <x:c r="C38" s="2" t="str">
        <x:v>Argentina</x:v>
      </x:c>
      <x:c r="D38" s="2" t="str">
        <x:v>Moda Masculina</x:v>
      </x:c>
      <x:c r="E38" s="11" t="n">
        <x:v>22</x:v>
      </x:c>
      <x:c r="F38" s="12" t="n">
        <x:v>41.94</x:v>
      </x:c>
      <x:c r="G38" s="12" t="n">
        <x:v>922.68</x:v>
      </x:c>
      <x:c r="H38" s="13" t="n">
        <x:v>69</x:v>
      </x:c>
      <x:c r="I38" s="13" t="n">
        <x:f>YEAR(B38)</x:f>
        <x:v>2023</x:v>
      </x:c>
      <x:c r="J38" s="13" t="n">
        <x:f>MONTH(B38)</x:f>
        <x:v>8</x:v>
      </x:c>
      <x:c r="K38" s="14" t="n">
        <x:f>ROUND(E38*F38-G38,10)</x:f>
        <x:v>0</x:v>
      </x:c>
      <x:c r="L38" s="2"/>
      <x:c r="M38" s="2"/>
      <x:c r="N38" s="2"/>
      <x:c r="O38" s="2"/>
      <x:c r="P38" s="2"/>
      <x:c r="Q38" s="2"/>
      <x:c r="R38" s="2"/>
    </x:row>
    <x:row r="39" ht="22" customHeight="1">
      <x:c r="A39" s="2" t="n">
        <x:v>100033</x:v>
      </x:c>
      <x:c r="B39" s="10" t="n">
        <x:v>45396</x:v>
      </x:c>
      <x:c r="C39" s="2" t="str">
        <x:v>Colômbia</x:v>
      </x:c>
      <x:c r="D39" s="2" t="str">
        <x:v>Acessórios</x:v>
      </x:c>
      <x:c r="E39" s="11" t="n">
        <x:v>16</x:v>
      </x:c>
      <x:c r="F39" s="12" t="n">
        <x:v>23.29</x:v>
      </x:c>
      <x:c r="G39" s="12" t="n">
        <x:v>372.64</x:v>
      </x:c>
      <x:c r="H39" s="13" t="n">
        <x:v>470</x:v>
      </x:c>
      <x:c r="I39" s="13" t="n">
        <x:f>YEAR(B39)</x:f>
        <x:v>2024</x:v>
      </x:c>
      <x:c r="J39" s="13" t="n">
        <x:f>MONTH(B39)</x:f>
        <x:v>4</x:v>
      </x:c>
      <x:c r="K39" s="14" t="n">
        <x:f>ROUND(E39*F39-G39,10)</x:f>
        <x:v>0</x:v>
      </x:c>
      <x:c r="L39" s="2"/>
      <x:c r="M39" s="2"/>
      <x:c r="N39" s="2"/>
      <x:c r="O39" s="2"/>
      <x:c r="P39" s="2"/>
      <x:c r="Q39" s="2"/>
      <x:c r="R39" s="2"/>
    </x:row>
    <x:row r="40" ht="22" customHeight="1">
      <x:c r="A40" s="2" t="n">
        <x:v>100034</x:v>
      </x:c>
      <x:c r="B40" s="10" t="n">
        <x:v>45038</x:v>
      </x:c>
      <x:c r="C40" s="2" t="str">
        <x:v>Colômbia</x:v>
      </x:c>
      <x:c r="D40" s="2" t="str">
        <x:v>Moda Infantil</x:v>
      </x:c>
      <x:c r="E40" s="11" t="n">
        <x:v>41</x:v>
      </x:c>
      <x:c r="F40" s="12" t="n">
        <x:v>182.74</x:v>
      </x:c>
      <x:c r="G40" s="12" t="n">
        <x:v>7492.34</x:v>
      </x:c>
      <x:c r="H40" s="13" t="n">
        <x:v>180</x:v>
      </x:c>
      <x:c r="I40" s="13" t="n">
        <x:f>YEAR(B40)</x:f>
        <x:v>2023</x:v>
      </x:c>
      <x:c r="J40" s="13" t="n">
        <x:f>MONTH(B40)</x:f>
        <x:v>4</x:v>
      </x:c>
      <x:c r="K40" s="14" t="n">
        <x:f>ROUND(E40*F40-G40,10)</x:f>
        <x:v>0</x:v>
      </x:c>
      <x:c r="L40" s="2"/>
      <x:c r="M40" s="2"/>
      <x:c r="N40" s="2"/>
      <x:c r="O40" s="2"/>
      <x:c r="P40" s="2"/>
      <x:c r="Q40" s="2"/>
      <x:c r="R40" s="2"/>
    </x:row>
    <x:row r="41" ht="22" customHeight="1">
      <x:c r="A41" s="2" t="n">
        <x:v>100035</x:v>
      </x:c>
      <x:c r="B41" s="10" t="n">
        <x:v>45297</x:v>
      </x:c>
      <x:c r="C41" s="2" t="str">
        <x:v>Peru</x:v>
      </x:c>
      <x:c r="D41" s="2" t="str">
        <x:v>Moda Infantil</x:v>
      </x:c>
      <x:c r="E41" s="11" t="n">
        <x:v>44</x:v>
      </x:c>
      <x:c r="F41" s="12" t="n">
        <x:v>32.36</x:v>
      </x:c>
      <x:c r="G41" s="12" t="n">
        <x:v>1423.84</x:v>
      </x:c>
      <x:c r="H41" s="13" t="n">
        <x:v>378</x:v>
      </x:c>
      <x:c r="I41" s="13" t="n">
        <x:f>YEAR(B41)</x:f>
        <x:v>2024</x:v>
      </x:c>
      <x:c r="J41" s="13" t="n">
        <x:f>MONTH(B41)</x:f>
        <x:v>1</x:v>
      </x:c>
      <x:c r="K41" s="14" t="n">
        <x:f>ROUND(E41*F41-G41,10)</x:f>
        <x:v>0</x:v>
      </x:c>
      <x:c r="L41" s="2"/>
      <x:c r="M41" s="2"/>
      <x:c r="N41" s="2"/>
      <x:c r="O41" s="2"/>
      <x:c r="P41" s="2"/>
      <x:c r="Q41" s="2"/>
      <x:c r="R41" s="2"/>
    </x:row>
    <x:row r="42" ht="22" customHeight="1">
      <x:c r="A42" s="2" t="n">
        <x:v>100036</x:v>
      </x:c>
      <x:c r="B42" s="10" t="n">
        <x:v>45111</x:v>
      </x:c>
      <x:c r="C42" s="2" t="str">
        <x:v>Peru</x:v>
      </x:c>
      <x:c r="D42" s="2" t="str">
        <x:v>Calçados</x:v>
      </x:c>
      <x:c r="E42" s="11" t="n">
        <x:v>41</x:v>
      </x:c>
      <x:c r="F42" s="12" t="n">
        <x:v>198.54</x:v>
      </x:c>
      <x:c r="G42" s="12" t="n">
        <x:v>8140.139999999999</x:v>
      </x:c>
      <x:c r="H42" s="13" t="n">
        <x:v>171</x:v>
      </x:c>
      <x:c r="I42" s="13" t="n">
        <x:f>YEAR(B42)</x:f>
        <x:v>2023</x:v>
      </x:c>
      <x:c r="J42" s="13" t="n">
        <x:f>MONTH(B42)</x:f>
        <x:v>7</x:v>
      </x:c>
      <x:c r="K42" s="14" t="n">
        <x:f>ROUND(E42*F42-G42,10)</x:f>
        <x:v>0</x:v>
      </x:c>
      <x:c r="L42" s="2"/>
      <x:c r="M42" s="2"/>
      <x:c r="N42" s="2"/>
      <x:c r="O42" s="2"/>
      <x:c r="P42" s="2"/>
      <x:c r="Q42" s="2"/>
      <x:c r="R42" s="2"/>
    </x:row>
    <x:row r="43" ht="22" customHeight="1">
      <x:c r="A43" s="2" t="n">
        <x:v>100037</x:v>
      </x:c>
      <x:c r="B43" s="10" t="n">
        <x:v>45546</x:v>
      </x:c>
      <x:c r="C43" s="2" t="str">
        <x:v>Peru</x:v>
      </x:c>
      <x:c r="D43" s="2" t="str">
        <x:v>Calçados</x:v>
      </x:c>
      <x:c r="E43" s="11" t="n">
        <x:v>7</x:v>
      </x:c>
      <x:c r="F43" s="12" t="n">
        <x:v>191.25</x:v>
      </x:c>
      <x:c r="G43" s="12" t="n">
        <x:v>1338.75</x:v>
      </x:c>
      <x:c r="H43" s="13" t="n">
        <x:v>90</x:v>
      </x:c>
      <x:c r="I43" s="13" t="n">
        <x:f>YEAR(B43)</x:f>
        <x:v>2024</x:v>
      </x:c>
      <x:c r="J43" s="13" t="n">
        <x:f>MONTH(B43)</x:f>
        <x:v>9</x:v>
      </x:c>
      <x:c r="K43" s="14" t="n">
        <x:f>ROUND(E43*F43-G43,10)</x:f>
        <x:v>0</x:v>
      </x:c>
      <x:c r="L43" s="2"/>
      <x:c r="M43" s="2"/>
      <x:c r="N43" s="2"/>
      <x:c r="O43" s="2"/>
      <x:c r="P43" s="2"/>
      <x:c r="Q43" s="2"/>
      <x:c r="R43" s="2"/>
    </x:row>
    <x:row r="44" ht="22" customHeight="1">
      <x:c r="A44" s="2" t="n">
        <x:v>100038</x:v>
      </x:c>
      <x:c r="B44" s="10" t="n">
        <x:v>45063</x:v>
      </x:c>
      <x:c r="C44" s="2" t="str">
        <x:v>Chile</x:v>
      </x:c>
      <x:c r="D44" s="2" t="str">
        <x:v>Moda Infantil</x:v>
      </x:c>
      <x:c r="E44" s="11" t="n">
        <x:v>14</x:v>
      </x:c>
      <x:c r="F44" s="12" t="n">
        <x:v>44.66</x:v>
      </x:c>
      <x:c r="G44" s="12" t="n">
        <x:v>625.24</x:v>
      </x:c>
      <x:c r="H44" s="13" t="n">
        <x:v>216</x:v>
      </x:c>
      <x:c r="I44" s="13" t="n">
        <x:f>YEAR(B44)</x:f>
        <x:v>2023</x:v>
      </x:c>
      <x:c r="J44" s="13" t="n">
        <x:f>MONTH(B44)</x:f>
        <x:v>5</x:v>
      </x:c>
      <x:c r="K44" s="14" t="n">
        <x:f>ROUND(E44*F44-G44,10)</x:f>
        <x:v>0</x:v>
      </x:c>
      <x:c r="L44" s="2"/>
      <x:c r="M44" s="2"/>
      <x:c r="N44" s="2"/>
      <x:c r="O44" s="2"/>
      <x:c r="P44" s="2"/>
      <x:c r="Q44" s="2"/>
      <x:c r="R44" s="2"/>
    </x:row>
    <x:row r="45" ht="22" customHeight="1">
      <x:c r="A45" s="2" t="n">
        <x:v>100039</x:v>
      </x:c>
      <x:c r="B45" s="10" t="n">
        <x:v>45576</x:v>
      </x:c>
      <x:c r="C45" s="2" t="str">
        <x:v>Colômbia</x:v>
      </x:c>
      <x:c r="D45" s="2" t="str">
        <x:v>Calçados</x:v>
      </x:c>
      <x:c r="E45" s="11" t="n">
        <x:v>29</x:v>
      </x:c>
      <x:c r="F45" s="12" t="n">
        <x:v>116.77</x:v>
      </x:c>
      <x:c r="G45" s="12" t="n">
        <x:v>3386.33</x:v>
      </x:c>
      <x:c r="H45" s="13" t="n">
        <x:v>459</x:v>
      </x:c>
      <x:c r="I45" s="13" t="n">
        <x:f>YEAR(B45)</x:f>
        <x:v>2024</x:v>
      </x:c>
      <x:c r="J45" s="13" t="n">
        <x:f>MONTH(B45)</x:f>
        <x:v>10</x:v>
      </x:c>
      <x:c r="K45" s="14" t="n">
        <x:f>ROUND(E45*F45-G45,10)</x:f>
        <x:v>0</x:v>
      </x:c>
      <x:c r="L45" s="2"/>
      <x:c r="M45" s="2"/>
      <x:c r="N45" s="2"/>
      <x:c r="O45" s="2"/>
      <x:c r="P45" s="2"/>
      <x:c r="Q45" s="2"/>
      <x:c r="R45" s="2"/>
    </x:row>
    <x:row r="46" ht="22" customHeight="1">
      <x:c r="A46" s="2" t="n">
        <x:v>100040</x:v>
      </x:c>
      <x:c r="B46" s="10" t="n">
        <x:v>45258</x:v>
      </x:c>
      <x:c r="C46" s="2" t="str">
        <x:v>Colômbia</x:v>
      </x:c>
      <x:c r="D46" s="2" t="str">
        <x:v>Acessórios</x:v>
      </x:c>
      <x:c r="E46" s="11" t="n">
        <x:v>19</x:v>
      </x:c>
      <x:c r="F46" s="12" t="n">
        <x:v>53.29</x:v>
      </x:c>
      <x:c r="G46" s="12" t="n">
        <x:v>1012.51</x:v>
      </x:c>
      <x:c r="H46" s="13" t="n">
        <x:v>179</x:v>
      </x:c>
      <x:c r="I46" s="13" t="n">
        <x:f>YEAR(B46)</x:f>
        <x:v>2023</x:v>
      </x:c>
      <x:c r="J46" s="13" t="n">
        <x:f>MONTH(B46)</x:f>
        <x:v>11</x:v>
      </x:c>
      <x:c r="K46" s="14" t="n">
        <x:f>ROUND(E46*F46-G46,10)</x:f>
        <x:v>0</x:v>
      </x:c>
      <x:c r="L46" s="2"/>
      <x:c r="M46" s="2"/>
      <x:c r="N46" s="2"/>
      <x:c r="O46" s="2"/>
      <x:c r="P46" s="2"/>
      <x:c r="Q46" s="2"/>
      <x:c r="R46" s="2"/>
    </x:row>
    <x:row r="47" ht="22" customHeight="1">
      <x:c r="A47" s="2" t="n">
        <x:v>100041</x:v>
      </x:c>
      <x:c r="B47" s="10" t="n">
        <x:v>45410</x:v>
      </x:c>
      <x:c r="C47" s="2" t="str">
        <x:v>Brasil</x:v>
      </x:c>
      <x:c r="D47" s="2" t="str">
        <x:v>Moda Feminina</x:v>
      </x:c>
      <x:c r="E47" s="11" t="n">
        <x:v>19</x:v>
      </x:c>
      <x:c r="F47" s="12" t="n">
        <x:v>97.07</x:v>
      </x:c>
      <x:c r="G47" s="12" t="n">
        <x:v>1844.33</x:v>
      </x:c>
      <x:c r="H47" s="13" t="n">
        <x:v>72</x:v>
      </x:c>
      <x:c r="I47" s="13" t="n">
        <x:f>YEAR(B47)</x:f>
        <x:v>2024</x:v>
      </x:c>
      <x:c r="J47" s="13" t="n">
        <x:f>MONTH(B47)</x:f>
        <x:v>4</x:v>
      </x:c>
      <x:c r="K47" s="14" t="n">
        <x:f>ROUND(E47*F47-G47,10)</x:f>
        <x:v>0</x:v>
      </x:c>
      <x:c r="L47" s="2"/>
      <x:c r="M47" s="2"/>
      <x:c r="N47" s="2"/>
      <x:c r="O47" s="2"/>
      <x:c r="P47" s="2"/>
      <x:c r="Q47" s="2"/>
      <x:c r="R47" s="2"/>
    </x:row>
    <x:row r="48" ht="22" customHeight="1">
      <x:c r="A48" s="2" t="n">
        <x:v>100042</x:v>
      </x:c>
      <x:c r="B48" s="10" t="n">
        <x:v>45359</x:v>
      </x:c>
      <x:c r="C48" s="2" t="str">
        <x:v>Chile</x:v>
      </x:c>
      <x:c r="D48" s="2" t="str">
        <x:v>Acessórios</x:v>
      </x:c>
      <x:c r="E48" s="11" t="n">
        <x:v>2</x:v>
      </x:c>
      <x:c r="F48" s="12" t="n">
        <x:v>31.06</x:v>
      </x:c>
      <x:c r="G48" s="12" t="n">
        <x:v>62.12</x:v>
      </x:c>
      <x:c r="H48" s="13" t="n">
        <x:v>328</x:v>
      </x:c>
      <x:c r="I48" s="13" t="n">
        <x:f>YEAR(B48)</x:f>
        <x:v>2024</x:v>
      </x:c>
      <x:c r="J48" s="13" t="n">
        <x:f>MONTH(B48)</x:f>
        <x:v>3</x:v>
      </x:c>
      <x:c r="K48" s="14" t="n">
        <x:f>ROUND(E48*F48-G48,10)</x:f>
        <x:v>0</x:v>
      </x:c>
      <x:c r="L48" s="2"/>
      <x:c r="M48" s="2"/>
      <x:c r="N48" s="2"/>
      <x:c r="O48" s="2"/>
      <x:c r="P48" s="2"/>
      <x:c r="Q48" s="2"/>
      <x:c r="R48" s="2"/>
    </x:row>
    <x:row r="49" ht="22" customHeight="1">
      <x:c r="A49" s="2" t="n">
        <x:v>100043</x:v>
      </x:c>
      <x:c r="B49" s="10" t="n">
        <x:v>45585</x:v>
      </x:c>
      <x:c r="C49" s="2" t="str">
        <x:v>México</x:v>
      </x:c>
      <x:c r="D49" s="2" t="str">
        <x:v>Moda Infantil</x:v>
      </x:c>
      <x:c r="E49" s="11" t="n">
        <x:v>41</x:v>
      </x:c>
      <x:c r="F49" s="12" t="n">
        <x:v>60.31</x:v>
      </x:c>
      <x:c r="G49" s="12" t="n">
        <x:v>2472.71</x:v>
      </x:c>
      <x:c r="H49" s="13" t="n">
        <x:v>300</x:v>
      </x:c>
      <x:c r="I49" s="13" t="n">
        <x:f>YEAR(B49)</x:f>
        <x:v>2024</x:v>
      </x:c>
      <x:c r="J49" s="13" t="n">
        <x:f>MONTH(B49)</x:f>
        <x:v>10</x:v>
      </x:c>
      <x:c r="K49" s="14" t="n">
        <x:f>ROUND(E49*F49-G49,10)</x:f>
        <x:v>0</x:v>
      </x:c>
      <x:c r="L49" s="2"/>
      <x:c r="M49" s="2"/>
      <x:c r="N49" s="2"/>
      <x:c r="O49" s="2"/>
      <x:c r="P49" s="2"/>
      <x:c r="Q49" s="2"/>
      <x:c r="R49" s="2"/>
    </x:row>
    <x:row r="50" ht="22" customHeight="1">
      <x:c r="A50" s="2" t="n">
        <x:v>100044</x:v>
      </x:c>
      <x:c r="B50" s="10" t="n">
        <x:v>45485</x:v>
      </x:c>
      <x:c r="C50" s="2" t="str">
        <x:v>Chile</x:v>
      </x:c>
      <x:c r="D50" s="2" t="str">
        <x:v>Moda Infantil</x:v>
      </x:c>
      <x:c r="E50" s="11" t="n">
        <x:v>45</x:v>
      </x:c>
      <x:c r="F50" s="12" t="n">
        <x:v>85.39</x:v>
      </x:c>
      <x:c r="G50" s="12" t="n">
        <x:v>3842.55</x:v>
      </x:c>
      <x:c r="H50" s="13" t="n">
        <x:v>449</x:v>
      </x:c>
      <x:c r="I50" s="13" t="n">
        <x:f>YEAR(B50)</x:f>
        <x:v>2024</x:v>
      </x:c>
      <x:c r="J50" s="13" t="n">
        <x:f>MONTH(B50)</x:f>
        <x:v>7</x:v>
      </x:c>
      <x:c r="K50" s="14" t="n">
        <x:f>ROUND(E50*F50-G50,10)</x:f>
        <x:v>0</x:v>
      </x:c>
      <x:c r="L50" s="2"/>
      <x:c r="M50" s="2"/>
      <x:c r="N50" s="2"/>
      <x:c r="O50" s="2"/>
      <x:c r="P50" s="2"/>
      <x:c r="Q50" s="2"/>
      <x:c r="R50" s="2"/>
    </x:row>
    <x:row r="51" ht="22" customHeight="1">
      <x:c r="A51" s="2" t="n">
        <x:v>100045</x:v>
      </x:c>
      <x:c r="B51" s="10" t="n">
        <x:v>45127</x:v>
      </x:c>
      <x:c r="C51" s="2" t="str">
        <x:v>México</x:v>
      </x:c>
      <x:c r="D51" s="2" t="str">
        <x:v>Acessórios</x:v>
      </x:c>
      <x:c r="E51" s="11" t="n">
        <x:v>15</x:v>
      </x:c>
      <x:c r="F51" s="12" t="n">
        <x:v>98.96</x:v>
      </x:c>
      <x:c r="G51" s="12" t="n">
        <x:v>1484.4</x:v>
      </x:c>
      <x:c r="H51" s="13" t="n">
        <x:v>58</x:v>
      </x:c>
      <x:c r="I51" s="13" t="n">
        <x:f>YEAR(B51)</x:f>
        <x:v>2023</x:v>
      </x:c>
      <x:c r="J51" s="13" t="n">
        <x:f>MONTH(B51)</x:f>
        <x:v>7</x:v>
      </x:c>
      <x:c r="K51" s="14" t="n">
        <x:f>ROUND(E51*F51-G51,10)</x:f>
        <x:v>0</x:v>
      </x:c>
      <x:c r="L51" s="2"/>
      <x:c r="M51" s="2"/>
      <x:c r="N51" s="2"/>
      <x:c r="O51" s="2"/>
      <x:c r="P51" s="2"/>
      <x:c r="Q51" s="2"/>
      <x:c r="R51" s="2"/>
    </x:row>
    <x:row r="52" ht="22" customHeight="1">
      <x:c r="A52" s="2" t="n">
        <x:v>100046</x:v>
      </x:c>
      <x:c r="B52" s="10" t="n">
        <x:v>45508</x:v>
      </x:c>
      <x:c r="C52" s="2" t="str">
        <x:v>Brasil</x:v>
      </x:c>
      <x:c r="D52" s="2" t="str">
        <x:v>Calçados</x:v>
      </x:c>
      <x:c r="E52" s="11" t="n">
        <x:v>3</x:v>
      </x:c>
      <x:c r="F52" s="12" t="n">
        <x:v>195.95</x:v>
      </x:c>
      <x:c r="G52" s="12" t="n">
        <x:v>587.8499999999999</x:v>
      </x:c>
      <x:c r="H52" s="13" t="n">
        <x:v>62</x:v>
      </x:c>
      <x:c r="I52" s="13" t="n">
        <x:f>YEAR(B52)</x:f>
        <x:v>2024</x:v>
      </x:c>
      <x:c r="J52" s="13" t="n">
        <x:f>MONTH(B52)</x:f>
        <x:v>8</x:v>
      </x:c>
      <x:c r="K52" s="14" t="n">
        <x:f>ROUND(E52*F52-G52,10)</x:f>
        <x:v>0</x:v>
      </x:c>
      <x:c r="L52" s="2"/>
      <x:c r="M52" s="2"/>
      <x:c r="N52" s="2"/>
      <x:c r="O52" s="2"/>
      <x:c r="P52" s="2"/>
      <x:c r="Q52" s="2"/>
      <x:c r="R52" s="2"/>
    </x:row>
    <x:row r="53" ht="22" customHeight="1">
      <x:c r="A53" s="2" t="n">
        <x:v>100047</x:v>
      </x:c>
      <x:c r="B53" s="10" t="n">
        <x:v>45316</x:v>
      </x:c>
      <x:c r="C53" s="2" t="str">
        <x:v>Argentina</x:v>
      </x:c>
      <x:c r="D53" s="2" t="str">
        <x:v>Calçados</x:v>
      </x:c>
      <x:c r="E53" s="11" t="n">
        <x:v>11</x:v>
      </x:c>
      <x:c r="F53" s="12" t="n">
        <x:v>165.42</x:v>
      </x:c>
      <x:c r="G53" s="12" t="n">
        <x:v>1819.62</x:v>
      </x:c>
      <x:c r="H53" s="13" t="n">
        <x:v>461</x:v>
      </x:c>
      <x:c r="I53" s="13" t="n">
        <x:f>YEAR(B53)</x:f>
        <x:v>2024</x:v>
      </x:c>
      <x:c r="J53" s="13" t="n">
        <x:f>MONTH(B53)</x:f>
        <x:v>1</x:v>
      </x:c>
      <x:c r="K53" s="14" t="n">
        <x:f>ROUND(E53*F53-G53,10)</x:f>
        <x:v>0</x:v>
      </x:c>
      <x:c r="L53" s="2"/>
      <x:c r="M53" s="2"/>
      <x:c r="N53" s="2"/>
      <x:c r="O53" s="2"/>
      <x:c r="P53" s="2"/>
      <x:c r="Q53" s="2"/>
      <x:c r="R53" s="2"/>
    </x:row>
    <x:row r="54" ht="22" customHeight="1">
      <x:c r="A54" s="2" t="n">
        <x:v>100048</x:v>
      </x:c>
      <x:c r="B54" s="10" t="n">
        <x:v>45419</x:v>
      </x:c>
      <x:c r="C54" s="2" t="str">
        <x:v>Colômbia</x:v>
      </x:c>
      <x:c r="D54" s="2" t="str">
        <x:v>Moda Infantil</x:v>
      </x:c>
      <x:c r="E54" s="11" t="n">
        <x:v>46</x:v>
      </x:c>
      <x:c r="F54" s="12" t="n">
        <x:v>152.73</x:v>
      </x:c>
      <x:c r="G54" s="12" t="n">
        <x:v>7025.58</x:v>
      </x:c>
      <x:c r="H54" s="13" t="n">
        <x:v>460</x:v>
      </x:c>
      <x:c r="I54" s="13" t="n">
        <x:f>YEAR(B54)</x:f>
        <x:v>2024</x:v>
      </x:c>
      <x:c r="J54" s="13" t="n">
        <x:f>MONTH(B54)</x:f>
        <x:v>5</x:v>
      </x:c>
      <x:c r="K54" s="14" t="n">
        <x:f>ROUND(E54*F54-G54,10)</x:f>
        <x:v>0</x:v>
      </x:c>
      <x:c r="L54" s="2"/>
      <x:c r="M54" s="2"/>
      <x:c r="N54" s="2"/>
      <x:c r="O54" s="2"/>
      <x:c r="P54" s="2"/>
      <x:c r="Q54" s="2"/>
      <x:c r="R54" s="2"/>
    </x:row>
    <x:row r="55" ht="22" customHeight="1">
      <x:c r="A55" s="2" t="n">
        <x:v>100049</x:v>
      </x:c>
      <x:c r="B55" s="10" t="n">
        <x:v>45101</x:v>
      </x:c>
      <x:c r="C55" s="2" t="str">
        <x:v>Brasil</x:v>
      </x:c>
      <x:c r="D55" s="2" t="str">
        <x:v>Moda Masculina</x:v>
      </x:c>
      <x:c r="E55" s="11" t="n">
        <x:v>30</x:v>
      </x:c>
      <x:c r="F55" s="12" t="n">
        <x:v>116.67</x:v>
      </x:c>
      <x:c r="G55" s="12" t="n">
        <x:v>3500.1</x:v>
      </x:c>
      <x:c r="H55" s="13" t="n">
        <x:v>356</x:v>
      </x:c>
      <x:c r="I55" s="13" t="n">
        <x:f>YEAR(B55)</x:f>
        <x:v>2023</x:v>
      </x:c>
      <x:c r="J55" s="13" t="n">
        <x:f>MONTH(B55)</x:f>
        <x:v>6</x:v>
      </x:c>
      <x:c r="K55" s="14" t="n">
        <x:f>ROUND(E55*F55-G55,10)</x:f>
        <x:v>0</x:v>
      </x:c>
      <x:c r="L55" s="2"/>
      <x:c r="M55" s="2"/>
      <x:c r="N55" s="2"/>
      <x:c r="O55" s="2"/>
      <x:c r="P55" s="2"/>
      <x:c r="Q55" s="2"/>
      <x:c r="R55" s="2"/>
    </x:row>
    <x:row r="56" ht="22" customHeight="1">
      <x:c r="A56" s="2" t="n">
        <x:v>100050</x:v>
      </x:c>
      <x:c r="B56" s="10" t="n">
        <x:v>44987</x:v>
      </x:c>
      <x:c r="C56" s="2" t="str">
        <x:v>Colômbia</x:v>
      </x:c>
      <x:c r="D56" s="2" t="str">
        <x:v>Calçados</x:v>
      </x:c>
      <x:c r="E56" s="11" t="n">
        <x:v>40</x:v>
      </x:c>
      <x:c r="F56" s="12" t="n">
        <x:v>171.2</x:v>
      </x:c>
      <x:c r="G56" s="12" t="n">
        <x:v>6848</x:v>
      </x:c>
      <x:c r="H56" s="13" t="n">
        <x:v>369</x:v>
      </x:c>
      <x:c r="I56" s="13" t="n">
        <x:f>YEAR(B56)</x:f>
        <x:v>2023</x:v>
      </x:c>
      <x:c r="J56" s="13" t="n">
        <x:f>MONTH(B56)</x:f>
        <x:v>3</x:v>
      </x:c>
      <x:c r="K56" s="14" t="n">
        <x:f>ROUND(E56*F56-G56,10)</x:f>
        <x:v>0</x:v>
      </x:c>
      <x:c r="L56" s="2"/>
      <x:c r="M56" s="2"/>
      <x:c r="N56" s="2"/>
      <x:c r="O56" s="2"/>
      <x:c r="P56" s="2"/>
      <x:c r="Q56" s="2"/>
      <x:c r="R56" s="2"/>
    </x:row>
    <x:row r="57" ht="22" customHeight="1">
      <x:c r="A57" s="2" t="n">
        <x:v>100051</x:v>
      </x:c>
      <x:c r="B57" s="10" t="n">
        <x:v>45265</x:v>
      </x:c>
      <x:c r="C57" s="2" t="str">
        <x:v>Peru</x:v>
      </x:c>
      <x:c r="D57" s="2" t="str">
        <x:v>Acessórios</x:v>
      </x:c>
      <x:c r="E57" s="11" t="n">
        <x:v>18</x:v>
      </x:c>
      <x:c r="F57" s="12" t="n">
        <x:v>81.08</x:v>
      </x:c>
      <x:c r="G57" s="12" t="n">
        <x:v>1459.44</x:v>
      </x:c>
      <x:c r="H57" s="13" t="n">
        <x:v>101</x:v>
      </x:c>
      <x:c r="I57" s="13" t="n">
        <x:f>YEAR(B57)</x:f>
        <x:v>2023</x:v>
      </x:c>
      <x:c r="J57" s="13" t="n">
        <x:f>MONTH(B57)</x:f>
        <x:v>12</x:v>
      </x:c>
      <x:c r="K57" s="14" t="n">
        <x:f>ROUND(E57*F57-G57,10)</x:f>
        <x:v>0</x:v>
      </x:c>
      <x:c r="L57" s="2"/>
      <x:c r="M57" s="2"/>
      <x:c r="N57" s="2"/>
      <x:c r="O57" s="2"/>
      <x:c r="P57" s="2"/>
      <x:c r="Q57" s="2"/>
      <x:c r="R57" s="2"/>
    </x:row>
    <x:row r="58" ht="22" customHeight="1">
      <x:c r="A58" s="2" t="n">
        <x:v>100052</x:v>
      </x:c>
      <x:c r="B58" s="10" t="n">
        <x:v>45568</x:v>
      </x:c>
      <x:c r="C58" s="2" t="str">
        <x:v>Argentina</x:v>
      </x:c>
      <x:c r="D58" s="2" t="str">
        <x:v>Calçados</x:v>
      </x:c>
      <x:c r="E58" s="11" t="n">
        <x:v>48</x:v>
      </x:c>
      <x:c r="F58" s="12" t="n">
        <x:v>147.6</x:v>
      </x:c>
      <x:c r="G58" s="12" t="n">
        <x:v>7084.799999999999</x:v>
      </x:c>
      <x:c r="H58" s="13" t="n">
        <x:v>258</x:v>
      </x:c>
      <x:c r="I58" s="13" t="n">
        <x:f>YEAR(B58)</x:f>
        <x:v>2024</x:v>
      </x:c>
      <x:c r="J58" s="13" t="n">
        <x:f>MONTH(B58)</x:f>
        <x:v>10</x:v>
      </x:c>
      <x:c r="K58" s="14" t="n">
        <x:f>ROUND(E58*F58-G58,10)</x:f>
        <x:v>0</x:v>
      </x:c>
      <x:c r="L58" s="2"/>
      <x:c r="M58" s="2"/>
      <x:c r="N58" s="2"/>
      <x:c r="O58" s="2"/>
      <x:c r="P58" s="2"/>
      <x:c r="Q58" s="2"/>
      <x:c r="R58" s="2"/>
    </x:row>
    <x:row r="59" ht="22" customHeight="1">
      <x:c r="A59" s="2" t="n">
        <x:v>100053</x:v>
      </x:c>
      <x:c r="B59" s="10" t="n">
        <x:v>45610</x:v>
      </x:c>
      <x:c r="C59" s="2" t="str">
        <x:v>Argentina</x:v>
      </x:c>
      <x:c r="D59" s="2" t="str">
        <x:v>Acessórios</x:v>
      </x:c>
      <x:c r="E59" s="11" t="n">
        <x:v>2</x:v>
      </x:c>
      <x:c r="F59" s="12" t="n">
        <x:v>198.88</x:v>
      </x:c>
      <x:c r="G59" s="12" t="n">
        <x:v>397.76</x:v>
      </x:c>
      <x:c r="H59" s="13" t="n">
        <x:v>87</x:v>
      </x:c>
      <x:c r="I59" s="13" t="n">
        <x:f>YEAR(B59)</x:f>
        <x:v>2024</x:v>
      </x:c>
      <x:c r="J59" s="13" t="n">
        <x:f>MONTH(B59)</x:f>
        <x:v>11</x:v>
      </x:c>
      <x:c r="K59" s="14" t="n">
        <x:f>ROUND(E59*F59-G59,10)</x:f>
        <x:v>0</x:v>
      </x:c>
      <x:c r="L59" s="2"/>
      <x:c r="M59" s="2"/>
      <x:c r="N59" s="2"/>
      <x:c r="O59" s="2"/>
      <x:c r="P59" s="2"/>
      <x:c r="Q59" s="2"/>
      <x:c r="R59" s="2"/>
    </x:row>
    <x:row r="60" ht="22" customHeight="1">
      <x:c r="A60" s="2" t="n">
        <x:v>100054</x:v>
      </x:c>
      <x:c r="B60" s="10" t="n">
        <x:v>45081</x:v>
      </x:c>
      <x:c r="C60" s="2" t="str">
        <x:v>Brasil</x:v>
      </x:c>
      <x:c r="D60" s="2" t="str">
        <x:v>Moda Infantil</x:v>
      </x:c>
      <x:c r="E60" s="11" t="n">
        <x:v>32</x:v>
      </x:c>
      <x:c r="F60" s="12" t="n">
        <x:v>76.63</x:v>
      </x:c>
      <x:c r="G60" s="12" t="n">
        <x:v>2452.16</x:v>
      </x:c>
      <x:c r="H60" s="13" t="n">
        <x:v>149</x:v>
      </x:c>
      <x:c r="I60" s="13" t="n">
        <x:f>YEAR(B60)</x:f>
        <x:v>2023</x:v>
      </x:c>
      <x:c r="J60" s="13" t="n">
        <x:f>MONTH(B60)</x:f>
        <x:v>6</x:v>
      </x:c>
      <x:c r="K60" s="14" t="n">
        <x:f>ROUND(E60*F60-G60,10)</x:f>
        <x:v>0</x:v>
      </x:c>
      <x:c r="L60" s="2"/>
      <x:c r="M60" s="2"/>
      <x:c r="N60" s="2"/>
      <x:c r="O60" s="2"/>
      <x:c r="P60" s="2"/>
      <x:c r="Q60" s="2"/>
      <x:c r="R60" s="2"/>
    </x:row>
    <x:row r="61" ht="22" customHeight="1">
      <x:c r="A61" s="2" t="n">
        <x:v>100055</x:v>
      </x:c>
      <x:c r="B61" s="10" t="n">
        <x:v>45559</x:v>
      </x:c>
      <x:c r="C61" s="2" t="str">
        <x:v>Argentina</x:v>
      </x:c>
      <x:c r="D61" s="2" t="str">
        <x:v>Calçados</x:v>
      </x:c>
      <x:c r="E61" s="11" t="n">
        <x:v>8</x:v>
      </x:c>
      <x:c r="F61" s="12" t="n">
        <x:v>141.32</x:v>
      </x:c>
      <x:c r="G61" s="12" t="n">
        <x:v>1130.56</x:v>
      </x:c>
      <x:c r="H61" s="13" t="n">
        <x:v>242</x:v>
      </x:c>
      <x:c r="I61" s="13" t="n">
        <x:f>YEAR(B61)</x:f>
        <x:v>2024</x:v>
      </x:c>
      <x:c r="J61" s="13" t="n">
        <x:f>MONTH(B61)</x:f>
        <x:v>9</x:v>
      </x:c>
      <x:c r="K61" s="14" t="n">
        <x:f>ROUND(E61*F61-G61,10)</x:f>
        <x:v>0</x:v>
      </x:c>
      <x:c r="L61" s="2"/>
      <x:c r="M61" s="2"/>
      <x:c r="N61" s="2"/>
      <x:c r="O61" s="2"/>
      <x:c r="P61" s="2"/>
      <x:c r="Q61" s="2"/>
      <x:c r="R61" s="2"/>
    </x:row>
    <x:row r="62" ht="22" customHeight="1">
      <x:c r="A62" s="2" t="n">
        <x:v>100056</x:v>
      </x:c>
      <x:c r="B62" s="10" t="n">
        <x:v>45347</x:v>
      </x:c>
      <x:c r="C62" s="2" t="str">
        <x:v>México</x:v>
      </x:c>
      <x:c r="D62" s="2" t="str">
        <x:v>Acessórios</x:v>
      </x:c>
      <x:c r="E62" s="11" t="n">
        <x:v>22</x:v>
      </x:c>
      <x:c r="F62" s="12" t="n">
        <x:v>171.98</x:v>
      </x:c>
      <x:c r="G62" s="12" t="n">
        <x:v>3783.56</x:v>
      </x:c>
      <x:c r="H62" s="13" t="n">
        <x:v>451</x:v>
      </x:c>
      <x:c r="I62" s="13" t="n">
        <x:f>YEAR(B62)</x:f>
        <x:v>2024</x:v>
      </x:c>
      <x:c r="J62" s="13" t="n">
        <x:f>MONTH(B62)</x:f>
        <x:v>2</x:v>
      </x:c>
      <x:c r="K62" s="14" t="n">
        <x:f>ROUND(E62*F62-G62,10)</x:f>
        <x:v>0</x:v>
      </x:c>
      <x:c r="L62" s="2"/>
      <x:c r="M62" s="2"/>
      <x:c r="N62" s="2"/>
      <x:c r="O62" s="2"/>
      <x:c r="P62" s="2"/>
      <x:c r="Q62" s="2"/>
      <x:c r="R62" s="2"/>
    </x:row>
    <x:row r="63" ht="22" customHeight="1">
      <x:c r="A63" s="2" t="n">
        <x:v>100057</x:v>
      </x:c>
      <x:c r="B63" s="10" t="n">
        <x:v>45505</x:v>
      </x:c>
      <x:c r="C63" s="2" t="str">
        <x:v>Argentina</x:v>
      </x:c>
      <x:c r="D63" s="2" t="str">
        <x:v>Moda Infantil</x:v>
      </x:c>
      <x:c r="E63" s="11" t="n">
        <x:v>6</x:v>
      </x:c>
      <x:c r="F63" s="12" t="n">
        <x:v>184.85</x:v>
      </x:c>
      <x:c r="G63" s="12" t="n">
        <x:v>1109.1</x:v>
      </x:c>
      <x:c r="H63" s="13" t="n">
        <x:v>240</x:v>
      </x:c>
      <x:c r="I63" s="13" t="n">
        <x:f>YEAR(B63)</x:f>
        <x:v>2024</x:v>
      </x:c>
      <x:c r="J63" s="13" t="n">
        <x:f>MONTH(B63)</x:f>
        <x:v>8</x:v>
      </x:c>
      <x:c r="K63" s="14" t="n">
        <x:f>ROUND(E63*F63-G63,10)</x:f>
        <x:v>0</x:v>
      </x:c>
      <x:c r="L63" s="2"/>
      <x:c r="M63" s="2"/>
      <x:c r="N63" s="2"/>
      <x:c r="O63" s="2"/>
      <x:c r="P63" s="2"/>
      <x:c r="Q63" s="2"/>
      <x:c r="R63" s="2"/>
    </x:row>
    <x:row r="64" ht="22" customHeight="1">
      <x:c r="A64" s="2" t="n">
        <x:v>100058</x:v>
      </x:c>
      <x:c r="B64" s="10" t="n">
        <x:v>45553</x:v>
      </x:c>
      <x:c r="C64" s="2" t="str">
        <x:v>Colômbia</x:v>
      </x:c>
      <x:c r="D64" s="2" t="str">
        <x:v>Moda Masculina</x:v>
      </x:c>
      <x:c r="E64" s="11" t="n">
        <x:v>12</x:v>
      </x:c>
      <x:c r="F64" s="12" t="n">
        <x:v>149.23</x:v>
      </x:c>
      <x:c r="G64" s="12" t="n">
        <x:v>1790.76</x:v>
      </x:c>
      <x:c r="H64" s="13" t="n">
        <x:v>100</x:v>
      </x:c>
      <x:c r="I64" s="13" t="n">
        <x:f>YEAR(B64)</x:f>
        <x:v>2024</x:v>
      </x:c>
      <x:c r="J64" s="13" t="n">
        <x:f>MONTH(B64)</x:f>
        <x:v>9</x:v>
      </x:c>
      <x:c r="K64" s="14" t="n">
        <x:f>ROUND(E64*F64-G64,10)</x:f>
        <x:v>0</x:v>
      </x:c>
      <x:c r="L64" s="2"/>
      <x:c r="M64" s="2"/>
      <x:c r="N64" s="2"/>
      <x:c r="O64" s="2"/>
      <x:c r="P64" s="2"/>
      <x:c r="Q64" s="2"/>
      <x:c r="R64" s="2"/>
    </x:row>
    <x:row r="65" ht="22" customHeight="1">
      <x:c r="A65" s="2" t="n">
        <x:v>100059</x:v>
      </x:c>
      <x:c r="B65" s="10" t="n">
        <x:v>45001</x:v>
      </x:c>
      <x:c r="C65" s="2" t="str">
        <x:v>Colômbia</x:v>
      </x:c>
      <x:c r="D65" s="2" t="str">
        <x:v>Acessórios</x:v>
      </x:c>
      <x:c r="E65" s="11" t="n">
        <x:v>47</x:v>
      </x:c>
      <x:c r="F65" s="12" t="n">
        <x:v>71.05</x:v>
      </x:c>
      <x:c r="G65" s="12" t="n">
        <x:v>3339.35</x:v>
      </x:c>
      <x:c r="H65" s="13" t="n">
        <x:v>442</x:v>
      </x:c>
      <x:c r="I65" s="13" t="n">
        <x:f>YEAR(B65)</x:f>
        <x:v>2023</x:v>
      </x:c>
      <x:c r="J65" s="13" t="n">
        <x:f>MONTH(B65)</x:f>
        <x:v>3</x:v>
      </x:c>
      <x:c r="K65" s="14" t="n">
        <x:f>ROUND(E65*F65-G65,10)</x:f>
        <x:v>0</x:v>
      </x:c>
      <x:c r="L65" s="2"/>
      <x:c r="M65" s="2"/>
      <x:c r="N65" s="2"/>
      <x:c r="O65" s="2"/>
      <x:c r="P65" s="2"/>
      <x:c r="Q65" s="2"/>
      <x:c r="R65" s="2"/>
    </x:row>
    <x:row r="66" ht="22" customHeight="1">
      <x:c r="A66" s="2" t="n">
        <x:v>100060</x:v>
      </x:c>
      <x:c r="B66" s="10" t="n">
        <x:v>45190</x:v>
      </x:c>
      <x:c r="C66" s="2" t="str">
        <x:v>Colômbia</x:v>
      </x:c>
      <x:c r="D66" s="2" t="str">
        <x:v>Moda Masculina</x:v>
      </x:c>
      <x:c r="E66" s="11" t="n">
        <x:v>40</x:v>
      </x:c>
      <x:c r="F66" s="12" t="n">
        <x:v>78.73</x:v>
      </x:c>
      <x:c r="G66" s="12" t="n">
        <x:v>3149.2</x:v>
      </x:c>
      <x:c r="H66" s="13" t="n">
        <x:v>190</x:v>
      </x:c>
      <x:c r="I66" s="13" t="n">
        <x:f>YEAR(B66)</x:f>
        <x:v>2023</x:v>
      </x:c>
      <x:c r="J66" s="13" t="n">
        <x:f>MONTH(B66)</x:f>
        <x:v>9</x:v>
      </x:c>
      <x:c r="K66" s="14" t="n">
        <x:f>ROUND(E66*F66-G66,10)</x:f>
        <x:v>0</x:v>
      </x:c>
      <x:c r="L66" s="2"/>
      <x:c r="M66" s="2"/>
      <x:c r="N66" s="2"/>
      <x:c r="O66" s="2"/>
      <x:c r="P66" s="2"/>
      <x:c r="Q66" s="2"/>
      <x:c r="R66" s="2"/>
    </x:row>
    <x:row r="67" ht="22" customHeight="1">
      <x:c r="A67" s="2" t="n">
        <x:v>100061</x:v>
      </x:c>
      <x:c r="B67" s="10" t="n">
        <x:v>45394</x:v>
      </x:c>
      <x:c r="C67" s="2" t="str">
        <x:v>Colômbia</x:v>
      </x:c>
      <x:c r="D67" s="2" t="str">
        <x:v>Moda Masculina</x:v>
      </x:c>
      <x:c r="E67" s="11" t="n">
        <x:v>36</x:v>
      </x:c>
      <x:c r="F67" s="12" t="n">
        <x:v>23.74</x:v>
      </x:c>
      <x:c r="G67" s="12" t="n">
        <x:v>854.64</x:v>
      </x:c>
      <x:c r="H67" s="13" t="n">
        <x:v>217</x:v>
      </x:c>
      <x:c r="I67" s="13" t="n">
        <x:f>YEAR(B67)</x:f>
        <x:v>2024</x:v>
      </x:c>
      <x:c r="J67" s="13" t="n">
        <x:f>MONTH(B67)</x:f>
        <x:v>4</x:v>
      </x:c>
      <x:c r="K67" s="14" t="n">
        <x:f>ROUND(E67*F67-G67,10)</x:f>
        <x:v>0</x:v>
      </x:c>
      <x:c r="L67" s="2"/>
      <x:c r="M67" s="2"/>
      <x:c r="N67" s="2"/>
      <x:c r="O67" s="2"/>
      <x:c r="P67" s="2"/>
      <x:c r="Q67" s="2"/>
      <x:c r="R67" s="2"/>
    </x:row>
    <x:row r="68" ht="22" customHeight="1">
      <x:c r="A68" s="2" t="n">
        <x:v>100062</x:v>
      </x:c>
      <x:c r="B68" s="10" t="n">
        <x:v>45331</x:v>
      </x:c>
      <x:c r="C68" s="2" t="str">
        <x:v>México</x:v>
      </x:c>
      <x:c r="D68" s="2" t="str">
        <x:v>Moda Feminina</x:v>
      </x:c>
      <x:c r="E68" s="11" t="n">
        <x:v>15</x:v>
      </x:c>
      <x:c r="F68" s="12" t="n">
        <x:v>156.96</x:v>
      </x:c>
      <x:c r="G68" s="12" t="n">
        <x:v>2354.4</x:v>
      </x:c>
      <x:c r="H68" s="13" t="n">
        <x:v>360</x:v>
      </x:c>
      <x:c r="I68" s="13" t="n">
        <x:f>YEAR(B68)</x:f>
        <x:v>2024</x:v>
      </x:c>
      <x:c r="J68" s="13" t="n">
        <x:f>MONTH(B68)</x:f>
        <x:v>2</x:v>
      </x:c>
      <x:c r="K68" s="14" t="n">
        <x:f>ROUND(E68*F68-G68,10)</x:f>
        <x:v>0</x:v>
      </x:c>
      <x:c r="L68" s="2"/>
      <x:c r="M68" s="2"/>
      <x:c r="N68" s="2"/>
      <x:c r="O68" s="2"/>
      <x:c r="P68" s="2"/>
      <x:c r="Q68" s="2"/>
      <x:c r="R68" s="2"/>
    </x:row>
    <x:row r="69" ht="22" customHeight="1">
      <x:c r="A69" s="2" t="n">
        <x:v>100063</x:v>
      </x:c>
      <x:c r="B69" s="10" t="n">
        <x:v>45393</x:v>
      </x:c>
      <x:c r="C69" s="2" t="str">
        <x:v>Chile</x:v>
      </x:c>
      <x:c r="D69" s="2" t="str">
        <x:v>Calçados</x:v>
      </x:c>
      <x:c r="E69" s="11" t="n">
        <x:v>28</x:v>
      </x:c>
      <x:c r="F69" s="12" t="n">
        <x:v>27.69</x:v>
      </x:c>
      <x:c r="G69" s="12" t="n">
        <x:v>775.32</x:v>
      </x:c>
      <x:c r="H69" s="13" t="n">
        <x:v>158</x:v>
      </x:c>
      <x:c r="I69" s="13" t="n">
        <x:f>YEAR(B69)</x:f>
        <x:v>2024</x:v>
      </x:c>
      <x:c r="J69" s="13" t="n">
        <x:f>MONTH(B69)</x:f>
        <x:v>4</x:v>
      </x:c>
      <x:c r="K69" s="14" t="n">
        <x:f>ROUND(E69*F69-G69,10)</x:f>
        <x:v>0</x:v>
      </x:c>
      <x:c r="L69" s="2"/>
      <x:c r="M69" s="2"/>
      <x:c r="N69" s="2"/>
      <x:c r="O69" s="2"/>
      <x:c r="P69" s="2"/>
      <x:c r="Q69" s="2"/>
      <x:c r="R69" s="2"/>
    </x:row>
    <x:row r="70" ht="22" customHeight="1">
      <x:c r="A70" s="2" t="n">
        <x:v>100064</x:v>
      </x:c>
      <x:c r="B70" s="10" t="n">
        <x:v>45303</x:v>
      </x:c>
      <x:c r="C70" s="2" t="str">
        <x:v>Peru</x:v>
      </x:c>
      <x:c r="D70" s="2" t="str">
        <x:v>Acessórios</x:v>
      </x:c>
      <x:c r="E70" s="11" t="n">
        <x:v>49</x:v>
      </x:c>
      <x:c r="F70" s="12" t="n">
        <x:v>175.64</x:v>
      </x:c>
      <x:c r="G70" s="12" t="n">
        <x:v>8606.359999999999</x:v>
      </x:c>
      <x:c r="H70" s="13" t="n">
        <x:v>256</x:v>
      </x:c>
      <x:c r="I70" s="13" t="n">
        <x:f>YEAR(B70)</x:f>
        <x:v>2024</x:v>
      </x:c>
      <x:c r="J70" s="13" t="n">
        <x:f>MONTH(B70)</x:f>
        <x:v>1</x:v>
      </x:c>
      <x:c r="K70" s="14" t="n">
        <x:f>ROUND(E70*F70-G70,10)</x:f>
        <x:v>0</x:v>
      </x:c>
      <x:c r="L70" s="2"/>
      <x:c r="M70" s="2"/>
      <x:c r="N70" s="2"/>
      <x:c r="O70" s="2"/>
      <x:c r="P70" s="2"/>
      <x:c r="Q70" s="2"/>
      <x:c r="R70" s="2"/>
    </x:row>
    <x:row r="71" ht="22" customHeight="1">
      <x:c r="A71" s="2" t="n">
        <x:v>100065</x:v>
      </x:c>
      <x:c r="B71" s="10" t="n">
        <x:v>45241</x:v>
      </x:c>
      <x:c r="C71" s="2" t="str">
        <x:v>Brasil</x:v>
      </x:c>
      <x:c r="D71" s="2" t="str">
        <x:v>Moda Masculina</x:v>
      </x:c>
      <x:c r="E71" s="11" t="n">
        <x:v>45</x:v>
      </x:c>
      <x:c r="F71" s="12" t="n">
        <x:v>41.36</x:v>
      </x:c>
      <x:c r="G71" s="12" t="n">
        <x:v>1861.2</x:v>
      </x:c>
      <x:c r="H71" s="13" t="n">
        <x:v>476</x:v>
      </x:c>
      <x:c r="I71" s="13" t="n">
        <x:f>YEAR(B71)</x:f>
        <x:v>2023</x:v>
      </x:c>
      <x:c r="J71" s="13" t="n">
        <x:f>MONTH(B71)</x:f>
        <x:v>11</x:v>
      </x:c>
      <x:c r="K71" s="14" t="n">
        <x:f>ROUND(E71*F71-G71,10)</x:f>
        <x:v>0</x:v>
      </x:c>
      <x:c r="L71" s="2"/>
      <x:c r="M71" s="2"/>
      <x:c r="N71" s="2"/>
      <x:c r="O71" s="2"/>
      <x:c r="P71" s="2"/>
      <x:c r="Q71" s="2"/>
      <x:c r="R71" s="2"/>
    </x:row>
    <x:row r="72" ht="22" customHeight="1">
      <x:c r="A72" s="2" t="n">
        <x:v>100066</x:v>
      </x:c>
      <x:c r="B72" s="10" t="n">
        <x:v>44934</x:v>
      </x:c>
      <x:c r="C72" s="2" t="str">
        <x:v>Colômbia</x:v>
      </x:c>
      <x:c r="D72" s="2" t="str">
        <x:v>Moda Feminina</x:v>
      </x:c>
      <x:c r="E72" s="11" t="n">
        <x:v>18</x:v>
      </x:c>
      <x:c r="F72" s="12" t="n">
        <x:v>50.94</x:v>
      </x:c>
      <x:c r="G72" s="12" t="n">
        <x:v>916.92</x:v>
      </x:c>
      <x:c r="H72" s="13" t="n">
        <x:v>349</x:v>
      </x:c>
      <x:c r="I72" s="13" t="n">
        <x:f>YEAR(B72)</x:f>
        <x:v>2023</x:v>
      </x:c>
      <x:c r="J72" s="13" t="n">
        <x:f>MONTH(B72)</x:f>
        <x:v>1</x:v>
      </x:c>
      <x:c r="K72" s="14" t="n">
        <x:f>ROUND(E72*F72-G72,10)</x:f>
        <x:v>0</x:v>
      </x:c>
      <x:c r="L72" s="2"/>
      <x:c r="M72" s="2"/>
      <x:c r="N72" s="2"/>
      <x:c r="O72" s="2"/>
      <x:c r="P72" s="2"/>
      <x:c r="Q72" s="2"/>
      <x:c r="R72" s="2"/>
    </x:row>
    <x:row r="73" ht="22" customHeight="1">
      <x:c r="A73" s="2" t="n">
        <x:v>100067</x:v>
      </x:c>
      <x:c r="B73" s="10" t="n">
        <x:v>45208</x:v>
      </x:c>
      <x:c r="C73" s="2" t="str">
        <x:v>Argentina</x:v>
      </x:c>
      <x:c r="D73" s="2" t="str">
        <x:v>Moda Infantil</x:v>
      </x:c>
      <x:c r="E73" s="11" t="n">
        <x:v>2</x:v>
      </x:c>
      <x:c r="F73" s="12" t="n">
        <x:v>105.77</x:v>
      </x:c>
      <x:c r="G73" s="12" t="n">
        <x:v>211.54</x:v>
      </x:c>
      <x:c r="H73" s="13" t="n">
        <x:v>159</x:v>
      </x:c>
      <x:c r="I73" s="13" t="n">
        <x:f>YEAR(B73)</x:f>
        <x:v>2023</x:v>
      </x:c>
      <x:c r="J73" s="13" t="n">
        <x:f>MONTH(B73)</x:f>
        <x:v>10</x:v>
      </x:c>
      <x:c r="K73" s="14" t="n">
        <x:f>ROUND(E73*F73-G73,10)</x:f>
        <x:v>0</x:v>
      </x:c>
      <x:c r="L73" s="2"/>
      <x:c r="M73" s="2"/>
      <x:c r="N73" s="2"/>
      <x:c r="O73" s="2"/>
      <x:c r="P73" s="2"/>
      <x:c r="Q73" s="2"/>
      <x:c r="R73" s="2"/>
    </x:row>
    <x:row r="74" ht="22" customHeight="1">
      <x:c r="A74" s="2" t="n">
        <x:v>100068</x:v>
      </x:c>
      <x:c r="B74" s="10" t="n">
        <x:v>45622</x:v>
      </x:c>
      <x:c r="C74" s="2" t="str">
        <x:v>Colômbia</x:v>
      </x:c>
      <x:c r="D74" s="2" t="str">
        <x:v>Acessórios</x:v>
      </x:c>
      <x:c r="E74" s="11" t="n">
        <x:v>13</x:v>
      </x:c>
      <x:c r="F74" s="12" t="n">
        <x:v>152.82</x:v>
      </x:c>
      <x:c r="G74" s="12" t="n">
        <x:v>1986.66</x:v>
      </x:c>
      <x:c r="H74" s="13" t="n">
        <x:v>245</x:v>
      </x:c>
      <x:c r="I74" s="13" t="n">
        <x:f>YEAR(B74)</x:f>
        <x:v>2024</x:v>
      </x:c>
      <x:c r="J74" s="13" t="n">
        <x:f>MONTH(B74)</x:f>
        <x:v>11</x:v>
      </x:c>
      <x:c r="K74" s="14" t="n">
        <x:f>ROUND(E74*F74-G74,10)</x:f>
        <x:v>0</x:v>
      </x:c>
      <x:c r="L74" s="2"/>
      <x:c r="M74" s="2"/>
      <x:c r="N74" s="2"/>
      <x:c r="O74" s="2"/>
      <x:c r="P74" s="2"/>
      <x:c r="Q74" s="2"/>
      <x:c r="R74" s="2"/>
    </x:row>
    <x:row r="75" ht="22" customHeight="1">
      <x:c r="A75" s="2" t="n">
        <x:v>100069</x:v>
      </x:c>
      <x:c r="B75" s="10" t="n">
        <x:v>45022</x:v>
      </x:c>
      <x:c r="C75" s="2" t="str">
        <x:v>Argentina</x:v>
      </x:c>
      <x:c r="D75" s="2" t="str">
        <x:v>Moda Masculina</x:v>
      </x:c>
      <x:c r="E75" s="11" t="n">
        <x:v>45</x:v>
      </x:c>
      <x:c r="F75" s="12" t="n">
        <x:v>45.02</x:v>
      </x:c>
      <x:c r="G75" s="12" t="n">
        <x:v>2025.9</x:v>
      </x:c>
      <x:c r="H75" s="13" t="n">
        <x:v>466</x:v>
      </x:c>
      <x:c r="I75" s="13" t="n">
        <x:f>YEAR(B75)</x:f>
        <x:v>2023</x:v>
      </x:c>
      <x:c r="J75" s="13" t="n">
        <x:f>MONTH(B75)</x:f>
        <x:v>4</x:v>
      </x:c>
      <x:c r="K75" s="14" t="n">
        <x:f>ROUND(E75*F75-G75,10)</x:f>
        <x:v>0</x:v>
      </x:c>
      <x:c r="L75" s="2"/>
      <x:c r="M75" s="2"/>
      <x:c r="N75" s="2"/>
      <x:c r="O75" s="2"/>
      <x:c r="P75" s="2"/>
      <x:c r="Q75" s="2"/>
      <x:c r="R75" s="2"/>
    </x:row>
    <x:row r="76" ht="22" customHeight="1">
      <x:c r="A76" s="2" t="n">
        <x:v>100070</x:v>
      </x:c>
      <x:c r="B76" s="10" t="n">
        <x:v>45567</x:v>
      </x:c>
      <x:c r="C76" s="2" t="str">
        <x:v>Peru</x:v>
      </x:c>
      <x:c r="D76" s="2" t="str">
        <x:v>Calçados</x:v>
      </x:c>
      <x:c r="E76" s="11" t="n">
        <x:v>15</x:v>
      </x:c>
      <x:c r="F76" s="12" t="n">
        <x:v>99.21</x:v>
      </x:c>
      <x:c r="G76" s="12" t="n">
        <x:v>1488.15</x:v>
      </x:c>
      <x:c r="H76" s="13" t="n">
        <x:v>201</x:v>
      </x:c>
      <x:c r="I76" s="13" t="n">
        <x:f>YEAR(B76)</x:f>
        <x:v>2024</x:v>
      </x:c>
      <x:c r="J76" s="13" t="n">
        <x:f>MONTH(B76)</x:f>
        <x:v>10</x:v>
      </x:c>
      <x:c r="K76" s="14" t="n">
        <x:f>ROUND(E76*F76-G76,10)</x:f>
        <x:v>0</x:v>
      </x:c>
      <x:c r="L76" s="2"/>
      <x:c r="M76" s="2"/>
      <x:c r="N76" s="2"/>
      <x:c r="O76" s="2"/>
      <x:c r="P76" s="2"/>
      <x:c r="Q76" s="2"/>
      <x:c r="R76" s="2"/>
    </x:row>
    <x:row r="77" ht="22" customHeight="1">
      <x:c r="A77" s="2" t="n">
        <x:v>100071</x:v>
      </x:c>
      <x:c r="B77" s="10" t="n">
        <x:v>45569</x:v>
      </x:c>
      <x:c r="C77" s="2" t="str">
        <x:v>Peru</x:v>
      </x:c>
      <x:c r="D77" s="2" t="str">
        <x:v>Moda Feminina</x:v>
      </x:c>
      <x:c r="E77" s="11" t="n">
        <x:v>20</x:v>
      </x:c>
      <x:c r="F77" s="12" t="n">
        <x:v>106.91</x:v>
      </x:c>
      <x:c r="G77" s="12" t="n">
        <x:v>2138.2</x:v>
      </x:c>
      <x:c r="H77" s="13" t="n">
        <x:v>469</x:v>
      </x:c>
      <x:c r="I77" s="13" t="n">
        <x:f>YEAR(B77)</x:f>
        <x:v>2024</x:v>
      </x:c>
      <x:c r="J77" s="13" t="n">
        <x:f>MONTH(B77)</x:f>
        <x:v>10</x:v>
      </x:c>
      <x:c r="K77" s="14" t="n">
        <x:f>ROUND(E77*F77-G77,10)</x:f>
        <x:v>0</x:v>
      </x:c>
      <x:c r="L77" s="2"/>
      <x:c r="M77" s="2"/>
      <x:c r="N77" s="2"/>
      <x:c r="O77" s="2"/>
      <x:c r="P77" s="2"/>
      <x:c r="Q77" s="2"/>
      <x:c r="R77" s="2"/>
    </x:row>
    <x:row r="78" ht="22" customHeight="1">
      <x:c r="A78" s="2" t="n">
        <x:v>100072</x:v>
      </x:c>
      <x:c r="B78" s="10" t="n">
        <x:v>45635</x:v>
      </x:c>
      <x:c r="C78" s="2" t="str">
        <x:v>Peru</x:v>
      </x:c>
      <x:c r="D78" s="2" t="str">
        <x:v>Moda Masculina</x:v>
      </x:c>
      <x:c r="E78" s="11" t="n">
        <x:v>29</x:v>
      </x:c>
      <x:c r="F78" s="12" t="n">
        <x:v>58.21</x:v>
      </x:c>
      <x:c r="G78" s="12" t="n">
        <x:v>1688.09</x:v>
      </x:c>
      <x:c r="H78" s="13" t="n">
        <x:v>292</x:v>
      </x:c>
      <x:c r="I78" s="13" t="n">
        <x:f>YEAR(B78)</x:f>
        <x:v>2024</x:v>
      </x:c>
      <x:c r="J78" s="13" t="n">
        <x:f>MONTH(B78)</x:f>
        <x:v>12</x:v>
      </x:c>
      <x:c r="K78" s="14" t="n">
        <x:f>ROUND(E78*F78-G78,10)</x:f>
        <x:v>0</x:v>
      </x:c>
      <x:c r="L78" s="2"/>
      <x:c r="M78" s="2"/>
      <x:c r="N78" s="2"/>
      <x:c r="O78" s="2"/>
      <x:c r="P78" s="2"/>
      <x:c r="Q78" s="2"/>
      <x:c r="R78" s="2"/>
    </x:row>
    <x:row r="79" ht="22" customHeight="1">
      <x:c r="A79" s="2" t="n">
        <x:v>100073</x:v>
      </x:c>
      <x:c r="B79" s="10" t="n">
        <x:v>45188</x:v>
      </x:c>
      <x:c r="C79" s="2" t="str">
        <x:v>Argentina</x:v>
      </x:c>
      <x:c r="D79" s="2" t="str">
        <x:v>Calçados</x:v>
      </x:c>
      <x:c r="E79" s="11" t="n">
        <x:v>42</x:v>
      </x:c>
      <x:c r="F79" s="12" t="n">
        <x:v>40.8</x:v>
      </x:c>
      <x:c r="G79" s="12" t="n">
        <x:v>1713.6</x:v>
      </x:c>
      <x:c r="H79" s="13" t="n">
        <x:v>177</x:v>
      </x:c>
      <x:c r="I79" s="13" t="n">
        <x:f>YEAR(B79)</x:f>
        <x:v>2023</x:v>
      </x:c>
      <x:c r="J79" s="13" t="n">
        <x:f>MONTH(B79)</x:f>
        <x:v>9</x:v>
      </x:c>
      <x:c r="K79" s="14" t="n">
        <x:f>ROUND(E79*F79-G79,10)</x:f>
        <x:v>0</x:v>
      </x:c>
      <x:c r="L79" s="2"/>
      <x:c r="M79" s="2"/>
      <x:c r="N79" s="2"/>
      <x:c r="O79" s="2"/>
      <x:c r="P79" s="2"/>
      <x:c r="Q79" s="2"/>
      <x:c r="R79" s="2"/>
    </x:row>
    <x:row r="80" ht="22" customHeight="1">
      <x:c r="A80" s="2" t="n">
        <x:v>100074</x:v>
      </x:c>
      <x:c r="B80" s="10" t="n">
        <x:v>45041</x:v>
      </x:c>
      <x:c r="C80" s="2" t="str">
        <x:v>Colômbia</x:v>
      </x:c>
      <x:c r="D80" s="2" t="str">
        <x:v>Moda Masculina</x:v>
      </x:c>
      <x:c r="E80" s="11" t="n">
        <x:v>29</x:v>
      </x:c>
      <x:c r="F80" s="12" t="n">
        <x:v>170.56</x:v>
      </x:c>
      <x:c r="G80" s="12" t="n">
        <x:v>4946.24</x:v>
      </x:c>
      <x:c r="H80" s="13" t="n">
        <x:v>154</x:v>
      </x:c>
      <x:c r="I80" s="13" t="n">
        <x:f>YEAR(B80)</x:f>
        <x:v>2023</x:v>
      </x:c>
      <x:c r="J80" s="13" t="n">
        <x:f>MONTH(B80)</x:f>
        <x:v>4</x:v>
      </x:c>
      <x:c r="K80" s="14" t="n">
        <x:f>ROUND(E80*F80-G80,10)</x:f>
        <x:v>0</x:v>
      </x:c>
      <x:c r="L80" s="2"/>
      <x:c r="M80" s="2"/>
      <x:c r="N80" s="2"/>
      <x:c r="O80" s="2"/>
      <x:c r="P80" s="2"/>
      <x:c r="Q80" s="2"/>
      <x:c r="R80" s="2"/>
    </x:row>
    <x:row r="81" ht="22" customHeight="1">
      <x:c r="A81" s="2" t="n">
        <x:v>100075</x:v>
      </x:c>
      <x:c r="B81" s="10" t="n">
        <x:v>45158</x:v>
      </x:c>
      <x:c r="C81" s="2" t="str">
        <x:v>Peru</x:v>
      </x:c>
      <x:c r="D81" s="2" t="str">
        <x:v>Acessórios</x:v>
      </x:c>
      <x:c r="E81" s="11" t="n">
        <x:v>3</x:v>
      </x:c>
      <x:c r="F81" s="12" t="n">
        <x:v>110.44</x:v>
      </x:c>
      <x:c r="G81" s="12" t="n">
        <x:v>331.32</x:v>
      </x:c>
      <x:c r="H81" s="13" t="n">
        <x:v>59</x:v>
      </x:c>
      <x:c r="I81" s="13" t="n">
        <x:f>YEAR(B81)</x:f>
        <x:v>2023</x:v>
      </x:c>
      <x:c r="J81" s="13" t="n">
        <x:f>MONTH(B81)</x:f>
        <x:v>8</x:v>
      </x:c>
      <x:c r="K81" s="14" t="n">
        <x:f>ROUND(E81*F81-G81,10)</x:f>
        <x:v>0</x:v>
      </x:c>
      <x:c r="L81" s="2"/>
      <x:c r="M81" s="2"/>
      <x:c r="N81" s="2"/>
      <x:c r="O81" s="2"/>
      <x:c r="P81" s="2"/>
      <x:c r="Q81" s="2"/>
      <x:c r="R81" s="2"/>
    </x:row>
    <x:row r="82" ht="22" customHeight="1">
      <x:c r="A82" s="2" t="n">
        <x:v>100076</x:v>
      </x:c>
      <x:c r="B82" s="10" t="n">
        <x:v>45036</x:v>
      </x:c>
      <x:c r="C82" s="2" t="str">
        <x:v>México</x:v>
      </x:c>
      <x:c r="D82" s="2" t="str">
        <x:v>Acessórios</x:v>
      </x:c>
      <x:c r="E82" s="11" t="n">
        <x:v>19</x:v>
      </x:c>
      <x:c r="F82" s="12" t="n">
        <x:v>22.59</x:v>
      </x:c>
      <x:c r="G82" s="12" t="n">
        <x:v>429.21</x:v>
      </x:c>
      <x:c r="H82" s="13" t="n">
        <x:v>405</x:v>
      </x:c>
      <x:c r="I82" s="13" t="n">
        <x:f>YEAR(B82)</x:f>
        <x:v>2023</x:v>
      </x:c>
      <x:c r="J82" s="13" t="n">
        <x:f>MONTH(B82)</x:f>
        <x:v>4</x:v>
      </x:c>
      <x:c r="K82" s="14" t="n">
        <x:f>ROUND(E82*F82-G82,10)</x:f>
        <x:v>0</x:v>
      </x:c>
      <x:c r="L82" s="2"/>
      <x:c r="M82" s="2"/>
      <x:c r="N82" s="2"/>
      <x:c r="O82" s="2"/>
      <x:c r="P82" s="2"/>
      <x:c r="Q82" s="2"/>
      <x:c r="R82" s="2"/>
    </x:row>
    <x:row r="83" ht="22" customHeight="1">
      <x:c r="A83" s="2" t="n">
        <x:v>100077</x:v>
      </x:c>
      <x:c r="B83" s="10" t="n">
        <x:v>45592</x:v>
      </x:c>
      <x:c r="C83" s="2" t="str">
        <x:v>Argentina</x:v>
      </x:c>
      <x:c r="D83" s="2" t="str">
        <x:v>Acessórios</x:v>
      </x:c>
      <x:c r="E83" s="11" t="n">
        <x:v>3</x:v>
      </x:c>
      <x:c r="F83" s="12" t="n">
        <x:v>164.54</x:v>
      </x:c>
      <x:c r="G83" s="12" t="n">
        <x:v>493.62</x:v>
      </x:c>
      <x:c r="H83" s="13" t="n">
        <x:v>197</x:v>
      </x:c>
      <x:c r="I83" s="13" t="n">
        <x:f>YEAR(B83)</x:f>
        <x:v>2024</x:v>
      </x:c>
      <x:c r="J83" s="13" t="n">
        <x:f>MONTH(B83)</x:f>
        <x:v>10</x:v>
      </x:c>
      <x:c r="K83" s="14" t="n">
        <x:f>ROUND(E83*F83-G83,10)</x:f>
        <x:v>0</x:v>
      </x:c>
      <x:c r="L83" s="2"/>
      <x:c r="M83" s="2"/>
      <x:c r="N83" s="2"/>
      <x:c r="O83" s="2"/>
      <x:c r="P83" s="2"/>
      <x:c r="Q83" s="2"/>
      <x:c r="R83" s="2"/>
    </x:row>
    <x:row r="84" ht="22" customHeight="1">
      <x:c r="A84" s="2" t="n">
        <x:v>100078</x:v>
      </x:c>
      <x:c r="B84" s="10" t="n">
        <x:v>44989</x:v>
      </x:c>
      <x:c r="C84" s="2" t="str">
        <x:v>Argentina</x:v>
      </x:c>
      <x:c r="D84" s="2" t="str">
        <x:v>Moda Feminina</x:v>
      </x:c>
      <x:c r="E84" s="11" t="n">
        <x:v>14</x:v>
      </x:c>
      <x:c r="F84" s="12" t="n">
        <x:v>196.54</x:v>
      </x:c>
      <x:c r="G84" s="12" t="n">
        <x:v>2751.56</x:v>
      </x:c>
      <x:c r="H84" s="13" t="n">
        <x:v>414</x:v>
      </x:c>
      <x:c r="I84" s="13" t="n">
        <x:f>YEAR(B84)</x:f>
        <x:v>2023</x:v>
      </x:c>
      <x:c r="J84" s="13" t="n">
        <x:f>MONTH(B84)</x:f>
        <x:v>3</x:v>
      </x:c>
      <x:c r="K84" s="14" t="n">
        <x:f>ROUND(E84*F84-G84,10)</x:f>
        <x:v>0</x:v>
      </x:c>
      <x:c r="L84" s="2"/>
      <x:c r="M84" s="2"/>
      <x:c r="N84" s="2"/>
      <x:c r="O84" s="2"/>
      <x:c r="P84" s="2"/>
      <x:c r="Q84" s="2"/>
      <x:c r="R84" s="2"/>
    </x:row>
    <x:row r="85" ht="22" customHeight="1">
      <x:c r="A85" s="2" t="n">
        <x:v>100079</x:v>
      </x:c>
      <x:c r="B85" s="10" t="n">
        <x:v>45496</x:v>
      </x:c>
      <x:c r="C85" s="2" t="str">
        <x:v>Colômbia</x:v>
      </x:c>
      <x:c r="D85" s="2" t="str">
        <x:v>Acessórios</x:v>
      </x:c>
      <x:c r="E85" s="11" t="n">
        <x:v>40</x:v>
      </x:c>
      <x:c r="F85" s="12" t="n">
        <x:v>129.07</x:v>
      </x:c>
      <x:c r="G85" s="12" t="n">
        <x:v>5162.799999999999</x:v>
      </x:c>
      <x:c r="H85" s="13" t="n">
        <x:v>413</x:v>
      </x:c>
      <x:c r="I85" s="13" t="n">
        <x:f>YEAR(B85)</x:f>
        <x:v>2024</x:v>
      </x:c>
      <x:c r="J85" s="13" t="n">
        <x:f>MONTH(B85)</x:f>
        <x:v>7</x:v>
      </x:c>
      <x:c r="K85" s="14" t="n">
        <x:f>ROUND(E85*F85-G85,10)</x:f>
        <x:v>0</x:v>
      </x:c>
      <x:c r="L85" s="2"/>
      <x:c r="M85" s="2"/>
      <x:c r="N85" s="2"/>
      <x:c r="O85" s="2"/>
      <x:c r="P85" s="2"/>
      <x:c r="Q85" s="2"/>
      <x:c r="R85" s="2"/>
    </x:row>
    <x:row r="86" ht="22" customHeight="1">
      <x:c r="A86" s="2" t="n">
        <x:v>100080</x:v>
      </x:c>
      <x:c r="B86" s="10" t="n">
        <x:v>45116</x:v>
      </x:c>
      <x:c r="C86" s="2" t="str">
        <x:v>Argentina</x:v>
      </x:c>
      <x:c r="D86" s="2" t="str">
        <x:v>Calçados</x:v>
      </x:c>
      <x:c r="E86" s="11" t="n">
        <x:v>4</x:v>
      </x:c>
      <x:c r="F86" s="12" t="n">
        <x:v>110.67</x:v>
      </x:c>
      <x:c r="G86" s="12" t="n">
        <x:v>442.68</x:v>
      </x:c>
      <x:c r="H86" s="13" t="n">
        <x:v>189</x:v>
      </x:c>
      <x:c r="I86" s="13" t="n">
        <x:f>YEAR(B86)</x:f>
        <x:v>2023</x:v>
      </x:c>
      <x:c r="J86" s="13" t="n">
        <x:f>MONTH(B86)</x:f>
        <x:v>7</x:v>
      </x:c>
      <x:c r="K86" s="14" t="n">
        <x:f>ROUND(E86*F86-G86,10)</x:f>
        <x:v>0</x:v>
      </x:c>
      <x:c r="L86" s="2"/>
      <x:c r="M86" s="2"/>
      <x:c r="N86" s="2"/>
      <x:c r="O86" s="2"/>
      <x:c r="P86" s="2"/>
      <x:c r="Q86" s="2"/>
      <x:c r="R86" s="2"/>
    </x:row>
    <x:row r="87" ht="22" customHeight="1">
      <x:c r="A87" s="2" t="n">
        <x:v>100081</x:v>
      </x:c>
      <x:c r="B87" s="10" t="n">
        <x:v>45132</x:v>
      </x:c>
      <x:c r="C87" s="2" t="str">
        <x:v>Argentina</x:v>
      </x:c>
      <x:c r="D87" s="2" t="str">
        <x:v>Moda Masculina</x:v>
      </x:c>
      <x:c r="E87" s="11" t="n">
        <x:v>11</x:v>
      </x:c>
      <x:c r="F87" s="12" t="n">
        <x:v>178.11</x:v>
      </x:c>
      <x:c r="G87" s="12" t="n">
        <x:v>1959.21</x:v>
      </x:c>
      <x:c r="H87" s="13" t="n">
        <x:v>239</x:v>
      </x:c>
      <x:c r="I87" s="13" t="n">
        <x:f>YEAR(B87)</x:f>
        <x:v>2023</x:v>
      </x:c>
      <x:c r="J87" s="13" t="n">
        <x:f>MONTH(B87)</x:f>
        <x:v>7</x:v>
      </x:c>
      <x:c r="K87" s="14" t="n">
        <x:f>ROUND(E87*F87-G87,10)</x:f>
        <x:v>0</x:v>
      </x:c>
      <x:c r="L87" s="2"/>
      <x:c r="M87" s="2"/>
      <x:c r="N87" s="2"/>
      <x:c r="O87" s="2"/>
      <x:c r="P87" s="2"/>
      <x:c r="Q87" s="2"/>
      <x:c r="R87" s="2"/>
    </x:row>
    <x:row r="88" ht="22" customHeight="1">
      <x:c r="A88" s="2" t="n">
        <x:v>100082</x:v>
      </x:c>
      <x:c r="B88" s="10" t="n">
        <x:v>45581</x:v>
      </x:c>
      <x:c r="C88" s="2" t="str">
        <x:v>Peru</x:v>
      </x:c>
      <x:c r="D88" s="2" t="str">
        <x:v>Moda Infantil</x:v>
      </x:c>
      <x:c r="E88" s="11" t="n">
        <x:v>31</x:v>
      </x:c>
      <x:c r="F88" s="12" t="n">
        <x:v>191.45</x:v>
      </x:c>
      <x:c r="G88" s="12" t="n">
        <x:v>5934.95</x:v>
      </x:c>
      <x:c r="H88" s="13" t="n">
        <x:v>451</x:v>
      </x:c>
      <x:c r="I88" s="13" t="n">
        <x:f>YEAR(B88)</x:f>
        <x:v>2024</x:v>
      </x:c>
      <x:c r="J88" s="13" t="n">
        <x:f>MONTH(B88)</x:f>
        <x:v>10</x:v>
      </x:c>
      <x:c r="K88" s="14" t="n">
        <x:f>ROUND(E88*F88-G88,10)</x:f>
        <x:v>0</x:v>
      </x:c>
      <x:c r="L88" s="2"/>
      <x:c r="M88" s="2"/>
      <x:c r="N88" s="2"/>
      <x:c r="O88" s="2"/>
      <x:c r="P88" s="2"/>
      <x:c r="Q88" s="2"/>
      <x:c r="R88" s="2"/>
    </x:row>
    <x:row r="89" ht="22" customHeight="1">
      <x:c r="A89" s="2" t="n">
        <x:v>100083</x:v>
      </x:c>
      <x:c r="B89" s="10" t="n">
        <x:v>44983</x:v>
      </x:c>
      <x:c r="C89" s="2" t="str">
        <x:v>Colômbia</x:v>
      </x:c>
      <x:c r="D89" s="2" t="str">
        <x:v>Calçados</x:v>
      </x:c>
      <x:c r="E89" s="11" t="n">
        <x:v>43</x:v>
      </x:c>
      <x:c r="F89" s="12" t="n">
        <x:v>155.82</x:v>
      </x:c>
      <x:c r="G89" s="12" t="n">
        <x:v>6700.259999999999</x:v>
      </x:c>
      <x:c r="H89" s="13" t="n">
        <x:v>143</x:v>
      </x:c>
      <x:c r="I89" s="13" t="n">
        <x:f>YEAR(B89)</x:f>
        <x:v>2023</x:v>
      </x:c>
      <x:c r="J89" s="13" t="n">
        <x:f>MONTH(B89)</x:f>
        <x:v>2</x:v>
      </x:c>
      <x:c r="K89" s="14" t="n">
        <x:f>ROUND(E89*F89-G89,10)</x:f>
        <x:v>0</x:v>
      </x:c>
      <x:c r="L89" s="2"/>
      <x:c r="M89" s="2"/>
      <x:c r="N89" s="2"/>
      <x:c r="O89" s="2"/>
      <x:c r="P89" s="2"/>
      <x:c r="Q89" s="2"/>
      <x:c r="R89" s="2"/>
    </x:row>
    <x:row r="90" ht="22" customHeight="1">
      <x:c r="A90" s="2" t="n">
        <x:v>100084</x:v>
      </x:c>
      <x:c r="B90" s="10" t="n">
        <x:v>45270</x:v>
      </x:c>
      <x:c r="C90" s="2" t="str">
        <x:v>Peru</x:v>
      </x:c>
      <x:c r="D90" s="2" t="str">
        <x:v>Calçados</x:v>
      </x:c>
      <x:c r="E90" s="11" t="n">
        <x:v>32</x:v>
      </x:c>
      <x:c r="F90" s="12" t="n">
        <x:v>100.18</x:v>
      </x:c>
      <x:c r="G90" s="12" t="n">
        <x:v>3205.76</x:v>
      </x:c>
      <x:c r="H90" s="13" t="n">
        <x:v>278</x:v>
      </x:c>
      <x:c r="I90" s="13" t="n">
        <x:f>YEAR(B90)</x:f>
        <x:v>2023</x:v>
      </x:c>
      <x:c r="J90" s="13" t="n">
        <x:f>MONTH(B90)</x:f>
        <x:v>12</x:v>
      </x:c>
      <x:c r="K90" s="14" t="n">
        <x:f>ROUND(E90*F90-G90,10)</x:f>
        <x:v>0</x:v>
      </x:c>
      <x:c r="L90" s="2"/>
      <x:c r="M90" s="2"/>
      <x:c r="N90" s="2"/>
      <x:c r="O90" s="2"/>
      <x:c r="P90" s="2"/>
      <x:c r="Q90" s="2"/>
      <x:c r="R90" s="2"/>
    </x:row>
    <x:row r="91" ht="22" customHeight="1">
      <x:c r="A91" s="2" t="n">
        <x:v>100085</x:v>
      </x:c>
      <x:c r="B91" s="10" t="n">
        <x:v>45109</x:v>
      </x:c>
      <x:c r="C91" s="2" t="str">
        <x:v>Peru</x:v>
      </x:c>
      <x:c r="D91" s="2" t="str">
        <x:v>Acessórios</x:v>
      </x:c>
      <x:c r="E91" s="11" t="n">
        <x:v>27</x:v>
      </x:c>
      <x:c r="F91" s="12" t="n">
        <x:v>126.6</x:v>
      </x:c>
      <x:c r="G91" s="12" t="n">
        <x:v>3418.2</x:v>
      </x:c>
      <x:c r="H91" s="13" t="n">
        <x:v>112</x:v>
      </x:c>
      <x:c r="I91" s="13" t="n">
        <x:f>YEAR(B91)</x:f>
        <x:v>2023</x:v>
      </x:c>
      <x:c r="J91" s="13" t="n">
        <x:f>MONTH(B91)</x:f>
        <x:v>7</x:v>
      </x:c>
      <x:c r="K91" s="14" t="n">
        <x:f>ROUND(E91*F91-G91,10)</x:f>
        <x:v>0</x:v>
      </x:c>
      <x:c r="L91" s="2"/>
      <x:c r="M91" s="2"/>
      <x:c r="N91" s="2"/>
      <x:c r="O91" s="2"/>
      <x:c r="P91" s="2"/>
      <x:c r="Q91" s="2"/>
      <x:c r="R91" s="2"/>
    </x:row>
    <x:row r="92" ht="22" customHeight="1">
      <x:c r="A92" s="2" t="n">
        <x:v>100086</x:v>
      </x:c>
      <x:c r="B92" s="10" t="n">
        <x:v>45374</x:v>
      </x:c>
      <x:c r="C92" s="2" t="str">
        <x:v>Colômbia</x:v>
      </x:c>
      <x:c r="D92" s="2" t="str">
        <x:v>Moda Feminina</x:v>
      </x:c>
      <x:c r="E92" s="11" t="n">
        <x:v>30</x:v>
      </x:c>
      <x:c r="F92" s="12" t="n">
        <x:v>146.17</x:v>
      </x:c>
      <x:c r="G92" s="12" t="n">
        <x:v>4385.099999999999</x:v>
      </x:c>
      <x:c r="H92" s="13" t="n">
        <x:v>389</x:v>
      </x:c>
      <x:c r="I92" s="13" t="n">
        <x:f>YEAR(B92)</x:f>
        <x:v>2024</x:v>
      </x:c>
      <x:c r="J92" s="13" t="n">
        <x:f>MONTH(B92)</x:f>
        <x:v>3</x:v>
      </x:c>
      <x:c r="K92" s="14" t="n">
        <x:f>ROUND(E92*F92-G92,10)</x:f>
        <x:v>0</x:v>
      </x:c>
      <x:c r="L92" s="2"/>
      <x:c r="M92" s="2"/>
      <x:c r="N92" s="2"/>
      <x:c r="O92" s="2"/>
      <x:c r="P92" s="2"/>
      <x:c r="Q92" s="2"/>
      <x:c r="R92" s="2"/>
    </x:row>
    <x:row r="93" ht="22" customHeight="1">
      <x:c r="A93" s="2" t="n">
        <x:v>100087</x:v>
      </x:c>
      <x:c r="B93" s="10" t="n">
        <x:v>45636</x:v>
      </x:c>
      <x:c r="C93" s="2" t="str">
        <x:v>Brasil</x:v>
      </x:c>
      <x:c r="D93" s="2" t="str">
        <x:v>Moda Masculina</x:v>
      </x:c>
      <x:c r="E93" s="11" t="n">
        <x:v>43</x:v>
      </x:c>
      <x:c r="F93" s="12" t="n">
        <x:v>54.97</x:v>
      </x:c>
      <x:c r="G93" s="12" t="n">
        <x:v>2363.71</x:v>
      </x:c>
      <x:c r="H93" s="13" t="n">
        <x:v>74</x:v>
      </x:c>
      <x:c r="I93" s="13" t="n">
        <x:f>YEAR(B93)</x:f>
        <x:v>2024</x:v>
      </x:c>
      <x:c r="J93" s="13" t="n">
        <x:f>MONTH(B93)</x:f>
        <x:v>12</x:v>
      </x:c>
      <x:c r="K93" s="14" t="n">
        <x:f>ROUND(E93*F93-G93,10)</x:f>
        <x:v>0</x:v>
      </x:c>
      <x:c r="L93" s="2"/>
      <x:c r="M93" s="2"/>
      <x:c r="N93" s="2"/>
      <x:c r="O93" s="2"/>
      <x:c r="P93" s="2"/>
      <x:c r="Q93" s="2"/>
      <x:c r="R93" s="2"/>
    </x:row>
    <x:row r="94" ht="22" customHeight="1">
      <x:c r="A94" s="2" t="n">
        <x:v>100088</x:v>
      </x:c>
      <x:c r="B94" s="10" t="n">
        <x:v>45338</x:v>
      </x:c>
      <x:c r="C94" s="2" t="str">
        <x:v>Peru</x:v>
      </x:c>
      <x:c r="D94" s="2" t="str">
        <x:v>Moda Feminina</x:v>
      </x:c>
      <x:c r="E94" s="11" t="n">
        <x:v>2</x:v>
      </x:c>
      <x:c r="F94" s="12" t="n">
        <x:v>100.5</x:v>
      </x:c>
      <x:c r="G94" s="12" t="n">
        <x:v>201</x:v>
      </x:c>
      <x:c r="H94" s="13" t="n">
        <x:v>317</x:v>
      </x:c>
      <x:c r="I94" s="13" t="n">
        <x:f>YEAR(B94)</x:f>
        <x:v>2024</x:v>
      </x:c>
      <x:c r="J94" s="13" t="n">
        <x:f>MONTH(B94)</x:f>
        <x:v>2</x:v>
      </x:c>
      <x:c r="K94" s="14" t="n">
        <x:f>ROUND(E94*F94-G94,10)</x:f>
        <x:v>0</x:v>
      </x:c>
      <x:c r="L94" s="2"/>
      <x:c r="M94" s="2"/>
      <x:c r="N94" s="2"/>
      <x:c r="O94" s="2"/>
      <x:c r="P94" s="2"/>
      <x:c r="Q94" s="2"/>
      <x:c r="R94" s="2"/>
    </x:row>
    <x:row r="95" ht="22" customHeight="1">
      <x:c r="A95" s="2" t="n">
        <x:v>100089</x:v>
      </x:c>
      <x:c r="B95" s="10" t="n">
        <x:v>45011</x:v>
      </x:c>
      <x:c r="C95" s="2" t="str">
        <x:v>México</x:v>
      </x:c>
      <x:c r="D95" s="2" t="str">
        <x:v>Moda Masculina</x:v>
      </x:c>
      <x:c r="E95" s="11" t="n">
        <x:v>49</x:v>
      </x:c>
      <x:c r="F95" s="12" t="n">
        <x:v>169.37</x:v>
      </x:c>
      <x:c r="G95" s="12" t="n">
        <x:v>8299.130000000001</x:v>
      </x:c>
      <x:c r="H95" s="13" t="n">
        <x:v>454</x:v>
      </x:c>
      <x:c r="I95" s="13" t="n">
        <x:f>YEAR(B95)</x:f>
        <x:v>2023</x:v>
      </x:c>
      <x:c r="J95" s="13" t="n">
        <x:f>MONTH(B95)</x:f>
        <x:v>3</x:v>
      </x:c>
      <x:c r="K95" s="14" t="n">
        <x:f>ROUND(E95*F95-G95,10)</x:f>
        <x:v>0</x:v>
      </x:c>
      <x:c r="L95" s="2"/>
      <x:c r="M95" s="2"/>
      <x:c r="N95" s="2"/>
      <x:c r="O95" s="2"/>
      <x:c r="P95" s="2"/>
      <x:c r="Q95" s="2"/>
      <x:c r="R95" s="2"/>
    </x:row>
    <x:row r="96" ht="22" customHeight="1">
      <x:c r="A96" s="2" t="n">
        <x:v>100090</x:v>
      </x:c>
      <x:c r="B96" s="10" t="n">
        <x:v>44998</x:v>
      </x:c>
      <x:c r="C96" s="2" t="str">
        <x:v>México</x:v>
      </x:c>
      <x:c r="D96" s="2" t="str">
        <x:v>Moda Masculina</x:v>
      </x:c>
      <x:c r="E96" s="11" t="n">
        <x:v>9</x:v>
      </x:c>
      <x:c r="F96" s="12" t="n">
        <x:v>137.85</x:v>
      </x:c>
      <x:c r="G96" s="12" t="n">
        <x:v>1240.65</x:v>
      </x:c>
      <x:c r="H96" s="13" t="n">
        <x:v>330</x:v>
      </x:c>
      <x:c r="I96" s="13" t="n">
        <x:f>YEAR(B96)</x:f>
        <x:v>2023</x:v>
      </x:c>
      <x:c r="J96" s="13" t="n">
        <x:f>MONTH(B96)</x:f>
        <x:v>3</x:v>
      </x:c>
      <x:c r="K96" s="14" t="n">
        <x:f>ROUND(E96*F96-G96,10)</x:f>
        <x:v>0</x:v>
      </x:c>
      <x:c r="L96" s="2"/>
      <x:c r="M96" s="2"/>
      <x:c r="N96" s="2"/>
      <x:c r="O96" s="2"/>
      <x:c r="P96" s="2"/>
      <x:c r="Q96" s="2"/>
      <x:c r="R96" s="2"/>
    </x:row>
    <x:row r="97" ht="22" customHeight="1">
      <x:c r="A97" s="2" t="n">
        <x:v>100091</x:v>
      </x:c>
      <x:c r="B97" s="10" t="n">
        <x:v>45056</x:v>
      </x:c>
      <x:c r="C97" s="2" t="str">
        <x:v>Argentina</x:v>
      </x:c>
      <x:c r="D97" s="2" t="str">
        <x:v>Moda Feminina</x:v>
      </x:c>
      <x:c r="E97" s="11" t="n">
        <x:v>28</x:v>
      </x:c>
      <x:c r="F97" s="12" t="n">
        <x:v>94.02</x:v>
      </x:c>
      <x:c r="G97" s="12" t="n">
        <x:v>2632.56</x:v>
      </x:c>
      <x:c r="H97" s="13" t="n">
        <x:v>60</x:v>
      </x:c>
      <x:c r="I97" s="13" t="n">
        <x:f>YEAR(B97)</x:f>
        <x:v>2023</x:v>
      </x:c>
      <x:c r="J97" s="13" t="n">
        <x:f>MONTH(B97)</x:f>
        <x:v>5</x:v>
      </x:c>
      <x:c r="K97" s="14" t="n">
        <x:f>ROUND(E97*F97-G97,10)</x:f>
        <x:v>0</x:v>
      </x:c>
      <x:c r="L97" s="2"/>
      <x:c r="M97" s="2"/>
      <x:c r="N97" s="2"/>
      <x:c r="O97" s="2"/>
      <x:c r="P97" s="2"/>
      <x:c r="Q97" s="2"/>
      <x:c r="R97" s="2"/>
    </x:row>
    <x:row r="98" ht="22" customHeight="1">
      <x:c r="A98" s="2" t="n">
        <x:v>100092</x:v>
      </x:c>
      <x:c r="B98" s="10" t="n">
        <x:v>45065</x:v>
      </x:c>
      <x:c r="C98" s="2" t="str">
        <x:v>México</x:v>
      </x:c>
      <x:c r="D98" s="2" t="str">
        <x:v>Calçados</x:v>
      </x:c>
      <x:c r="E98" s="11" t="n">
        <x:v>31</x:v>
      </x:c>
      <x:c r="F98" s="12" t="n">
        <x:v>139.41</x:v>
      </x:c>
      <x:c r="G98" s="12" t="n">
        <x:v>4321.71</x:v>
      </x:c>
      <x:c r="H98" s="13" t="n">
        <x:v>369</x:v>
      </x:c>
      <x:c r="I98" s="13" t="n">
        <x:f>YEAR(B98)</x:f>
        <x:v>2023</x:v>
      </x:c>
      <x:c r="J98" s="13" t="n">
        <x:f>MONTH(B98)</x:f>
        <x:v>5</x:v>
      </x:c>
      <x:c r="K98" s="14" t="n">
        <x:f>ROUND(E98*F98-G98,10)</x:f>
        <x:v>0</x:v>
      </x:c>
      <x:c r="L98" s="2"/>
      <x:c r="M98" s="2"/>
      <x:c r="N98" s="2"/>
      <x:c r="O98" s="2"/>
      <x:c r="P98" s="2"/>
      <x:c r="Q98" s="2"/>
      <x:c r="R98" s="2"/>
    </x:row>
    <x:row r="99" ht="22" customHeight="1">
      <x:c r="A99" s="2" t="n">
        <x:v>100093</x:v>
      </x:c>
      <x:c r="B99" s="10" t="n">
        <x:v>45141</x:v>
      </x:c>
      <x:c r="C99" s="2" t="str">
        <x:v>Argentina</x:v>
      </x:c>
      <x:c r="D99" s="2" t="str">
        <x:v>Moda Masculina</x:v>
      </x:c>
      <x:c r="E99" s="11" t="n">
        <x:v>34</x:v>
      </x:c>
      <x:c r="F99" s="12" t="n">
        <x:v>41.28</x:v>
      </x:c>
      <x:c r="G99" s="12" t="n">
        <x:v>1403.52</x:v>
      </x:c>
      <x:c r="H99" s="13" t="n">
        <x:v>250</x:v>
      </x:c>
      <x:c r="I99" s="13" t="n">
        <x:f>YEAR(B99)</x:f>
        <x:v>2023</x:v>
      </x:c>
      <x:c r="J99" s="13" t="n">
        <x:f>MONTH(B99)</x:f>
        <x:v>8</x:v>
      </x:c>
      <x:c r="K99" s="14" t="n">
        <x:f>ROUND(E99*F99-G99,10)</x:f>
        <x:v>0</x:v>
      </x:c>
      <x:c r="L99" s="2"/>
      <x:c r="M99" s="2"/>
      <x:c r="N99" s="2"/>
      <x:c r="O99" s="2"/>
      <x:c r="P99" s="2"/>
      <x:c r="Q99" s="2"/>
      <x:c r="R99" s="2"/>
    </x:row>
    <x:row r="100" ht="22" customHeight="1">
      <x:c r="A100" s="2" t="n">
        <x:v>100094</x:v>
      </x:c>
      <x:c r="B100" s="10" t="n">
        <x:v>45150</x:v>
      </x:c>
      <x:c r="C100" s="2" t="str">
        <x:v>Brasil</x:v>
      </x:c>
      <x:c r="D100" s="2" t="str">
        <x:v>Moda Feminina</x:v>
      </x:c>
      <x:c r="E100" s="11" t="n">
        <x:v>15</x:v>
      </x:c>
      <x:c r="F100" s="12" t="n">
        <x:v>92.27</x:v>
      </x:c>
      <x:c r="G100" s="12" t="n">
        <x:v>1384.05</x:v>
      </x:c>
      <x:c r="H100" s="13" t="n">
        <x:v>175</x:v>
      </x:c>
      <x:c r="I100" s="13" t="n">
        <x:f>YEAR(B100)</x:f>
        <x:v>2023</x:v>
      </x:c>
      <x:c r="J100" s="13" t="n">
        <x:f>MONTH(B100)</x:f>
        <x:v>8</x:v>
      </x:c>
      <x:c r="K100" s="14" t="n">
        <x:f>ROUND(E100*F100-G100,10)</x:f>
        <x:v>0</x:v>
      </x:c>
      <x:c r="L100" s="2"/>
      <x:c r="M100" s="2"/>
      <x:c r="N100" s="2"/>
      <x:c r="O100" s="2"/>
      <x:c r="P100" s="2"/>
      <x:c r="Q100" s="2"/>
      <x:c r="R100" s="2"/>
    </x:row>
    <x:row r="101" ht="22" customHeight="1">
      <x:c r="A101" s="2" t="n">
        <x:v>100095</x:v>
      </x:c>
      <x:c r="B101" s="10" t="n">
        <x:v>44959</x:v>
      </x:c>
      <x:c r="C101" s="2" t="str">
        <x:v>Colômbia</x:v>
      </x:c>
      <x:c r="D101" s="2" t="str">
        <x:v>Moda Masculina</x:v>
      </x:c>
      <x:c r="E101" s="11" t="n">
        <x:v>48</x:v>
      </x:c>
      <x:c r="F101" s="12" t="n">
        <x:v>162.76</x:v>
      </x:c>
      <x:c r="G101" s="12" t="n">
        <x:v>7812.48</x:v>
      </x:c>
      <x:c r="H101" s="13" t="n">
        <x:v>355</x:v>
      </x:c>
      <x:c r="I101" s="13" t="n">
        <x:f>YEAR(B101)</x:f>
        <x:v>2023</x:v>
      </x:c>
      <x:c r="J101" s="13" t="n">
        <x:f>MONTH(B101)</x:f>
        <x:v>2</x:v>
      </x:c>
      <x:c r="K101" s="14" t="n">
        <x:f>ROUND(E101*F101-G101,10)</x:f>
        <x:v>0</x:v>
      </x:c>
      <x:c r="L101" s="2"/>
      <x:c r="M101" s="2"/>
      <x:c r="N101" s="2"/>
      <x:c r="O101" s="2"/>
      <x:c r="P101" s="2"/>
      <x:c r="Q101" s="2"/>
      <x:c r="R101" s="2"/>
    </x:row>
    <x:row r="102" ht="22" customHeight="1">
      <x:c r="A102" s="2" t="n">
        <x:v>100096</x:v>
      </x:c>
      <x:c r="B102" s="10" t="n">
        <x:v>45478</x:v>
      </x:c>
      <x:c r="C102" s="2" t="str">
        <x:v>Colômbia</x:v>
      </x:c>
      <x:c r="D102" s="2" t="str">
        <x:v>Moda Infantil</x:v>
      </x:c>
      <x:c r="E102" s="11" t="n">
        <x:v>25</x:v>
      </x:c>
      <x:c r="F102" s="12" t="n">
        <x:v>59.69</x:v>
      </x:c>
      <x:c r="G102" s="12" t="n">
        <x:v>1492.25</x:v>
      </x:c>
      <x:c r="H102" s="13" t="n">
        <x:v>239</x:v>
      </x:c>
      <x:c r="I102" s="13" t="n">
        <x:f>YEAR(B102)</x:f>
        <x:v>2024</x:v>
      </x:c>
      <x:c r="J102" s="13" t="n">
        <x:f>MONTH(B102)</x:f>
        <x:v>7</x:v>
      </x:c>
      <x:c r="K102" s="14" t="n">
        <x:f>ROUND(E102*F102-G102,10)</x:f>
        <x:v>0</x:v>
      </x:c>
      <x:c r="L102" s="2"/>
      <x:c r="M102" s="2"/>
      <x:c r="N102" s="2"/>
      <x:c r="O102" s="2"/>
      <x:c r="P102" s="2"/>
      <x:c r="Q102" s="2"/>
      <x:c r="R102" s="2"/>
    </x:row>
    <x:row r="103" ht="22" customHeight="1">
      <x:c r="A103" s="2" t="n">
        <x:v>100097</x:v>
      </x:c>
      <x:c r="B103" s="10" t="n">
        <x:v>45079</x:v>
      </x:c>
      <x:c r="C103" s="2" t="str">
        <x:v>Colômbia</x:v>
      </x:c>
      <x:c r="D103" s="2" t="str">
        <x:v>Calçados</x:v>
      </x:c>
      <x:c r="E103" s="11" t="n">
        <x:v>36</x:v>
      </x:c>
      <x:c r="F103" s="12" t="n">
        <x:v>53.47</x:v>
      </x:c>
      <x:c r="G103" s="12" t="n">
        <x:v>1924.92</x:v>
      </x:c>
      <x:c r="H103" s="13" t="n">
        <x:v>138</x:v>
      </x:c>
      <x:c r="I103" s="13" t="n">
        <x:f>YEAR(B103)</x:f>
        <x:v>2023</x:v>
      </x:c>
      <x:c r="J103" s="13" t="n">
        <x:f>MONTH(B103)</x:f>
        <x:v>6</x:v>
      </x:c>
      <x:c r="K103" s="14" t="n">
        <x:f>ROUND(E103*F103-G103,10)</x:f>
        <x:v>0</x:v>
      </x:c>
      <x:c r="L103" s="2"/>
      <x:c r="M103" s="2"/>
      <x:c r="N103" s="2"/>
      <x:c r="O103" s="2"/>
      <x:c r="P103" s="2"/>
      <x:c r="Q103" s="2"/>
      <x:c r="R103" s="2"/>
    </x:row>
    <x:row r="104" ht="22" customHeight="1">
      <x:c r="A104" s="2" t="n">
        <x:v>100098</x:v>
      </x:c>
      <x:c r="B104" s="10" t="n">
        <x:v>45068</x:v>
      </x:c>
      <x:c r="C104" s="2" t="str">
        <x:v>México</x:v>
      </x:c>
      <x:c r="D104" s="2" t="str">
        <x:v>Acessórios</x:v>
      </x:c>
      <x:c r="E104" s="11" t="n">
        <x:v>8</x:v>
      </x:c>
      <x:c r="F104" s="12" t="n">
        <x:v>191.15</x:v>
      </x:c>
      <x:c r="G104" s="12" t="n">
        <x:v>1529.2</x:v>
      </x:c>
      <x:c r="H104" s="13" t="n">
        <x:v>404</x:v>
      </x:c>
      <x:c r="I104" s="13" t="n">
        <x:f>YEAR(B104)</x:f>
        <x:v>2023</x:v>
      </x:c>
      <x:c r="J104" s="13" t="n">
        <x:f>MONTH(B104)</x:f>
        <x:v>5</x:v>
      </x:c>
      <x:c r="K104" s="14" t="n">
        <x:f>ROUND(E104*F104-G104,10)</x:f>
        <x:v>0</x:v>
      </x:c>
      <x:c r="L104" s="2"/>
      <x:c r="M104" s="2"/>
      <x:c r="N104" s="2"/>
      <x:c r="O104" s="2"/>
      <x:c r="P104" s="2"/>
      <x:c r="Q104" s="2"/>
      <x:c r="R104" s="2"/>
    </x:row>
    <x:row r="105" ht="22" customHeight="1">
      <x:c r="A105" s="2" t="n">
        <x:v>100099</x:v>
      </x:c>
      <x:c r="B105" s="10" t="n">
        <x:v>45276</x:v>
      </x:c>
      <x:c r="C105" s="2" t="str">
        <x:v>Brasil</x:v>
      </x:c>
      <x:c r="D105" s="2" t="str">
        <x:v>Moda Masculina</x:v>
      </x:c>
      <x:c r="E105" s="11" t="n">
        <x:v>9</x:v>
      </x:c>
      <x:c r="F105" s="12" t="n">
        <x:v>57.78</x:v>
      </x:c>
      <x:c r="G105" s="12" t="n">
        <x:v>520.02</x:v>
      </x:c>
      <x:c r="H105" s="13" t="n">
        <x:v>165</x:v>
      </x:c>
      <x:c r="I105" s="13" t="n">
        <x:f>YEAR(B105)</x:f>
        <x:v>2023</x:v>
      </x:c>
      <x:c r="J105" s="13" t="n">
        <x:f>MONTH(B105)</x:f>
        <x:v>12</x:v>
      </x:c>
      <x:c r="K105" s="14" t="n">
        <x:f>ROUND(E105*F105-G105,10)</x:f>
        <x:v>0</x:v>
      </x:c>
      <x:c r="L105" s="2"/>
      <x:c r="M105" s="2"/>
      <x:c r="N105" s="2"/>
      <x:c r="O105" s="2"/>
      <x:c r="P105" s="2"/>
      <x:c r="Q105" s="2"/>
      <x:c r="R105" s="2"/>
    </x:row>
    <x:row r="106" ht="22" customHeight="1">
      <x:c r="A106" s="2" t="n">
        <x:v>100100</x:v>
      </x:c>
      <x:c r="B106" s="10" t="n">
        <x:v>45315</x:v>
      </x:c>
      <x:c r="C106" s="2" t="str">
        <x:v>México</x:v>
      </x:c>
      <x:c r="D106" s="2" t="str">
        <x:v>Moda Infantil</x:v>
      </x:c>
      <x:c r="E106" s="11" t="n">
        <x:v>37</x:v>
      </x:c>
      <x:c r="F106" s="12" t="n">
        <x:v>66.97</x:v>
      </x:c>
      <x:c r="G106" s="12" t="n">
        <x:v>2477.89</x:v>
      </x:c>
      <x:c r="H106" s="13" t="n">
        <x:v>401</x:v>
      </x:c>
      <x:c r="I106" s="13" t="n">
        <x:f>YEAR(B106)</x:f>
        <x:v>2024</x:v>
      </x:c>
      <x:c r="J106" s="13" t="n">
        <x:f>MONTH(B106)</x:f>
        <x:v>1</x:v>
      </x:c>
      <x:c r="K106" s="14" t="n">
        <x:f>ROUND(E106*F106-G106,10)</x:f>
        <x:v>0</x:v>
      </x:c>
      <x:c r="L106" s="2"/>
      <x:c r="M106" s="2"/>
      <x:c r="N106" s="2"/>
      <x:c r="O106" s="2"/>
      <x:c r="P106" s="2"/>
      <x:c r="Q106" s="2"/>
      <x:c r="R106" s="2"/>
    </x:row>
    <x:row r="107" ht="22" customHeight="1">
      <x:c r="A107" s="2" t="n">
        <x:v>100101</x:v>
      </x:c>
      <x:c r="B107" s="10" t="n">
        <x:v>45163</x:v>
      </x:c>
      <x:c r="C107" s="2" t="str">
        <x:v>México</x:v>
      </x:c>
      <x:c r="D107" s="2" t="str">
        <x:v>Acessórios</x:v>
      </x:c>
      <x:c r="E107" s="11" t="n">
        <x:v>48</x:v>
      </x:c>
      <x:c r="F107" s="12" t="n">
        <x:v>194.53</x:v>
      </x:c>
      <x:c r="G107" s="12" t="n">
        <x:v>9337.44</x:v>
      </x:c>
      <x:c r="H107" s="13" t="n">
        <x:v>226</x:v>
      </x:c>
      <x:c r="I107" s="13" t="n">
        <x:f>YEAR(B107)</x:f>
        <x:v>2023</x:v>
      </x:c>
      <x:c r="J107" s="13" t="n">
        <x:f>MONTH(B107)</x:f>
        <x:v>8</x:v>
      </x:c>
      <x:c r="K107" s="14" t="n">
        <x:f>ROUND(E107*F107-G107,10)</x:f>
        <x:v>0</x:v>
      </x:c>
      <x:c r="L107" s="2"/>
      <x:c r="M107" s="2"/>
      <x:c r="N107" s="2"/>
      <x:c r="O107" s="2"/>
      <x:c r="P107" s="2"/>
      <x:c r="Q107" s="2"/>
      <x:c r="R107" s="2"/>
    </x:row>
    <x:row r="108" ht="22" customHeight="1">
      <x:c r="A108" s="2" t="n">
        <x:v>100102</x:v>
      </x:c>
      <x:c r="B108" s="10" t="n">
        <x:v>45304</x:v>
      </x:c>
      <x:c r="C108" s="2" t="str">
        <x:v>Brasil</x:v>
      </x:c>
      <x:c r="D108" s="2" t="str">
        <x:v>Acessórios</x:v>
      </x:c>
      <x:c r="E108" s="11" t="n">
        <x:v>45</x:v>
      </x:c>
      <x:c r="F108" s="12" t="n">
        <x:v>152.25</x:v>
      </x:c>
      <x:c r="G108" s="12" t="n">
        <x:v>6851.25</x:v>
      </x:c>
      <x:c r="H108" s="13" t="n">
        <x:v>63</x:v>
      </x:c>
      <x:c r="I108" s="13" t="n">
        <x:f>YEAR(B108)</x:f>
        <x:v>2024</x:v>
      </x:c>
      <x:c r="J108" s="13" t="n">
        <x:f>MONTH(B108)</x:f>
        <x:v>1</x:v>
      </x:c>
      <x:c r="K108" s="14" t="n">
        <x:f>ROUND(E108*F108-G108,10)</x:f>
        <x:v>0</x:v>
      </x:c>
      <x:c r="L108" s="2"/>
      <x:c r="M108" s="2"/>
      <x:c r="N108" s="2"/>
      <x:c r="O108" s="2"/>
      <x:c r="P108" s="2"/>
      <x:c r="Q108" s="2"/>
      <x:c r="R108" s="2"/>
    </x:row>
    <x:row r="109" ht="22" customHeight="1">
      <x:c r="A109" s="2" t="n">
        <x:v>100103</x:v>
      </x:c>
      <x:c r="B109" s="10" t="n">
        <x:v>45344</x:v>
      </x:c>
      <x:c r="C109" s="2" t="str">
        <x:v>Brasil</x:v>
      </x:c>
      <x:c r="D109" s="2" t="str">
        <x:v>Moda Masculina</x:v>
      </x:c>
      <x:c r="E109" s="11" t="n">
        <x:v>39</x:v>
      </x:c>
      <x:c r="F109" s="12" t="n">
        <x:v>145.93</x:v>
      </x:c>
      <x:c r="G109" s="12" t="n">
        <x:v>5691.27</x:v>
      </x:c>
      <x:c r="H109" s="13" t="n">
        <x:v>306</x:v>
      </x:c>
      <x:c r="I109" s="13" t="n">
        <x:f>YEAR(B109)</x:f>
        <x:v>2024</x:v>
      </x:c>
      <x:c r="J109" s="13" t="n">
        <x:f>MONTH(B109)</x:f>
        <x:v>2</x:v>
      </x:c>
      <x:c r="K109" s="14" t="n">
        <x:f>ROUND(E109*F109-G109,10)</x:f>
        <x:v>0</x:v>
      </x:c>
      <x:c r="L109" s="2"/>
      <x:c r="M109" s="2"/>
      <x:c r="N109" s="2"/>
      <x:c r="O109" s="2"/>
      <x:c r="P109" s="2"/>
      <x:c r="Q109" s="2"/>
      <x:c r="R109" s="2"/>
    </x:row>
    <x:row r="110" ht="22" customHeight="1">
      <x:c r="A110" s="2" t="n">
        <x:v>100104</x:v>
      </x:c>
      <x:c r="B110" s="10" t="n">
        <x:v>44960</x:v>
      </x:c>
      <x:c r="C110" s="2" t="str">
        <x:v>Brasil</x:v>
      </x:c>
      <x:c r="D110" s="2" t="str">
        <x:v>Moda Feminina</x:v>
      </x:c>
      <x:c r="E110" s="11" t="n">
        <x:v>32</x:v>
      </x:c>
      <x:c r="F110" s="12" t="n">
        <x:v>173.53</x:v>
      </x:c>
      <x:c r="G110" s="12" t="n">
        <x:v>5552.96</x:v>
      </x:c>
      <x:c r="H110" s="13" t="n">
        <x:v>258</x:v>
      </x:c>
      <x:c r="I110" s="13" t="n">
        <x:f>YEAR(B110)</x:f>
        <x:v>2023</x:v>
      </x:c>
      <x:c r="J110" s="13" t="n">
        <x:f>MONTH(B110)</x:f>
        <x:v>2</x:v>
      </x:c>
      <x:c r="K110" s="14" t="n">
        <x:f>ROUND(E110*F110-G110,10)</x:f>
        <x:v>0</x:v>
      </x:c>
      <x:c r="L110" s="2"/>
      <x:c r="M110" s="2"/>
      <x:c r="N110" s="2"/>
      <x:c r="O110" s="2"/>
      <x:c r="P110" s="2"/>
      <x:c r="Q110" s="2"/>
      <x:c r="R110" s="2"/>
    </x:row>
    <x:row r="111" ht="22" customHeight="1">
      <x:c r="A111" s="2" t="n">
        <x:v>100105</x:v>
      </x:c>
      <x:c r="B111" s="10" t="n">
        <x:v>44964</x:v>
      </x:c>
      <x:c r="C111" s="2" t="str">
        <x:v>Brasil</x:v>
      </x:c>
      <x:c r="D111" s="2" t="str">
        <x:v>Moda Masculina</x:v>
      </x:c>
      <x:c r="E111" s="11" t="n">
        <x:v>17</x:v>
      </x:c>
      <x:c r="F111" s="12" t="n">
        <x:v>40.85</x:v>
      </x:c>
      <x:c r="G111" s="12" t="n">
        <x:v>694.45</x:v>
      </x:c>
      <x:c r="H111" s="13" t="n">
        <x:v>330</x:v>
      </x:c>
      <x:c r="I111" s="13" t="n">
        <x:f>YEAR(B111)</x:f>
        <x:v>2023</x:v>
      </x:c>
      <x:c r="J111" s="13" t="n">
        <x:f>MONTH(B111)</x:f>
        <x:v>2</x:v>
      </x:c>
      <x:c r="K111" s="14" t="n">
        <x:f>ROUND(E111*F111-G111,10)</x:f>
        <x:v>0</x:v>
      </x:c>
      <x:c r="L111" s="2"/>
      <x:c r="M111" s="2"/>
      <x:c r="N111" s="2"/>
      <x:c r="O111" s="2"/>
      <x:c r="P111" s="2"/>
      <x:c r="Q111" s="2"/>
      <x:c r="R111" s="2"/>
    </x:row>
    <x:row r="112" ht="22" customHeight="1">
      <x:c r="A112" s="2" t="n">
        <x:v>100106</x:v>
      </x:c>
      <x:c r="B112" s="10" t="n">
        <x:v>45457</x:v>
      </x:c>
      <x:c r="C112" s="2" t="str">
        <x:v>Colômbia</x:v>
      </x:c>
      <x:c r="D112" s="2" t="str">
        <x:v>Moda Infantil</x:v>
      </x:c>
      <x:c r="E112" s="11" t="n">
        <x:v>35</x:v>
      </x:c>
      <x:c r="F112" s="12" t="n">
        <x:v>147.07</x:v>
      </x:c>
      <x:c r="G112" s="12" t="n">
        <x:v>5147.45</x:v>
      </x:c>
      <x:c r="H112" s="13" t="n">
        <x:v>492</x:v>
      </x:c>
      <x:c r="I112" s="13" t="n">
        <x:f>YEAR(B112)</x:f>
        <x:v>2024</x:v>
      </x:c>
      <x:c r="J112" s="13" t="n">
        <x:f>MONTH(B112)</x:f>
        <x:v>6</x:v>
      </x:c>
      <x:c r="K112" s="14" t="n">
        <x:f>ROUND(E112*F112-G112,10)</x:f>
        <x:v>0</x:v>
      </x:c>
      <x:c r="L112" s="2"/>
      <x:c r="M112" s="2"/>
      <x:c r="N112" s="2"/>
      <x:c r="O112" s="2"/>
      <x:c r="P112" s="2"/>
      <x:c r="Q112" s="2"/>
      <x:c r="R112" s="2"/>
    </x:row>
    <x:row r="113" ht="22" customHeight="1">
      <x:c r="A113" s="2" t="n">
        <x:v>100107</x:v>
      </x:c>
      <x:c r="B113" s="10" t="n">
        <x:v>45467</x:v>
      </x:c>
      <x:c r="C113" s="2" t="str">
        <x:v>Chile</x:v>
      </x:c>
      <x:c r="D113" s="2" t="str">
        <x:v>Acessórios</x:v>
      </x:c>
      <x:c r="E113" s="11" t="n">
        <x:v>37</x:v>
      </x:c>
      <x:c r="F113" s="12" t="n">
        <x:v>110.66</x:v>
      </x:c>
      <x:c r="G113" s="12" t="n">
        <x:v>4094.42</x:v>
      </x:c>
      <x:c r="H113" s="13" t="n">
        <x:v>377</x:v>
      </x:c>
      <x:c r="I113" s="13" t="n">
        <x:f>YEAR(B113)</x:f>
        <x:v>2024</x:v>
      </x:c>
      <x:c r="J113" s="13" t="n">
        <x:f>MONTH(B113)</x:f>
        <x:v>6</x:v>
      </x:c>
      <x:c r="K113" s="14" t="n">
        <x:f>ROUND(E113*F113-G113,10)</x:f>
        <x:v>0</x:v>
      </x:c>
      <x:c r="L113" s="2"/>
      <x:c r="M113" s="2"/>
      <x:c r="N113" s="2"/>
      <x:c r="O113" s="2"/>
      <x:c r="P113" s="2"/>
      <x:c r="Q113" s="2"/>
      <x:c r="R113" s="2"/>
    </x:row>
    <x:row r="114" ht="22" customHeight="1">
      <x:c r="A114" s="2" t="n">
        <x:v>100108</x:v>
      </x:c>
      <x:c r="B114" s="10" t="n">
        <x:v>45509</x:v>
      </x:c>
      <x:c r="C114" s="2" t="str">
        <x:v>Chile</x:v>
      </x:c>
      <x:c r="D114" s="2" t="str">
        <x:v>Moda Masculina</x:v>
      </x:c>
      <x:c r="E114" s="11" t="n">
        <x:v>19</x:v>
      </x:c>
      <x:c r="F114" s="12" t="n">
        <x:v>169.25</x:v>
      </x:c>
      <x:c r="G114" s="12" t="n">
        <x:v>3215.75</x:v>
      </x:c>
      <x:c r="H114" s="13" t="n">
        <x:v>374</x:v>
      </x:c>
      <x:c r="I114" s="13" t="n">
        <x:f>YEAR(B114)</x:f>
        <x:v>2024</x:v>
      </x:c>
      <x:c r="J114" s="13" t="n">
        <x:f>MONTH(B114)</x:f>
        <x:v>8</x:v>
      </x:c>
      <x:c r="K114" s="14" t="n">
        <x:f>ROUND(E114*F114-G114,10)</x:f>
        <x:v>0</x:v>
      </x:c>
      <x:c r="L114" s="2"/>
      <x:c r="M114" s="2"/>
      <x:c r="N114" s="2"/>
      <x:c r="O114" s="2"/>
      <x:c r="P114" s="2"/>
      <x:c r="Q114" s="2"/>
      <x:c r="R114" s="2"/>
    </x:row>
    <x:row r="115" ht="22" customHeight="1">
      <x:c r="A115" s="2" t="n">
        <x:v>100109</x:v>
      </x:c>
      <x:c r="B115" s="10" t="n">
        <x:v>45479</x:v>
      </x:c>
      <x:c r="C115" s="2" t="str">
        <x:v>Brasil</x:v>
      </x:c>
      <x:c r="D115" s="2" t="str">
        <x:v>Moda Feminina</x:v>
      </x:c>
      <x:c r="E115" s="11" t="n">
        <x:v>44</x:v>
      </x:c>
      <x:c r="F115" s="12" t="n">
        <x:v>111.47</x:v>
      </x:c>
      <x:c r="G115" s="12" t="n">
        <x:v>4904.68</x:v>
      </x:c>
      <x:c r="H115" s="13" t="n">
        <x:v>438</x:v>
      </x:c>
      <x:c r="I115" s="13" t="n">
        <x:f>YEAR(B115)</x:f>
        <x:v>2024</x:v>
      </x:c>
      <x:c r="J115" s="13" t="n">
        <x:f>MONTH(B115)</x:f>
        <x:v>7</x:v>
      </x:c>
      <x:c r="K115" s="14" t="n">
        <x:f>ROUND(E115*F115-G115,10)</x:f>
        <x:v>0</x:v>
      </x:c>
      <x:c r="L115" s="2"/>
      <x:c r="M115" s="2"/>
      <x:c r="N115" s="2"/>
      <x:c r="O115" s="2"/>
      <x:c r="P115" s="2"/>
      <x:c r="Q115" s="2"/>
      <x:c r="R115" s="2"/>
    </x:row>
    <x:row r="116" ht="22" customHeight="1">
      <x:c r="A116" s="2" t="n">
        <x:v>100110</x:v>
      </x:c>
      <x:c r="B116" s="10" t="n">
        <x:v>45644</x:v>
      </x:c>
      <x:c r="C116" s="2" t="str">
        <x:v>Chile</x:v>
      </x:c>
      <x:c r="D116" s="2" t="str">
        <x:v>Moda Masculina</x:v>
      </x:c>
      <x:c r="E116" s="11" t="n">
        <x:v>29</x:v>
      </x:c>
      <x:c r="F116" s="12" t="n">
        <x:v>131.64</x:v>
      </x:c>
      <x:c r="G116" s="12" t="n">
        <x:v>3817.559999999999</x:v>
      </x:c>
      <x:c r="H116" s="13" t="n">
        <x:v>154</x:v>
      </x:c>
      <x:c r="I116" s="13" t="n">
        <x:f>YEAR(B116)</x:f>
        <x:v>2024</x:v>
      </x:c>
      <x:c r="J116" s="13" t="n">
        <x:f>MONTH(B116)</x:f>
        <x:v>12</x:v>
      </x:c>
      <x:c r="K116" s="14" t="n">
        <x:f>ROUND(E116*F116-G116,10)</x:f>
        <x:v>0</x:v>
      </x:c>
      <x:c r="L116" s="2"/>
      <x:c r="M116" s="2"/>
      <x:c r="N116" s="2"/>
      <x:c r="O116" s="2"/>
      <x:c r="P116" s="2"/>
      <x:c r="Q116" s="2"/>
      <x:c r="R116" s="2"/>
    </x:row>
    <x:row r="117" ht="22" customHeight="1">
      <x:c r="A117" s="2" t="n">
        <x:v>100111</x:v>
      </x:c>
      <x:c r="B117" s="10" t="n">
        <x:v>45549</x:v>
      </x:c>
      <x:c r="C117" s="2" t="str">
        <x:v>Chile</x:v>
      </x:c>
      <x:c r="D117" s="2" t="str">
        <x:v>Calçados</x:v>
      </x:c>
      <x:c r="E117" s="11" t="n">
        <x:v>7</x:v>
      </x:c>
      <x:c r="F117" s="12" t="n">
        <x:v>105.99</x:v>
      </x:c>
      <x:c r="G117" s="12" t="n">
        <x:v>741.93</x:v>
      </x:c>
      <x:c r="H117" s="13" t="n">
        <x:v>196</x:v>
      </x:c>
      <x:c r="I117" s="13" t="n">
        <x:f>YEAR(B117)</x:f>
        <x:v>2024</x:v>
      </x:c>
      <x:c r="J117" s="13" t="n">
        <x:f>MONTH(B117)</x:f>
        <x:v>9</x:v>
      </x:c>
      <x:c r="K117" s="14" t="n">
        <x:f>ROUND(E117*F117-G117,10)</x:f>
        <x:v>0</x:v>
      </x:c>
      <x:c r="L117" s="2"/>
      <x:c r="M117" s="2"/>
      <x:c r="N117" s="2"/>
      <x:c r="O117" s="2"/>
      <x:c r="P117" s="2"/>
      <x:c r="Q117" s="2"/>
      <x:c r="R117" s="2"/>
    </x:row>
    <x:row r="118" ht="22" customHeight="1">
      <x:c r="A118" s="2" t="n">
        <x:v>100112</x:v>
      </x:c>
      <x:c r="B118" s="10" t="n">
        <x:v>45611</x:v>
      </x:c>
      <x:c r="C118" s="2" t="str">
        <x:v>Brasil</x:v>
      </x:c>
      <x:c r="D118" s="2" t="str">
        <x:v>Moda Feminina</x:v>
      </x:c>
      <x:c r="E118" s="11" t="n">
        <x:v>28</x:v>
      </x:c>
      <x:c r="F118" s="12" t="n">
        <x:v>106.07</x:v>
      </x:c>
      <x:c r="G118" s="12" t="n">
        <x:v>2969.96</x:v>
      </x:c>
      <x:c r="H118" s="13" t="n">
        <x:v>328</x:v>
      </x:c>
      <x:c r="I118" s="13" t="n">
        <x:f>YEAR(B118)</x:f>
        <x:v>2024</x:v>
      </x:c>
      <x:c r="J118" s="13" t="n">
        <x:f>MONTH(B118)</x:f>
        <x:v>11</x:v>
      </x:c>
      <x:c r="K118" s="14" t="n">
        <x:f>ROUND(E118*F118-G118,10)</x:f>
        <x:v>0</x:v>
      </x:c>
      <x:c r="L118" s="2"/>
      <x:c r="M118" s="2"/>
      <x:c r="N118" s="2"/>
      <x:c r="O118" s="2"/>
      <x:c r="P118" s="2"/>
      <x:c r="Q118" s="2"/>
      <x:c r="R118" s="2"/>
    </x:row>
    <x:row r="119" ht="22" customHeight="1">
      <x:c r="A119" s="2" t="n">
        <x:v>100113</x:v>
      </x:c>
      <x:c r="B119" s="10" t="n">
        <x:v>45305</x:v>
      </x:c>
      <x:c r="C119" s="2" t="str">
        <x:v>Chile</x:v>
      </x:c>
      <x:c r="D119" s="2" t="str">
        <x:v>Moda Infantil</x:v>
      </x:c>
      <x:c r="E119" s="11" t="n">
        <x:v>9</x:v>
      </x:c>
      <x:c r="F119" s="12" t="n">
        <x:v>158.23</x:v>
      </x:c>
      <x:c r="G119" s="12" t="n">
        <x:v>1424.07</x:v>
      </x:c>
      <x:c r="H119" s="13" t="n">
        <x:v>58</x:v>
      </x:c>
      <x:c r="I119" s="13" t="n">
        <x:f>YEAR(B119)</x:f>
        <x:v>2024</x:v>
      </x:c>
      <x:c r="J119" s="13" t="n">
        <x:f>MONTH(B119)</x:f>
        <x:v>1</x:v>
      </x:c>
      <x:c r="K119" s="14" t="n">
        <x:f>ROUND(E119*F119-G119,10)</x:f>
        <x:v>0</x:v>
      </x:c>
      <x:c r="L119" s="2"/>
      <x:c r="M119" s="2"/>
      <x:c r="N119" s="2"/>
      <x:c r="O119" s="2"/>
      <x:c r="P119" s="2"/>
      <x:c r="Q119" s="2"/>
      <x:c r="R119" s="2"/>
    </x:row>
    <x:row r="120" ht="22" customHeight="1">
      <x:c r="A120" s="2" t="n">
        <x:v>100114</x:v>
      </x:c>
      <x:c r="B120" s="10" t="n">
        <x:v>45394</x:v>
      </x:c>
      <x:c r="C120" s="2" t="str">
        <x:v>México</x:v>
      </x:c>
      <x:c r="D120" s="2" t="str">
        <x:v>Acessórios</x:v>
      </x:c>
      <x:c r="E120" s="11" t="n">
        <x:v>28</x:v>
      </x:c>
      <x:c r="F120" s="12" t="n">
        <x:v>133.14</x:v>
      </x:c>
      <x:c r="G120" s="12" t="n">
        <x:v>3727.92</x:v>
      </x:c>
      <x:c r="H120" s="13" t="n">
        <x:v>167</x:v>
      </x:c>
      <x:c r="I120" s="13" t="n">
        <x:f>YEAR(B120)</x:f>
        <x:v>2024</x:v>
      </x:c>
      <x:c r="J120" s="13" t="n">
        <x:f>MONTH(B120)</x:f>
        <x:v>4</x:v>
      </x:c>
      <x:c r="K120" s="14" t="n">
        <x:f>ROUND(E120*F120-G120,10)</x:f>
        <x:v>0</x:v>
      </x:c>
      <x:c r="L120" s="2"/>
      <x:c r="M120" s="2"/>
      <x:c r="N120" s="2"/>
      <x:c r="O120" s="2"/>
      <x:c r="P120" s="2"/>
      <x:c r="Q120" s="2"/>
      <x:c r="R120" s="2"/>
    </x:row>
    <x:row r="121" ht="22" customHeight="1">
      <x:c r="A121" s="2" t="n">
        <x:v>100115</x:v>
      </x:c>
      <x:c r="B121" s="10" t="n">
        <x:v>45214</x:v>
      </x:c>
      <x:c r="C121" s="2" t="str">
        <x:v>Argentina</x:v>
      </x:c>
      <x:c r="D121" s="2" t="str">
        <x:v>Moda Masculina</x:v>
      </x:c>
      <x:c r="E121" s="11" t="n">
        <x:v>6</x:v>
      </x:c>
      <x:c r="F121" s="12" t="n">
        <x:v>133.99</x:v>
      </x:c>
      <x:c r="G121" s="12" t="n">
        <x:v>803.94</x:v>
      </x:c>
      <x:c r="H121" s="13" t="n">
        <x:v>143</x:v>
      </x:c>
      <x:c r="I121" s="13" t="n">
        <x:f>YEAR(B121)</x:f>
        <x:v>2023</x:v>
      </x:c>
      <x:c r="J121" s="13" t="n">
        <x:f>MONTH(B121)</x:f>
        <x:v>10</x:v>
      </x:c>
      <x:c r="K121" s="14" t="n">
        <x:f>ROUND(E121*F121-G121,10)</x:f>
        <x:v>0</x:v>
      </x:c>
      <x:c r="L121" s="2"/>
      <x:c r="M121" s="2"/>
      <x:c r="N121" s="2"/>
      <x:c r="O121" s="2"/>
      <x:c r="P121" s="2"/>
      <x:c r="Q121" s="2"/>
      <x:c r="R121" s="2"/>
    </x:row>
    <x:row r="122" ht="22" customHeight="1">
      <x:c r="A122" s="2" t="n">
        <x:v>100116</x:v>
      </x:c>
      <x:c r="B122" s="10" t="n">
        <x:v>45524</x:v>
      </x:c>
      <x:c r="C122" s="2" t="str">
        <x:v>Argentina</x:v>
      </x:c>
      <x:c r="D122" s="2" t="str">
        <x:v>Moda Feminina</x:v>
      </x:c>
      <x:c r="E122" s="11" t="n">
        <x:v>29</x:v>
      </x:c>
      <x:c r="F122" s="12" t="n">
        <x:v>101.05</x:v>
      </x:c>
      <x:c r="G122" s="12" t="n">
        <x:v>2930.45</x:v>
      </x:c>
      <x:c r="H122" s="13" t="n">
        <x:v>483</x:v>
      </x:c>
      <x:c r="I122" s="13" t="n">
        <x:f>YEAR(B122)</x:f>
        <x:v>2024</x:v>
      </x:c>
      <x:c r="J122" s="13" t="n">
        <x:f>MONTH(B122)</x:f>
        <x:v>8</x:v>
      </x:c>
      <x:c r="K122" s="14" t="n">
        <x:f>ROUND(E122*F122-G122,10)</x:f>
        <x:v>0</x:v>
      </x:c>
      <x:c r="L122" s="2"/>
      <x:c r="M122" s="2"/>
      <x:c r="N122" s="2"/>
      <x:c r="O122" s="2"/>
      <x:c r="P122" s="2"/>
      <x:c r="Q122" s="2"/>
      <x:c r="R122" s="2"/>
    </x:row>
    <x:row r="123" ht="22" customHeight="1">
      <x:c r="A123" s="2" t="n">
        <x:v>100117</x:v>
      </x:c>
      <x:c r="B123" s="10" t="n">
        <x:v>45225</x:v>
      </x:c>
      <x:c r="C123" s="2" t="str">
        <x:v>Brasil</x:v>
      </x:c>
      <x:c r="D123" s="2" t="str">
        <x:v>Calçados</x:v>
      </x:c>
      <x:c r="E123" s="11" t="n">
        <x:v>17</x:v>
      </x:c>
      <x:c r="F123" s="12" t="n">
        <x:v>115.6</x:v>
      </x:c>
      <x:c r="G123" s="12" t="n">
        <x:v>1965.2</x:v>
      </x:c>
      <x:c r="H123" s="13" t="n">
        <x:v>193</x:v>
      </x:c>
      <x:c r="I123" s="13" t="n">
        <x:f>YEAR(B123)</x:f>
        <x:v>2023</x:v>
      </x:c>
      <x:c r="J123" s="13" t="n">
        <x:f>MONTH(B123)</x:f>
        <x:v>10</x:v>
      </x:c>
      <x:c r="K123" s="14" t="n">
        <x:f>ROUND(E123*F123-G123,10)</x:f>
        <x:v>0</x:v>
      </x:c>
      <x:c r="L123" s="2"/>
      <x:c r="M123" s="2"/>
      <x:c r="N123" s="2"/>
      <x:c r="O123" s="2"/>
      <x:c r="P123" s="2"/>
      <x:c r="Q123" s="2"/>
      <x:c r="R123" s="2"/>
    </x:row>
    <x:row r="124" ht="22" customHeight="1">
      <x:c r="A124" s="2" t="n">
        <x:v>100118</x:v>
      </x:c>
      <x:c r="B124" s="10" t="n">
        <x:v>45610</x:v>
      </x:c>
      <x:c r="C124" s="2" t="str">
        <x:v>Colômbia</x:v>
      </x:c>
      <x:c r="D124" s="2" t="str">
        <x:v>Moda Feminina</x:v>
      </x:c>
      <x:c r="E124" s="11" t="n">
        <x:v>16</x:v>
      </x:c>
      <x:c r="F124" s="12" t="n">
        <x:v>154.23</x:v>
      </x:c>
      <x:c r="G124" s="12" t="n">
        <x:v>2467.68</x:v>
      </x:c>
      <x:c r="H124" s="13" t="n">
        <x:v>338</x:v>
      </x:c>
      <x:c r="I124" s="13" t="n">
        <x:f>YEAR(B124)</x:f>
        <x:v>2024</x:v>
      </x:c>
      <x:c r="J124" s="13" t="n">
        <x:f>MONTH(B124)</x:f>
        <x:v>11</x:v>
      </x:c>
      <x:c r="K124" s="14" t="n">
        <x:f>ROUND(E124*F124-G124,10)</x:f>
        <x:v>0</x:v>
      </x:c>
      <x:c r="L124" s="2"/>
      <x:c r="M124" s="2"/>
      <x:c r="N124" s="2"/>
      <x:c r="O124" s="2"/>
      <x:c r="P124" s="2"/>
      <x:c r="Q124" s="2"/>
      <x:c r="R124" s="2"/>
    </x:row>
    <x:row r="125" ht="22" customHeight="1">
      <x:c r="A125" s="2" t="n">
        <x:v>100119</x:v>
      </x:c>
      <x:c r="B125" s="10" t="n">
        <x:v>44993</x:v>
      </x:c>
      <x:c r="C125" s="2" t="str">
        <x:v>Brasil</x:v>
      </x:c>
      <x:c r="D125" s="2" t="str">
        <x:v>Calçados</x:v>
      </x:c>
      <x:c r="E125" s="11" t="n">
        <x:v>23</x:v>
      </x:c>
      <x:c r="F125" s="12" t="n">
        <x:v>168.67</x:v>
      </x:c>
      <x:c r="G125" s="12" t="n">
        <x:v>3879.41</x:v>
      </x:c>
      <x:c r="H125" s="13" t="n">
        <x:v>435</x:v>
      </x:c>
      <x:c r="I125" s="13" t="n">
        <x:f>YEAR(B125)</x:f>
        <x:v>2023</x:v>
      </x:c>
      <x:c r="J125" s="13" t="n">
        <x:f>MONTH(B125)</x:f>
        <x:v>3</x:v>
      </x:c>
      <x:c r="K125" s="14" t="n">
        <x:f>ROUND(E125*F125-G125,10)</x:f>
        <x:v>0</x:v>
      </x:c>
      <x:c r="L125" s="2"/>
      <x:c r="M125" s="2"/>
      <x:c r="N125" s="2"/>
      <x:c r="O125" s="2"/>
      <x:c r="P125" s="2"/>
      <x:c r="Q125" s="2"/>
      <x:c r="R125" s="2"/>
    </x:row>
    <x:row r="126" ht="22" customHeight="1">
      <x:c r="A126" s="2" t="n">
        <x:v>100120</x:v>
      </x:c>
      <x:c r="B126" s="10" t="n">
        <x:v>44944</x:v>
      </x:c>
      <x:c r="C126" s="2" t="str">
        <x:v>Colômbia</x:v>
      </x:c>
      <x:c r="D126" s="2" t="str">
        <x:v>Moda Infantil</x:v>
      </x:c>
      <x:c r="E126" s="11" t="n">
        <x:v>31</x:v>
      </x:c>
      <x:c r="F126" s="12" t="n">
        <x:v>145.38</x:v>
      </x:c>
      <x:c r="G126" s="12" t="n">
        <x:v>4506.78</x:v>
      </x:c>
      <x:c r="H126" s="13" t="n">
        <x:v>63</x:v>
      </x:c>
      <x:c r="I126" s="13" t="n">
        <x:f>YEAR(B126)</x:f>
        <x:v>2023</x:v>
      </x:c>
      <x:c r="J126" s="13" t="n">
        <x:f>MONTH(B126)</x:f>
        <x:v>1</x:v>
      </x:c>
      <x:c r="K126" s="14" t="n">
        <x:f>ROUND(E126*F126-G126,10)</x:f>
        <x:v>0</x:v>
      </x:c>
      <x:c r="L126" s="2"/>
      <x:c r="M126" s="2"/>
      <x:c r="N126" s="2"/>
      <x:c r="O126" s="2"/>
      <x:c r="P126" s="2"/>
      <x:c r="Q126" s="2"/>
      <x:c r="R126" s="2"/>
    </x:row>
    <x:row r="127" ht="22" customHeight="1">
      <x:c r="A127" s="2" t="n">
        <x:v>100121</x:v>
      </x:c>
      <x:c r="B127" s="10" t="n">
        <x:v>45387</x:v>
      </x:c>
      <x:c r="C127" s="2" t="str">
        <x:v>Argentina</x:v>
      </x:c>
      <x:c r="D127" s="2" t="str">
        <x:v>Acessórios</x:v>
      </x:c>
      <x:c r="E127" s="11" t="n">
        <x:v>3</x:v>
      </x:c>
      <x:c r="F127" s="12" t="n">
        <x:v>186.33</x:v>
      </x:c>
      <x:c r="G127" s="12" t="n">
        <x:v>558.99</x:v>
      </x:c>
      <x:c r="H127" s="13" t="n">
        <x:v>306</x:v>
      </x:c>
      <x:c r="I127" s="13" t="n">
        <x:f>YEAR(B127)</x:f>
        <x:v>2024</x:v>
      </x:c>
      <x:c r="J127" s="13" t="n">
        <x:f>MONTH(B127)</x:f>
        <x:v>4</x:v>
      </x:c>
      <x:c r="K127" s="14" t="n">
        <x:f>ROUND(E127*F127-G127,10)</x:f>
        <x:v>0</x:v>
      </x:c>
      <x:c r="L127" s="2"/>
      <x:c r="M127" s="2"/>
      <x:c r="N127" s="2"/>
      <x:c r="O127" s="2"/>
      <x:c r="P127" s="2"/>
      <x:c r="Q127" s="2"/>
      <x:c r="R127" s="2"/>
    </x:row>
    <x:row r="128" ht="22" customHeight="1">
      <x:c r="A128" s="2" t="n">
        <x:v>100122</x:v>
      </x:c>
      <x:c r="B128" s="10" t="n">
        <x:v>45281</x:v>
      </x:c>
      <x:c r="C128" s="2" t="str">
        <x:v>Brasil</x:v>
      </x:c>
      <x:c r="D128" s="2" t="str">
        <x:v>Moda Infantil</x:v>
      </x:c>
      <x:c r="E128" s="11" t="n">
        <x:v>21</x:v>
      </x:c>
      <x:c r="F128" s="12" t="n">
        <x:v>167.66</x:v>
      </x:c>
      <x:c r="G128" s="12" t="n">
        <x:v>3520.86</x:v>
      </x:c>
      <x:c r="H128" s="13" t="n">
        <x:v>395</x:v>
      </x:c>
      <x:c r="I128" s="13" t="n">
        <x:f>YEAR(B128)</x:f>
        <x:v>2023</x:v>
      </x:c>
      <x:c r="J128" s="13" t="n">
        <x:f>MONTH(B128)</x:f>
        <x:v>12</x:v>
      </x:c>
      <x:c r="K128" s="14" t="n">
        <x:f>ROUND(E128*F128-G128,10)</x:f>
        <x:v>0</x:v>
      </x:c>
      <x:c r="L128" s="2"/>
      <x:c r="M128" s="2"/>
      <x:c r="N128" s="2"/>
      <x:c r="O128" s="2"/>
      <x:c r="P128" s="2"/>
      <x:c r="Q128" s="2"/>
      <x:c r="R128" s="2"/>
    </x:row>
    <x:row r="129" ht="22" customHeight="1">
      <x:c r="A129" s="2" t="n">
        <x:v>100123</x:v>
      </x:c>
      <x:c r="B129" s="10" t="n">
        <x:v>45541</x:v>
      </x:c>
      <x:c r="C129" s="2" t="str">
        <x:v>Peru</x:v>
      </x:c>
      <x:c r="D129" s="2" t="str">
        <x:v>Moda Masculina</x:v>
      </x:c>
      <x:c r="E129" s="11" t="n">
        <x:v>26</x:v>
      </x:c>
      <x:c r="F129" s="12" t="n">
        <x:v>121.14</x:v>
      </x:c>
      <x:c r="G129" s="12" t="n">
        <x:v>3149.64</x:v>
      </x:c>
      <x:c r="H129" s="13" t="n">
        <x:v>235</x:v>
      </x:c>
      <x:c r="I129" s="13" t="n">
        <x:f>YEAR(B129)</x:f>
        <x:v>2024</x:v>
      </x:c>
      <x:c r="J129" s="13" t="n">
        <x:f>MONTH(B129)</x:f>
        <x:v>9</x:v>
      </x:c>
      <x:c r="K129" s="14" t="n">
        <x:f>ROUND(E129*F129-G129,10)</x:f>
        <x:v>0</x:v>
      </x:c>
      <x:c r="L129" s="2"/>
      <x:c r="M129" s="2"/>
      <x:c r="N129" s="2"/>
      <x:c r="O129" s="2"/>
      <x:c r="P129" s="2"/>
      <x:c r="Q129" s="2"/>
      <x:c r="R129" s="2"/>
    </x:row>
    <x:row r="130" ht="22" customHeight="1">
      <x:c r="A130" s="2" t="n">
        <x:v>100124</x:v>
      </x:c>
      <x:c r="B130" s="10" t="n">
        <x:v>45047</x:v>
      </x:c>
      <x:c r="C130" s="2" t="str">
        <x:v>México</x:v>
      </x:c>
      <x:c r="D130" s="2" t="str">
        <x:v>Moda Feminina</x:v>
      </x:c>
      <x:c r="E130" s="11" t="n">
        <x:v>36</x:v>
      </x:c>
      <x:c r="F130" s="12" t="n">
        <x:v>140.85</x:v>
      </x:c>
      <x:c r="G130" s="12" t="n">
        <x:v>5070.599999999999</x:v>
      </x:c>
      <x:c r="H130" s="13" t="n">
        <x:v>394</x:v>
      </x:c>
      <x:c r="I130" s="13" t="n">
        <x:f>YEAR(B130)</x:f>
        <x:v>2023</x:v>
      </x:c>
      <x:c r="J130" s="13" t="n">
        <x:f>MONTH(B130)</x:f>
        <x:v>5</x:v>
      </x:c>
      <x:c r="K130" s="14" t="n">
        <x:f>ROUND(E130*F130-G130,10)</x:f>
        <x:v>0</x:v>
      </x:c>
      <x:c r="L130" s="2"/>
      <x:c r="M130" s="2"/>
      <x:c r="N130" s="2"/>
      <x:c r="O130" s="2"/>
      <x:c r="P130" s="2"/>
      <x:c r="Q130" s="2"/>
      <x:c r="R130" s="2"/>
    </x:row>
    <x:row r="131" ht="22" customHeight="1">
      <x:c r="A131" s="2" t="n">
        <x:v>100125</x:v>
      </x:c>
      <x:c r="B131" s="10" t="n">
        <x:v>45363</x:v>
      </x:c>
      <x:c r="C131" s="2" t="str">
        <x:v>Chile</x:v>
      </x:c>
      <x:c r="D131" s="2" t="str">
        <x:v>Calçados</x:v>
      </x:c>
      <x:c r="E131" s="11" t="n">
        <x:v>42</x:v>
      </x:c>
      <x:c r="F131" s="12" t="n">
        <x:v>186.74</x:v>
      </x:c>
      <x:c r="G131" s="12" t="n">
        <x:v>7843.08</x:v>
      </x:c>
      <x:c r="H131" s="13" t="n">
        <x:v>449</x:v>
      </x:c>
      <x:c r="I131" s="13" t="n">
        <x:f>YEAR(B131)</x:f>
        <x:v>2024</x:v>
      </x:c>
      <x:c r="J131" s="13" t="n">
        <x:f>MONTH(B131)</x:f>
        <x:v>3</x:v>
      </x:c>
      <x:c r="K131" s="14" t="n">
        <x:f>ROUND(E131*F131-G131,10)</x:f>
        <x:v>0</x:v>
      </x:c>
      <x:c r="L131" s="2"/>
      <x:c r="M131" s="2"/>
      <x:c r="N131" s="2"/>
      <x:c r="O131" s="2"/>
      <x:c r="P131" s="2"/>
      <x:c r="Q131" s="2"/>
      <x:c r="R131" s="2"/>
    </x:row>
    <x:row r="132" ht="22" customHeight="1">
      <x:c r="A132" s="2" t="n">
        <x:v>100126</x:v>
      </x:c>
      <x:c r="B132" s="10" t="n">
        <x:v>45329</x:v>
      </x:c>
      <x:c r="C132" s="2" t="str">
        <x:v>Colômbia</x:v>
      </x:c>
      <x:c r="D132" s="2" t="str">
        <x:v>Calçados</x:v>
      </x:c>
      <x:c r="E132" s="11" t="n">
        <x:v>37</x:v>
      </x:c>
      <x:c r="F132" s="12" t="n">
        <x:v>131.45</x:v>
      </x:c>
      <x:c r="G132" s="12" t="n">
        <x:v>4863.65</x:v>
      </x:c>
      <x:c r="H132" s="13" t="n">
        <x:v>256</x:v>
      </x:c>
      <x:c r="I132" s="13" t="n">
        <x:f>YEAR(B132)</x:f>
        <x:v>2024</x:v>
      </x:c>
      <x:c r="J132" s="13" t="n">
        <x:f>MONTH(B132)</x:f>
        <x:v>2</x:v>
      </x:c>
      <x:c r="K132" s="14" t="n">
        <x:f>ROUND(E132*F132-G132,10)</x:f>
        <x:v>0</x:v>
      </x:c>
      <x:c r="L132" s="2"/>
      <x:c r="M132" s="2"/>
      <x:c r="N132" s="2"/>
      <x:c r="O132" s="2"/>
      <x:c r="P132" s="2"/>
      <x:c r="Q132" s="2"/>
      <x:c r="R132" s="2"/>
    </x:row>
    <x:row r="133" ht="22" customHeight="1">
      <x:c r="A133" s="2" t="n">
        <x:v>100127</x:v>
      </x:c>
      <x:c r="B133" s="10" t="n">
        <x:v>45634</x:v>
      </x:c>
      <x:c r="C133" s="2" t="str">
        <x:v>Peru</x:v>
      </x:c>
      <x:c r="D133" s="2" t="str">
        <x:v>Moda Feminina</x:v>
      </x:c>
      <x:c r="E133" s="11" t="n">
        <x:v>22</x:v>
      </x:c>
      <x:c r="F133" s="12" t="n">
        <x:v>168.47</x:v>
      </x:c>
      <x:c r="G133" s="12" t="n">
        <x:v>3706.34</x:v>
      </x:c>
      <x:c r="H133" s="13" t="n">
        <x:v>395</x:v>
      </x:c>
      <x:c r="I133" s="13" t="n">
        <x:f>YEAR(B133)</x:f>
        <x:v>2024</x:v>
      </x:c>
      <x:c r="J133" s="13" t="n">
        <x:f>MONTH(B133)</x:f>
        <x:v>12</x:v>
      </x:c>
      <x:c r="K133" s="14" t="n">
        <x:f>ROUND(E133*F133-G133,10)</x:f>
        <x:v>0</x:v>
      </x:c>
      <x:c r="L133" s="2"/>
      <x:c r="M133" s="2"/>
      <x:c r="N133" s="2"/>
      <x:c r="O133" s="2"/>
      <x:c r="P133" s="2"/>
      <x:c r="Q133" s="2"/>
      <x:c r="R133" s="2"/>
    </x:row>
    <x:row r="134" ht="22" customHeight="1">
      <x:c r="A134" s="2" t="n">
        <x:v>100128</x:v>
      </x:c>
      <x:c r="B134" s="10" t="n">
        <x:v>45242</x:v>
      </x:c>
      <x:c r="C134" s="2" t="str">
        <x:v>Chile</x:v>
      </x:c>
      <x:c r="D134" s="2" t="str">
        <x:v>Moda Feminina</x:v>
      </x:c>
      <x:c r="E134" s="11" t="n">
        <x:v>42</x:v>
      </x:c>
      <x:c r="F134" s="12" t="n">
        <x:v>143.99</x:v>
      </x:c>
      <x:c r="G134" s="12" t="n">
        <x:v>6047.58</x:v>
      </x:c>
      <x:c r="H134" s="13" t="n">
        <x:v>480</x:v>
      </x:c>
      <x:c r="I134" s="13" t="n">
        <x:f>YEAR(B134)</x:f>
        <x:v>2023</x:v>
      </x:c>
      <x:c r="J134" s="13" t="n">
        <x:f>MONTH(B134)</x:f>
        <x:v>11</x:v>
      </x:c>
      <x:c r="K134" s="14" t="n">
        <x:f>ROUND(E134*F134-G134,10)</x:f>
        <x:v>0</x:v>
      </x:c>
      <x:c r="L134" s="2"/>
      <x:c r="M134" s="2"/>
      <x:c r="N134" s="2"/>
      <x:c r="O134" s="2"/>
      <x:c r="P134" s="2"/>
      <x:c r="Q134" s="2"/>
      <x:c r="R134" s="2"/>
    </x:row>
    <x:row r="135" ht="22" customHeight="1">
      <x:c r="A135" s="2" t="n">
        <x:v>100129</x:v>
      </x:c>
      <x:c r="B135" s="10" t="n">
        <x:v>45514</x:v>
      </x:c>
      <x:c r="C135" s="2" t="str">
        <x:v>Chile</x:v>
      </x:c>
      <x:c r="D135" s="2" t="str">
        <x:v>Moda Masculina</x:v>
      </x:c>
      <x:c r="E135" s="11" t="n">
        <x:v>12</x:v>
      </x:c>
      <x:c r="F135" s="12" t="n">
        <x:v>119.35</x:v>
      </x:c>
      <x:c r="G135" s="12" t="n">
        <x:v>1432.2</x:v>
      </x:c>
      <x:c r="H135" s="13" t="n">
        <x:v>221</x:v>
      </x:c>
      <x:c r="I135" s="13" t="n">
        <x:f>YEAR(B135)</x:f>
        <x:v>2024</x:v>
      </x:c>
      <x:c r="J135" s="13" t="n">
        <x:f>MONTH(B135)</x:f>
        <x:v>8</x:v>
      </x:c>
      <x:c r="K135" s="14" t="n">
        <x:f>ROUND(E135*F135-G135,10)</x:f>
        <x:v>0</x:v>
      </x:c>
      <x:c r="L135" s="2"/>
      <x:c r="M135" s="2"/>
      <x:c r="N135" s="2"/>
      <x:c r="O135" s="2"/>
      <x:c r="P135" s="2"/>
      <x:c r="Q135" s="2"/>
      <x:c r="R135" s="2"/>
    </x:row>
    <x:row r="136" ht="22" customHeight="1">
      <x:c r="A136" s="2" t="n">
        <x:v>100130</x:v>
      </x:c>
      <x:c r="B136" s="10" t="n">
        <x:v>45469</x:v>
      </x:c>
      <x:c r="C136" s="2" t="str">
        <x:v>Brasil</x:v>
      </x:c>
      <x:c r="D136" s="2" t="str">
        <x:v>Moda Infantil</x:v>
      </x:c>
      <x:c r="E136" s="11" t="n">
        <x:v>42</x:v>
      </x:c>
      <x:c r="F136" s="12" t="n">
        <x:v>63.53</x:v>
      </x:c>
      <x:c r="G136" s="12" t="n">
        <x:v>2668.26</x:v>
      </x:c>
      <x:c r="H136" s="13" t="n">
        <x:v>319</x:v>
      </x:c>
      <x:c r="I136" s="13" t="n">
        <x:f>YEAR(B136)</x:f>
        <x:v>2024</x:v>
      </x:c>
      <x:c r="J136" s="13" t="n">
        <x:f>MONTH(B136)</x:f>
        <x:v>6</x:v>
      </x:c>
      <x:c r="K136" s="14" t="n">
        <x:f>ROUND(E136*F136-G136,10)</x:f>
        <x:v>0</x:v>
      </x:c>
      <x:c r="L136" s="2"/>
      <x:c r="M136" s="2"/>
      <x:c r="N136" s="2"/>
      <x:c r="O136" s="2"/>
      <x:c r="P136" s="2"/>
      <x:c r="Q136" s="2"/>
      <x:c r="R136" s="2"/>
    </x:row>
    <x:row r="137" ht="22" customHeight="1">
      <x:c r="A137" s="2" t="n">
        <x:v>100131</x:v>
      </x:c>
      <x:c r="B137" s="10" t="n">
        <x:v>45474</x:v>
      </x:c>
      <x:c r="C137" s="2" t="str">
        <x:v>Chile</x:v>
      </x:c>
      <x:c r="D137" s="2" t="str">
        <x:v>Calçados</x:v>
      </x:c>
      <x:c r="E137" s="11" t="n">
        <x:v>13</x:v>
      </x:c>
      <x:c r="F137" s="12" t="n">
        <x:v>96.68</x:v>
      </x:c>
      <x:c r="G137" s="12" t="n">
        <x:v>1256.84</x:v>
      </x:c>
      <x:c r="H137" s="13" t="n">
        <x:v>270</x:v>
      </x:c>
      <x:c r="I137" s="13" t="n">
        <x:f>YEAR(B137)</x:f>
        <x:v>2024</x:v>
      </x:c>
      <x:c r="J137" s="13" t="n">
        <x:f>MONTH(B137)</x:f>
        <x:v>7</x:v>
      </x:c>
      <x:c r="K137" s="14" t="n">
        <x:f>ROUND(E137*F137-G137,10)</x:f>
        <x:v>0</x:v>
      </x:c>
      <x:c r="L137" s="2"/>
      <x:c r="M137" s="2"/>
      <x:c r="N137" s="2"/>
      <x:c r="O137" s="2"/>
      <x:c r="P137" s="2"/>
      <x:c r="Q137" s="2"/>
      <x:c r="R137" s="2"/>
    </x:row>
    <x:row r="138" ht="22" customHeight="1">
      <x:c r="A138" s="2" t="n">
        <x:v>100132</x:v>
      </x:c>
      <x:c r="B138" s="10" t="n">
        <x:v>45133</x:v>
      </x:c>
      <x:c r="C138" s="2" t="str">
        <x:v>México</x:v>
      </x:c>
      <x:c r="D138" s="2" t="str">
        <x:v>Moda Masculina</x:v>
      </x:c>
      <x:c r="E138" s="11" t="n">
        <x:v>11</x:v>
      </x:c>
      <x:c r="F138" s="12" t="n">
        <x:v>194.19</x:v>
      </x:c>
      <x:c r="G138" s="12" t="n">
        <x:v>2136.09</x:v>
      </x:c>
      <x:c r="H138" s="13" t="n">
        <x:v>201</x:v>
      </x:c>
      <x:c r="I138" s="13" t="n">
        <x:f>YEAR(B138)</x:f>
        <x:v>2023</x:v>
      </x:c>
      <x:c r="J138" s="13" t="n">
        <x:f>MONTH(B138)</x:f>
        <x:v>7</x:v>
      </x:c>
      <x:c r="K138" s="14" t="n">
        <x:f>ROUND(E138*F138-G138,10)</x:f>
        <x:v>0</x:v>
      </x:c>
      <x:c r="L138" s="2"/>
      <x:c r="M138" s="2"/>
      <x:c r="N138" s="2"/>
      <x:c r="O138" s="2"/>
      <x:c r="P138" s="2"/>
      <x:c r="Q138" s="2"/>
      <x:c r="R138" s="2"/>
    </x:row>
    <x:row r="139" ht="22" customHeight="1">
      <x:c r="A139" s="2" t="n">
        <x:v>100133</x:v>
      </x:c>
      <x:c r="B139" s="10" t="n">
        <x:v>45024</x:v>
      </x:c>
      <x:c r="C139" s="2" t="str">
        <x:v>Peru</x:v>
      </x:c>
      <x:c r="D139" s="2" t="str">
        <x:v>Moda Infantil</x:v>
      </x:c>
      <x:c r="E139" s="11" t="n">
        <x:v>16</x:v>
      </x:c>
      <x:c r="F139" s="12" t="n">
        <x:v>138.4</x:v>
      </x:c>
      <x:c r="G139" s="12" t="n">
        <x:v>2214.4</x:v>
      </x:c>
      <x:c r="H139" s="13" t="n">
        <x:v>160</x:v>
      </x:c>
      <x:c r="I139" s="13" t="n">
        <x:f>YEAR(B139)</x:f>
        <x:v>2023</x:v>
      </x:c>
      <x:c r="J139" s="13" t="n">
        <x:f>MONTH(B139)</x:f>
        <x:v>4</x:v>
      </x:c>
      <x:c r="K139" s="14" t="n">
        <x:f>ROUND(E139*F139-G139,10)</x:f>
        <x:v>0</x:v>
      </x:c>
      <x:c r="L139" s="2"/>
      <x:c r="M139" s="2"/>
      <x:c r="N139" s="2"/>
      <x:c r="O139" s="2"/>
      <x:c r="P139" s="2"/>
      <x:c r="Q139" s="2"/>
      <x:c r="R139" s="2"/>
    </x:row>
    <x:row r="140" ht="22" customHeight="1">
      <x:c r="A140" s="2" t="n">
        <x:v>100134</x:v>
      </x:c>
      <x:c r="B140" s="10" t="n">
        <x:v>45006</x:v>
      </x:c>
      <x:c r="C140" s="2" t="str">
        <x:v>Chile</x:v>
      </x:c>
      <x:c r="D140" s="2" t="str">
        <x:v>Moda Masculina</x:v>
      </x:c>
      <x:c r="E140" s="11" t="n">
        <x:v>8</x:v>
      </x:c>
      <x:c r="F140" s="12" t="n">
        <x:v>121.59</x:v>
      </x:c>
      <x:c r="G140" s="12" t="n">
        <x:v>972.72</x:v>
      </x:c>
      <x:c r="H140" s="13" t="n">
        <x:v>232</x:v>
      </x:c>
      <x:c r="I140" s="13" t="n">
        <x:f>YEAR(B140)</x:f>
        <x:v>2023</x:v>
      </x:c>
      <x:c r="J140" s="13" t="n">
        <x:f>MONTH(B140)</x:f>
        <x:v>3</x:v>
      </x:c>
      <x:c r="K140" s="14" t="n">
        <x:f>ROUND(E140*F140-G140,10)</x:f>
        <x:v>0</x:v>
      </x:c>
      <x:c r="L140" s="2"/>
      <x:c r="M140" s="2"/>
      <x:c r="N140" s="2"/>
      <x:c r="O140" s="2"/>
      <x:c r="P140" s="2"/>
      <x:c r="Q140" s="2"/>
      <x:c r="R140" s="2"/>
    </x:row>
    <x:row r="141" ht="22" customHeight="1">
      <x:c r="A141" s="2" t="n">
        <x:v>100135</x:v>
      </x:c>
      <x:c r="B141" s="10" t="n">
        <x:v>45456</x:v>
      </x:c>
      <x:c r="C141" s="2" t="str">
        <x:v>Brasil</x:v>
      </x:c>
      <x:c r="D141" s="2" t="str">
        <x:v>Calçados</x:v>
      </x:c>
      <x:c r="E141" s="11" t="n">
        <x:v>40</x:v>
      </x:c>
      <x:c r="F141" s="12" t="n">
        <x:v>187.93</x:v>
      </x:c>
      <x:c r="G141" s="12" t="n">
        <x:v>7517.200000000001</x:v>
      </x:c>
      <x:c r="H141" s="13" t="n">
        <x:v>448</x:v>
      </x:c>
      <x:c r="I141" s="13" t="n">
        <x:f>YEAR(B141)</x:f>
        <x:v>2024</x:v>
      </x:c>
      <x:c r="J141" s="13" t="n">
        <x:f>MONTH(B141)</x:f>
        <x:v>6</x:v>
      </x:c>
      <x:c r="K141" s="14" t="n">
        <x:f>ROUND(E141*F141-G141,10)</x:f>
        <x:v>0</x:v>
      </x:c>
      <x:c r="L141" s="2"/>
      <x:c r="M141" s="2"/>
      <x:c r="N141" s="2"/>
      <x:c r="O141" s="2"/>
      <x:c r="P141" s="2"/>
      <x:c r="Q141" s="2"/>
      <x:c r="R141" s="2"/>
    </x:row>
    <x:row r="142" ht="22" customHeight="1">
      <x:c r="A142" s="2" t="n">
        <x:v>100136</x:v>
      </x:c>
      <x:c r="B142" s="10" t="n">
        <x:v>45383</x:v>
      </x:c>
      <x:c r="C142" s="2" t="str">
        <x:v>México</x:v>
      </x:c>
      <x:c r="D142" s="2" t="str">
        <x:v>Moda Feminina</x:v>
      </x:c>
      <x:c r="E142" s="11" t="n">
        <x:v>40</x:v>
      </x:c>
      <x:c r="F142" s="12" t="n">
        <x:v>125.57</x:v>
      </x:c>
      <x:c r="G142" s="12" t="n">
        <x:v>5022.799999999999</x:v>
      </x:c>
      <x:c r="H142" s="13" t="n">
        <x:v>388</x:v>
      </x:c>
      <x:c r="I142" s="13" t="n">
        <x:f>YEAR(B142)</x:f>
        <x:v>2024</x:v>
      </x:c>
      <x:c r="J142" s="13" t="n">
        <x:f>MONTH(B142)</x:f>
        <x:v>4</x:v>
      </x:c>
      <x:c r="K142" s="14" t="n">
        <x:f>ROUND(E142*F142-G142,10)</x:f>
        <x:v>0</x:v>
      </x:c>
      <x:c r="L142" s="2"/>
      <x:c r="M142" s="2"/>
      <x:c r="N142" s="2"/>
      <x:c r="O142" s="2"/>
      <x:c r="P142" s="2"/>
      <x:c r="Q142" s="2"/>
      <x:c r="R142" s="2"/>
    </x:row>
    <x:row r="143" ht="22" customHeight="1">
      <x:c r="A143" s="2" t="n">
        <x:v>100137</x:v>
      </x:c>
      <x:c r="B143" s="10" t="n">
        <x:v>45645</x:v>
      </x:c>
      <x:c r="C143" s="2" t="str">
        <x:v>Argentina</x:v>
      </x:c>
      <x:c r="D143" s="2" t="str">
        <x:v>Moda Feminina</x:v>
      </x:c>
      <x:c r="E143" s="11" t="n">
        <x:v>45</x:v>
      </x:c>
      <x:c r="F143" s="12" t="n">
        <x:v>114.69</x:v>
      </x:c>
      <x:c r="G143" s="12" t="n">
        <x:v>5161.05</x:v>
      </x:c>
      <x:c r="H143" s="13" t="n">
        <x:v>121</x:v>
      </x:c>
      <x:c r="I143" s="13" t="n">
        <x:f>YEAR(B143)</x:f>
        <x:v>2024</x:v>
      </x:c>
      <x:c r="J143" s="13" t="n">
        <x:f>MONTH(B143)</x:f>
        <x:v>12</x:v>
      </x:c>
      <x:c r="K143" s="14" t="n">
        <x:f>ROUND(E143*F143-G143,10)</x:f>
        <x:v>0</x:v>
      </x:c>
      <x:c r="L143" s="2"/>
      <x:c r="M143" s="2"/>
      <x:c r="N143" s="2"/>
      <x:c r="O143" s="2"/>
      <x:c r="P143" s="2"/>
      <x:c r="Q143" s="2"/>
      <x:c r="R143" s="2"/>
    </x:row>
    <x:row r="144" ht="22" customHeight="1">
      <x:c r="A144" s="2" t="n">
        <x:v>100138</x:v>
      </x:c>
      <x:c r="B144" s="10" t="n">
        <x:v>45487</x:v>
      </x:c>
      <x:c r="C144" s="2" t="str">
        <x:v>Peru</x:v>
      </x:c>
      <x:c r="D144" s="2" t="str">
        <x:v>Moda Infantil</x:v>
      </x:c>
      <x:c r="E144" s="11" t="n">
        <x:v>2</x:v>
      </x:c>
      <x:c r="F144" s="12" t="n">
        <x:v>156.68</x:v>
      </x:c>
      <x:c r="G144" s="12" t="n">
        <x:v>313.36</x:v>
      </x:c>
      <x:c r="H144" s="13" t="n">
        <x:v>467</x:v>
      </x:c>
      <x:c r="I144" s="13" t="n">
        <x:f>YEAR(B144)</x:f>
        <x:v>2024</x:v>
      </x:c>
      <x:c r="J144" s="13" t="n">
        <x:f>MONTH(B144)</x:f>
        <x:v>7</x:v>
      </x:c>
      <x:c r="K144" s="14" t="n">
        <x:f>ROUND(E144*F144-G144,10)</x:f>
        <x:v>0</x:v>
      </x:c>
      <x:c r="L144" s="2"/>
      <x:c r="M144" s="2"/>
      <x:c r="N144" s="2"/>
      <x:c r="O144" s="2"/>
      <x:c r="P144" s="2"/>
      <x:c r="Q144" s="2"/>
      <x:c r="R144" s="2"/>
    </x:row>
    <x:row r="145" ht="22" customHeight="1">
      <x:c r="A145" s="2" t="n">
        <x:v>100139</x:v>
      </x:c>
      <x:c r="B145" s="10" t="n">
        <x:v>45490</x:v>
      </x:c>
      <x:c r="C145" s="2" t="str">
        <x:v>Chile</x:v>
      </x:c>
      <x:c r="D145" s="2" t="str">
        <x:v>Acessórios</x:v>
      </x:c>
      <x:c r="E145" s="11" t="n">
        <x:v>30</x:v>
      </x:c>
      <x:c r="F145" s="12" t="n">
        <x:v>148.28</x:v>
      </x:c>
      <x:c r="G145" s="12" t="n">
        <x:v>4448.4</x:v>
      </x:c>
      <x:c r="H145" s="13" t="n">
        <x:v>435</x:v>
      </x:c>
      <x:c r="I145" s="13" t="n">
        <x:f>YEAR(B145)</x:f>
        <x:v>2024</x:v>
      </x:c>
      <x:c r="J145" s="13" t="n">
        <x:f>MONTH(B145)</x:f>
        <x:v>7</x:v>
      </x:c>
      <x:c r="K145" s="14" t="n">
        <x:f>ROUND(E145*F145-G145,10)</x:f>
        <x:v>0</x:v>
      </x:c>
      <x:c r="L145" s="2"/>
      <x:c r="M145" s="2"/>
      <x:c r="N145" s="2"/>
      <x:c r="O145" s="2"/>
      <x:c r="P145" s="2"/>
      <x:c r="Q145" s="2"/>
      <x:c r="R145" s="2"/>
    </x:row>
    <x:row r="146" ht="22" customHeight="1">
      <x:c r="A146" s="2" t="n">
        <x:v>100140</x:v>
      </x:c>
      <x:c r="B146" s="10" t="n">
        <x:v>45207</x:v>
      </x:c>
      <x:c r="C146" s="2" t="str">
        <x:v>Brasil</x:v>
      </x:c>
      <x:c r="D146" s="2" t="str">
        <x:v>Moda Infantil</x:v>
      </x:c>
      <x:c r="E146" s="11" t="n">
        <x:v>30</x:v>
      </x:c>
      <x:c r="F146" s="12" t="n">
        <x:v>54.77</x:v>
      </x:c>
      <x:c r="G146" s="12" t="n">
        <x:v>1643.1</x:v>
      </x:c>
      <x:c r="H146" s="13" t="n">
        <x:v>332</x:v>
      </x:c>
      <x:c r="I146" s="13" t="n">
        <x:f>YEAR(B146)</x:f>
        <x:v>2023</x:v>
      </x:c>
      <x:c r="J146" s="13" t="n">
        <x:f>MONTH(B146)</x:f>
        <x:v>10</x:v>
      </x:c>
      <x:c r="K146" s="14" t="n">
        <x:f>ROUND(E146*F146-G146,10)</x:f>
        <x:v>0</x:v>
      </x:c>
      <x:c r="L146" s="2"/>
      <x:c r="M146" s="2"/>
      <x:c r="N146" s="2"/>
      <x:c r="O146" s="2"/>
      <x:c r="P146" s="2"/>
      <x:c r="Q146" s="2"/>
      <x:c r="R146" s="2"/>
    </x:row>
    <x:row r="147" ht="22" customHeight="1">
      <x:c r="A147" s="2" t="n">
        <x:v>100141</x:v>
      </x:c>
      <x:c r="B147" s="10" t="n">
        <x:v>45149</x:v>
      </x:c>
      <x:c r="C147" s="2" t="str">
        <x:v>Argentina</x:v>
      </x:c>
      <x:c r="D147" s="2" t="str">
        <x:v>Acessórios</x:v>
      </x:c>
      <x:c r="E147" s="11" t="n">
        <x:v>12</x:v>
      </x:c>
      <x:c r="F147" s="12" t="n">
        <x:v>104.84</x:v>
      </x:c>
      <x:c r="G147" s="12" t="n">
        <x:v>1258.08</x:v>
      </x:c>
      <x:c r="H147" s="13" t="n">
        <x:v>123</x:v>
      </x:c>
      <x:c r="I147" s="13" t="n">
        <x:f>YEAR(B147)</x:f>
        <x:v>2023</x:v>
      </x:c>
      <x:c r="J147" s="13" t="n">
        <x:f>MONTH(B147)</x:f>
        <x:v>8</x:v>
      </x:c>
      <x:c r="K147" s="14" t="n">
        <x:f>ROUND(E147*F147-G147,10)</x:f>
        <x:v>0</x:v>
      </x:c>
      <x:c r="L147" s="2"/>
      <x:c r="M147" s="2"/>
      <x:c r="N147" s="2"/>
      <x:c r="O147" s="2"/>
      <x:c r="P147" s="2"/>
      <x:c r="Q147" s="2"/>
      <x:c r="R147" s="2"/>
    </x:row>
    <x:row r="148" ht="22" customHeight="1">
      <x:c r="A148" s="2" t="n">
        <x:v>100142</x:v>
      </x:c>
      <x:c r="B148" s="10" t="n">
        <x:v>45615</x:v>
      </x:c>
      <x:c r="C148" s="2" t="str">
        <x:v>Argentina</x:v>
      </x:c>
      <x:c r="D148" s="2" t="str">
        <x:v>Moda Masculina</x:v>
      </x:c>
      <x:c r="E148" s="11" t="n">
        <x:v>10</x:v>
      </x:c>
      <x:c r="F148" s="12" t="n">
        <x:v>105.05</x:v>
      </x:c>
      <x:c r="G148" s="12" t="n">
        <x:v>1050.5</x:v>
      </x:c>
      <x:c r="H148" s="13" t="n">
        <x:v>404</x:v>
      </x:c>
      <x:c r="I148" s="13" t="n">
        <x:f>YEAR(B148)</x:f>
        <x:v>2024</x:v>
      </x:c>
      <x:c r="J148" s="13" t="n">
        <x:f>MONTH(B148)</x:f>
        <x:v>11</x:v>
      </x:c>
      <x:c r="K148" s="14" t="n">
        <x:f>ROUND(E148*F148-G148,10)</x:f>
        <x:v>0</x:v>
      </x:c>
      <x:c r="L148" s="2"/>
      <x:c r="M148" s="2"/>
      <x:c r="N148" s="2"/>
      <x:c r="O148" s="2"/>
      <x:c r="P148" s="2"/>
      <x:c r="Q148" s="2"/>
      <x:c r="R148" s="2"/>
    </x:row>
    <x:row r="149" ht="22" customHeight="1">
      <x:c r="A149" s="2" t="n">
        <x:v>100143</x:v>
      </x:c>
      <x:c r="B149" s="10" t="n">
        <x:v>45074</x:v>
      </x:c>
      <x:c r="C149" s="2" t="str">
        <x:v>Colômbia</x:v>
      </x:c>
      <x:c r="D149" s="2" t="str">
        <x:v>Moda Masculina</x:v>
      </x:c>
      <x:c r="E149" s="11" t="n">
        <x:v>44</x:v>
      </x:c>
      <x:c r="F149" s="12" t="n">
        <x:v>88.08</x:v>
      </x:c>
      <x:c r="G149" s="12" t="n">
        <x:v>3875.52</x:v>
      </x:c>
      <x:c r="H149" s="13" t="n">
        <x:v>264</x:v>
      </x:c>
      <x:c r="I149" s="13" t="n">
        <x:f>YEAR(B149)</x:f>
        <x:v>2023</x:v>
      </x:c>
      <x:c r="J149" s="13" t="n">
        <x:f>MONTH(B149)</x:f>
        <x:v>5</x:v>
      </x:c>
      <x:c r="K149" s="14" t="n">
        <x:f>ROUND(E149*F149-G149,10)</x:f>
        <x:v>0</x:v>
      </x:c>
      <x:c r="L149" s="2"/>
      <x:c r="M149" s="2"/>
      <x:c r="N149" s="2"/>
      <x:c r="O149" s="2"/>
      <x:c r="P149" s="2"/>
      <x:c r="Q149" s="2"/>
      <x:c r="R149" s="2"/>
    </x:row>
    <x:row r="150" ht="22" customHeight="1">
      <x:c r="A150" s="2" t="n">
        <x:v>100144</x:v>
      </x:c>
      <x:c r="B150" s="10" t="n">
        <x:v>44983</x:v>
      </x:c>
      <x:c r="C150" s="2" t="str">
        <x:v>México</x:v>
      </x:c>
      <x:c r="D150" s="2" t="str">
        <x:v>Calçados</x:v>
      </x:c>
      <x:c r="E150" s="11" t="n">
        <x:v>11</x:v>
      </x:c>
      <x:c r="F150" s="12" t="n">
        <x:v>113.11</x:v>
      </x:c>
      <x:c r="G150" s="12" t="n">
        <x:v>1244.21</x:v>
      </x:c>
      <x:c r="H150" s="13" t="n">
        <x:v>377</x:v>
      </x:c>
      <x:c r="I150" s="13" t="n">
        <x:f>YEAR(B150)</x:f>
        <x:v>2023</x:v>
      </x:c>
      <x:c r="J150" s="13" t="n">
        <x:f>MONTH(B150)</x:f>
        <x:v>2</x:v>
      </x:c>
      <x:c r="K150" s="14" t="n">
        <x:f>ROUND(E150*F150-G150,10)</x:f>
        <x:v>0</x:v>
      </x:c>
      <x:c r="L150" s="2"/>
      <x:c r="M150" s="2"/>
      <x:c r="N150" s="2"/>
      <x:c r="O150" s="2"/>
      <x:c r="P150" s="2"/>
      <x:c r="Q150" s="2"/>
      <x:c r="R150" s="2"/>
    </x:row>
    <x:row r="151" ht="22" customHeight="1">
      <x:c r="A151" s="2" t="n">
        <x:v>100145</x:v>
      </x:c>
      <x:c r="B151" s="10" t="n">
        <x:v>45232</x:v>
      </x:c>
      <x:c r="C151" s="2" t="str">
        <x:v>Chile</x:v>
      </x:c>
      <x:c r="D151" s="2" t="str">
        <x:v>Acessórios</x:v>
      </x:c>
      <x:c r="E151" s="11" t="n">
        <x:v>15</x:v>
      </x:c>
      <x:c r="F151" s="12" t="n">
        <x:v>94.36</x:v>
      </x:c>
      <x:c r="G151" s="12" t="n">
        <x:v>1415.4</x:v>
      </x:c>
      <x:c r="H151" s="13" t="n">
        <x:v>72</x:v>
      </x:c>
      <x:c r="I151" s="13" t="n">
        <x:f>YEAR(B151)</x:f>
        <x:v>2023</x:v>
      </x:c>
      <x:c r="J151" s="13" t="n">
        <x:f>MONTH(B151)</x:f>
        <x:v>11</x:v>
      </x:c>
      <x:c r="K151" s="14" t="n">
        <x:f>ROUND(E151*F151-G151,10)</x:f>
        <x:v>0</x:v>
      </x:c>
      <x:c r="L151" s="2"/>
      <x:c r="M151" s="2"/>
      <x:c r="N151" s="2"/>
      <x:c r="O151" s="2"/>
      <x:c r="P151" s="2"/>
      <x:c r="Q151" s="2"/>
      <x:c r="R151" s="2"/>
    </x:row>
    <x:row r="152" ht="22" customHeight="1">
      <x:c r="A152" s="2" t="n">
        <x:v>100146</x:v>
      </x:c>
      <x:c r="B152" s="10" t="n">
        <x:v>45505</x:v>
      </x:c>
      <x:c r="C152" s="2" t="str">
        <x:v>Brasil</x:v>
      </x:c>
      <x:c r="D152" s="2" t="str">
        <x:v>Calçados</x:v>
      </x:c>
      <x:c r="E152" s="11" t="n">
        <x:v>16</x:v>
      </x:c>
      <x:c r="F152" s="12" t="n">
        <x:v>55.88</x:v>
      </x:c>
      <x:c r="G152" s="12" t="n">
        <x:v>894.08</x:v>
      </x:c>
      <x:c r="H152" s="13" t="n">
        <x:v>117</x:v>
      </x:c>
      <x:c r="I152" s="13" t="n">
        <x:f>YEAR(B152)</x:f>
        <x:v>2024</x:v>
      </x:c>
      <x:c r="J152" s="13" t="n">
        <x:f>MONTH(B152)</x:f>
        <x:v>8</x:v>
      </x:c>
      <x:c r="K152" s="14" t="n">
        <x:f>ROUND(E152*F152-G152,10)</x:f>
        <x:v>0</x:v>
      </x:c>
      <x:c r="L152" s="2"/>
      <x:c r="M152" s="2"/>
      <x:c r="N152" s="2"/>
      <x:c r="O152" s="2"/>
      <x:c r="P152" s="2"/>
      <x:c r="Q152" s="2"/>
      <x:c r="R152" s="2"/>
    </x:row>
    <x:row r="153" ht="22" customHeight="1">
      <x:c r="A153" s="2" t="n">
        <x:v>100147</x:v>
      </x:c>
      <x:c r="B153" s="10" t="n">
        <x:v>45095</x:v>
      </x:c>
      <x:c r="C153" s="2" t="str">
        <x:v>Colômbia</x:v>
      </x:c>
      <x:c r="D153" s="2" t="str">
        <x:v>Moda Feminina</x:v>
      </x:c>
      <x:c r="E153" s="11" t="n">
        <x:v>17</x:v>
      </x:c>
      <x:c r="F153" s="12" t="n">
        <x:v>94.23</x:v>
      </x:c>
      <x:c r="G153" s="12" t="n">
        <x:v>1601.91</x:v>
      </x:c>
      <x:c r="H153" s="13" t="n">
        <x:v>447</x:v>
      </x:c>
      <x:c r="I153" s="13" t="n">
        <x:f>YEAR(B153)</x:f>
        <x:v>2023</x:v>
      </x:c>
      <x:c r="J153" s="13" t="n">
        <x:f>MONTH(B153)</x:f>
        <x:v>6</x:v>
      </x:c>
      <x:c r="K153" s="14" t="n">
        <x:f>ROUND(E153*F153-G153,10)</x:f>
        <x:v>0</x:v>
      </x:c>
      <x:c r="L153" s="2"/>
      <x:c r="M153" s="2"/>
      <x:c r="N153" s="2"/>
      <x:c r="O153" s="2"/>
      <x:c r="P153" s="2"/>
      <x:c r="Q153" s="2"/>
      <x:c r="R153" s="2"/>
    </x:row>
    <x:row r="154" ht="22" customHeight="1">
      <x:c r="A154" s="2" t="n">
        <x:v>100148</x:v>
      </x:c>
      <x:c r="B154" s="10" t="n">
        <x:v>45558</x:v>
      </x:c>
      <x:c r="C154" s="2" t="str">
        <x:v>México</x:v>
      </x:c>
      <x:c r="D154" s="2" t="str">
        <x:v>Acessórios</x:v>
      </x:c>
      <x:c r="E154" s="11" t="n">
        <x:v>26</x:v>
      </x:c>
      <x:c r="F154" s="12" t="n">
        <x:v>33.01</x:v>
      </x:c>
      <x:c r="G154" s="12" t="n">
        <x:v>858.26</x:v>
      </x:c>
      <x:c r="H154" s="13" t="n">
        <x:v>496</x:v>
      </x:c>
      <x:c r="I154" s="13" t="n">
        <x:f>YEAR(B154)</x:f>
        <x:v>2024</x:v>
      </x:c>
      <x:c r="J154" s="13" t="n">
        <x:f>MONTH(B154)</x:f>
        <x:v>9</x:v>
      </x:c>
      <x:c r="K154" s="14" t="n">
        <x:f>ROUND(E154*F154-G154,10)</x:f>
        <x:v>0</x:v>
      </x:c>
      <x:c r="L154" s="2"/>
      <x:c r="M154" s="2"/>
      <x:c r="N154" s="2"/>
      <x:c r="O154" s="2"/>
      <x:c r="P154" s="2"/>
      <x:c r="Q154" s="2"/>
      <x:c r="R154" s="2"/>
    </x:row>
    <x:row r="155" ht="22" customHeight="1">
      <x:c r="A155" s="2" t="n">
        <x:v>100149</x:v>
      </x:c>
      <x:c r="B155" s="10" t="n">
        <x:v>45459</x:v>
      </x:c>
      <x:c r="C155" s="2" t="str">
        <x:v>Colômbia</x:v>
      </x:c>
      <x:c r="D155" s="2" t="str">
        <x:v>Moda Infantil</x:v>
      </x:c>
      <x:c r="E155" s="11" t="n">
        <x:v>2</x:v>
      </x:c>
      <x:c r="F155" s="12" t="n">
        <x:v>123.64</x:v>
      </x:c>
      <x:c r="G155" s="12" t="n">
        <x:v>247.28</x:v>
      </x:c>
      <x:c r="H155" s="13" t="n">
        <x:v>422</x:v>
      </x:c>
      <x:c r="I155" s="13" t="n">
        <x:f>YEAR(B155)</x:f>
        <x:v>2024</x:v>
      </x:c>
      <x:c r="J155" s="13" t="n">
        <x:f>MONTH(B155)</x:f>
        <x:v>6</x:v>
      </x:c>
      <x:c r="K155" s="14" t="n">
        <x:f>ROUND(E155*F155-G155,10)</x:f>
        <x:v>0</x:v>
      </x:c>
      <x:c r="L155" s="2"/>
      <x:c r="M155" s="2"/>
      <x:c r="N155" s="2"/>
      <x:c r="O155" s="2"/>
      <x:c r="P155" s="2"/>
      <x:c r="Q155" s="2"/>
      <x:c r="R155" s="2"/>
    </x:row>
    <x:row r="156" ht="22" customHeight="1">
      <x:c r="A156" s="2" t="n">
        <x:v>100150</x:v>
      </x:c>
      <x:c r="B156" s="10" t="n">
        <x:v>44964</x:v>
      </x:c>
      <x:c r="C156" s="2" t="str">
        <x:v>Peru</x:v>
      </x:c>
      <x:c r="D156" s="2" t="str">
        <x:v>Moda Feminina</x:v>
      </x:c>
      <x:c r="E156" s="11" t="n">
        <x:v>12</x:v>
      </x:c>
      <x:c r="F156" s="12" t="n">
        <x:v>173.66</x:v>
      </x:c>
      <x:c r="G156" s="12" t="n">
        <x:v>2083.92</x:v>
      </x:c>
      <x:c r="H156" s="13" t="n">
        <x:v>411</x:v>
      </x:c>
      <x:c r="I156" s="13" t="n">
        <x:f>YEAR(B156)</x:f>
        <x:v>2023</x:v>
      </x:c>
      <x:c r="J156" s="13" t="n">
        <x:f>MONTH(B156)</x:f>
        <x:v>2</x:v>
      </x:c>
      <x:c r="K156" s="14" t="n">
        <x:f>ROUND(E156*F156-G156,10)</x:f>
        <x:v>0</x:v>
      </x:c>
      <x:c r="L156" s="2"/>
      <x:c r="M156" s="2"/>
      <x:c r="N156" s="2"/>
      <x:c r="O156" s="2"/>
      <x:c r="P156" s="2"/>
      <x:c r="Q156" s="2"/>
      <x:c r="R156" s="2"/>
    </x:row>
    <x:row r="157" ht="22" customHeight="1">
      <x:c r="A157" s="2" t="n">
        <x:v>100151</x:v>
      </x:c>
      <x:c r="B157" s="10" t="n">
        <x:v>45087</x:v>
      </x:c>
      <x:c r="C157" s="2" t="str">
        <x:v>México</x:v>
      </x:c>
      <x:c r="D157" s="2" t="str">
        <x:v>Moda Feminina</x:v>
      </x:c>
      <x:c r="E157" s="11" t="n">
        <x:v>26</x:v>
      </x:c>
      <x:c r="F157" s="12" t="n">
        <x:v>150.55</x:v>
      </x:c>
      <x:c r="G157" s="12" t="n">
        <x:v>3914.3</x:v>
      </x:c>
      <x:c r="H157" s="13" t="n">
        <x:v>142</x:v>
      </x:c>
      <x:c r="I157" s="13" t="n">
        <x:f>YEAR(B157)</x:f>
        <x:v>2023</x:v>
      </x:c>
      <x:c r="J157" s="13" t="n">
        <x:f>MONTH(B157)</x:f>
        <x:v>6</x:v>
      </x:c>
      <x:c r="K157" s="14" t="n">
        <x:f>ROUND(E157*F157-G157,10)</x:f>
        <x:v>0</x:v>
      </x:c>
      <x:c r="L157" s="2"/>
      <x:c r="M157" s="2"/>
      <x:c r="N157" s="2"/>
      <x:c r="O157" s="2"/>
      <x:c r="P157" s="2"/>
      <x:c r="Q157" s="2"/>
      <x:c r="R157" s="2"/>
    </x:row>
    <x:row r="158" ht="22" customHeight="1">
      <x:c r="A158" s="2" t="n">
        <x:v>100152</x:v>
      </x:c>
      <x:c r="B158" s="10" t="n">
        <x:v>45085</x:v>
      </x:c>
      <x:c r="C158" s="2" t="str">
        <x:v>México</x:v>
      </x:c>
      <x:c r="D158" s="2" t="str">
        <x:v>Moda Infantil</x:v>
      </x:c>
      <x:c r="E158" s="11" t="n">
        <x:v>23</x:v>
      </x:c>
      <x:c r="F158" s="12" t="n">
        <x:v>84.87</x:v>
      </x:c>
      <x:c r="G158" s="12" t="n">
        <x:v>1952.01</x:v>
      </x:c>
      <x:c r="H158" s="13" t="n">
        <x:v>370</x:v>
      </x:c>
      <x:c r="I158" s="13" t="n">
        <x:f>YEAR(B158)</x:f>
        <x:v>2023</x:v>
      </x:c>
      <x:c r="J158" s="13" t="n">
        <x:f>MONTH(B158)</x:f>
        <x:v>6</x:v>
      </x:c>
      <x:c r="K158" s="14" t="n">
        <x:f>ROUND(E158*F158-G158,10)</x:f>
        <x:v>0</x:v>
      </x:c>
      <x:c r="L158" s="2"/>
      <x:c r="M158" s="2"/>
      <x:c r="N158" s="2"/>
      <x:c r="O158" s="2"/>
      <x:c r="P158" s="2"/>
      <x:c r="Q158" s="2"/>
      <x:c r="R158" s="2"/>
    </x:row>
    <x:row r="159" ht="22" customHeight="1">
      <x:c r="A159" s="2" t="n">
        <x:v>100153</x:v>
      </x:c>
      <x:c r="B159" s="10" t="n">
        <x:v>45654</x:v>
      </x:c>
      <x:c r="C159" s="2" t="str">
        <x:v>Chile</x:v>
      </x:c>
      <x:c r="D159" s="2" t="str">
        <x:v>Moda Feminina</x:v>
      </x:c>
      <x:c r="E159" s="11" t="n">
        <x:v>18</x:v>
      </x:c>
      <x:c r="F159" s="12" t="n">
        <x:v>35.67</x:v>
      </x:c>
      <x:c r="G159" s="12" t="n">
        <x:v>642.0600000000001</x:v>
      </x:c>
      <x:c r="H159" s="13" t="n">
        <x:v>373</x:v>
      </x:c>
      <x:c r="I159" s="13" t="n">
        <x:f>YEAR(B159)</x:f>
        <x:v>2024</x:v>
      </x:c>
      <x:c r="J159" s="13" t="n">
        <x:f>MONTH(B159)</x:f>
        <x:v>12</x:v>
      </x:c>
      <x:c r="K159" s="14" t="n">
        <x:f>ROUND(E159*F159-G159,10)</x:f>
        <x:v>0</x:v>
      </x:c>
      <x:c r="L159" s="2"/>
      <x:c r="M159" s="2"/>
      <x:c r="N159" s="2"/>
      <x:c r="O159" s="2"/>
      <x:c r="P159" s="2"/>
      <x:c r="Q159" s="2"/>
      <x:c r="R159" s="2"/>
    </x:row>
    <x:row r="160" ht="22" customHeight="1">
      <x:c r="A160" s="2" t="n">
        <x:v>100154</x:v>
      </x:c>
      <x:c r="B160" s="10" t="n">
        <x:v>45328</x:v>
      </x:c>
      <x:c r="C160" s="2" t="str">
        <x:v>México</x:v>
      </x:c>
      <x:c r="D160" s="2" t="str">
        <x:v>Acessórios</x:v>
      </x:c>
      <x:c r="E160" s="11" t="n">
        <x:v>32</x:v>
      </x:c>
      <x:c r="F160" s="12" t="n">
        <x:v>56.39</x:v>
      </x:c>
      <x:c r="G160" s="12" t="n">
        <x:v>1804.48</x:v>
      </x:c>
      <x:c r="H160" s="13" t="n">
        <x:v>433</x:v>
      </x:c>
      <x:c r="I160" s="13" t="n">
        <x:f>YEAR(B160)</x:f>
        <x:v>2024</x:v>
      </x:c>
      <x:c r="J160" s="13" t="n">
        <x:f>MONTH(B160)</x:f>
        <x:v>2</x:v>
      </x:c>
      <x:c r="K160" s="14" t="n">
        <x:f>ROUND(E160*F160-G160,10)</x:f>
        <x:v>0</x:v>
      </x:c>
      <x:c r="L160" s="2"/>
      <x:c r="M160" s="2"/>
      <x:c r="N160" s="2"/>
      <x:c r="O160" s="2"/>
      <x:c r="P160" s="2"/>
      <x:c r="Q160" s="2"/>
      <x:c r="R160" s="2"/>
    </x:row>
    <x:row r="161" ht="22" customHeight="1">
      <x:c r="A161" s="2" t="n">
        <x:v>100155</x:v>
      </x:c>
      <x:c r="B161" s="10" t="n">
        <x:v>45051</x:v>
      </x:c>
      <x:c r="C161" s="2" t="str">
        <x:v>Colômbia</x:v>
      </x:c>
      <x:c r="D161" s="2" t="str">
        <x:v>Calçados</x:v>
      </x:c>
      <x:c r="E161" s="11" t="n">
        <x:v>49</x:v>
      </x:c>
      <x:c r="F161" s="12" t="n">
        <x:v>118.19</x:v>
      </x:c>
      <x:c r="G161" s="12" t="n">
        <x:v>5791.309999999999</x:v>
      </x:c>
      <x:c r="H161" s="13" t="n">
        <x:v>112</x:v>
      </x:c>
      <x:c r="I161" s="13" t="n">
        <x:f>YEAR(B161)</x:f>
        <x:v>2023</x:v>
      </x:c>
      <x:c r="J161" s="13" t="n">
        <x:f>MONTH(B161)</x:f>
        <x:v>5</x:v>
      </x:c>
      <x:c r="K161" s="14" t="n">
        <x:f>ROUND(E161*F161-G161,10)</x:f>
        <x:v>0</x:v>
      </x:c>
      <x:c r="L161" s="2"/>
      <x:c r="M161" s="2"/>
      <x:c r="N161" s="2"/>
      <x:c r="O161" s="2"/>
      <x:c r="P161" s="2"/>
      <x:c r="Q161" s="2"/>
      <x:c r="R161" s="2"/>
    </x:row>
    <x:row r="162" ht="22" customHeight="1">
      <x:c r="A162" s="2" t="n">
        <x:v>100156</x:v>
      </x:c>
      <x:c r="B162" s="10" t="n">
        <x:v>45307</x:v>
      </x:c>
      <x:c r="C162" s="2" t="str">
        <x:v>México</x:v>
      </x:c>
      <x:c r="D162" s="2" t="str">
        <x:v>Moda Feminina</x:v>
      </x:c>
      <x:c r="E162" s="11" t="n">
        <x:v>38</x:v>
      </x:c>
      <x:c r="F162" s="12" t="n">
        <x:v>57.27</x:v>
      </x:c>
      <x:c r="G162" s="12" t="n">
        <x:v>2176.26</x:v>
      </x:c>
      <x:c r="H162" s="13" t="n">
        <x:v>273</x:v>
      </x:c>
      <x:c r="I162" s="13" t="n">
        <x:f>YEAR(B162)</x:f>
        <x:v>2024</x:v>
      </x:c>
      <x:c r="J162" s="13" t="n">
        <x:f>MONTH(B162)</x:f>
        <x:v>1</x:v>
      </x:c>
      <x:c r="K162" s="14" t="n">
        <x:f>ROUND(E162*F162-G162,10)</x:f>
        <x:v>0</x:v>
      </x:c>
      <x:c r="L162" s="2"/>
      <x:c r="M162" s="2"/>
      <x:c r="N162" s="2"/>
      <x:c r="O162" s="2"/>
      <x:c r="P162" s="2"/>
      <x:c r="Q162" s="2"/>
      <x:c r="R162" s="2"/>
    </x:row>
    <x:row r="163" ht="22" customHeight="1">
      <x:c r="A163" s="2" t="n">
        <x:v>100157</x:v>
      </x:c>
      <x:c r="B163" s="10" t="n">
        <x:v>45170</x:v>
      </x:c>
      <x:c r="C163" s="2" t="str">
        <x:v>Chile</x:v>
      </x:c>
      <x:c r="D163" s="2" t="str">
        <x:v>Acessórios</x:v>
      </x:c>
      <x:c r="E163" s="11" t="n">
        <x:v>47</x:v>
      </x:c>
      <x:c r="F163" s="12" t="n">
        <x:v>117.92</x:v>
      </x:c>
      <x:c r="G163" s="12" t="n">
        <x:v>5542.24</x:v>
      </x:c>
      <x:c r="H163" s="13" t="n">
        <x:v>274</x:v>
      </x:c>
      <x:c r="I163" s="13" t="n">
        <x:f>YEAR(B163)</x:f>
        <x:v>2023</x:v>
      </x:c>
      <x:c r="J163" s="13" t="n">
        <x:f>MONTH(B163)</x:f>
        <x:v>9</x:v>
      </x:c>
      <x:c r="K163" s="14" t="n">
        <x:f>ROUND(E163*F163-G163,10)</x:f>
        <x:v>0</x:v>
      </x:c>
      <x:c r="L163" s="2"/>
      <x:c r="M163" s="2"/>
      <x:c r="N163" s="2"/>
      <x:c r="O163" s="2"/>
      <x:c r="P163" s="2"/>
      <x:c r="Q163" s="2"/>
      <x:c r="R163" s="2"/>
    </x:row>
    <x:row r="164" ht="22" customHeight="1">
      <x:c r="A164" s="2" t="n">
        <x:v>100158</x:v>
      </x:c>
      <x:c r="B164" s="10" t="n">
        <x:v>45462</x:v>
      </x:c>
      <x:c r="C164" s="2" t="str">
        <x:v>Chile</x:v>
      </x:c>
      <x:c r="D164" s="2" t="str">
        <x:v>Moda Masculina</x:v>
      </x:c>
      <x:c r="E164" s="11" t="n">
        <x:v>3</x:v>
      </x:c>
      <x:c r="F164" s="12" t="n">
        <x:v>61.69</x:v>
      </x:c>
      <x:c r="G164" s="12" t="n">
        <x:v>185.07</x:v>
      </x:c>
      <x:c r="H164" s="13" t="n">
        <x:v>418</x:v>
      </x:c>
      <x:c r="I164" s="13" t="n">
        <x:f>YEAR(B164)</x:f>
        <x:v>2024</x:v>
      </x:c>
      <x:c r="J164" s="13" t="n">
        <x:f>MONTH(B164)</x:f>
        <x:v>6</x:v>
      </x:c>
      <x:c r="K164" s="14" t="n">
        <x:f>ROUND(E164*F164-G164,10)</x:f>
        <x:v>0</x:v>
      </x:c>
      <x:c r="L164" s="2"/>
      <x:c r="M164" s="2"/>
      <x:c r="N164" s="2"/>
      <x:c r="O164" s="2"/>
      <x:c r="P164" s="2"/>
      <x:c r="Q164" s="2"/>
      <x:c r="R164" s="2"/>
    </x:row>
    <x:row r="165" ht="22" customHeight="1">
      <x:c r="A165" s="2" t="n">
        <x:v>100159</x:v>
      </x:c>
      <x:c r="B165" s="10" t="n">
        <x:v>45025</x:v>
      </x:c>
      <x:c r="C165" s="2" t="str">
        <x:v>Peru</x:v>
      </x:c>
      <x:c r="D165" s="2" t="str">
        <x:v>Acessórios</x:v>
      </x:c>
      <x:c r="E165" s="11" t="n">
        <x:v>38</x:v>
      </x:c>
      <x:c r="F165" s="12" t="n">
        <x:v>172.81</x:v>
      </x:c>
      <x:c r="G165" s="12" t="n">
        <x:v>6566.78</x:v>
      </x:c>
      <x:c r="H165" s="13" t="n">
        <x:v>395</x:v>
      </x:c>
      <x:c r="I165" s="13" t="n">
        <x:f>YEAR(B165)</x:f>
        <x:v>2023</x:v>
      </x:c>
      <x:c r="J165" s="13" t="n">
        <x:f>MONTH(B165)</x:f>
        <x:v>4</x:v>
      </x:c>
      <x:c r="K165" s="14" t="n">
        <x:f>ROUND(E165*F165-G165,10)</x:f>
        <x:v>0</x:v>
      </x:c>
      <x:c r="L165" s="2"/>
      <x:c r="M165" s="2"/>
      <x:c r="N165" s="2"/>
      <x:c r="O165" s="2"/>
      <x:c r="P165" s="2"/>
      <x:c r="Q165" s="2"/>
      <x:c r="R165" s="2"/>
    </x:row>
    <x:row r="166" ht="22" customHeight="1">
      <x:c r="A166" s="2" t="n">
        <x:v>100160</x:v>
      </x:c>
      <x:c r="B166" s="10" t="n">
        <x:v>45347</x:v>
      </x:c>
      <x:c r="C166" s="2" t="str">
        <x:v>Colômbia</x:v>
      </x:c>
      <x:c r="D166" s="2" t="str">
        <x:v>Calçados</x:v>
      </x:c>
      <x:c r="E166" s="11" t="n">
        <x:v>3</x:v>
      </x:c>
      <x:c r="F166" s="12" t="n">
        <x:v>91.51</x:v>
      </x:c>
      <x:c r="G166" s="12" t="n">
        <x:v>274.53</x:v>
      </x:c>
      <x:c r="H166" s="13" t="n">
        <x:v>386</x:v>
      </x:c>
      <x:c r="I166" s="13" t="n">
        <x:f>YEAR(B166)</x:f>
        <x:v>2024</x:v>
      </x:c>
      <x:c r="J166" s="13" t="n">
        <x:f>MONTH(B166)</x:f>
        <x:v>2</x:v>
      </x:c>
      <x:c r="K166" s="14" t="n">
        <x:f>ROUND(E166*F166-G166,10)</x:f>
        <x:v>0</x:v>
      </x:c>
      <x:c r="L166" s="2"/>
      <x:c r="M166" s="2"/>
      <x:c r="N166" s="2"/>
      <x:c r="O166" s="2"/>
      <x:c r="P166" s="2"/>
      <x:c r="Q166" s="2"/>
      <x:c r="R166" s="2"/>
    </x:row>
    <x:row r="167" ht="22" customHeight="1">
      <x:c r="A167" s="2" t="n">
        <x:v>100161</x:v>
      </x:c>
      <x:c r="B167" s="10" t="n">
        <x:v>45375</x:v>
      </x:c>
      <x:c r="C167" s="2" t="str">
        <x:v>Argentina</x:v>
      </x:c>
      <x:c r="D167" s="2" t="str">
        <x:v>Acessórios</x:v>
      </x:c>
      <x:c r="E167" s="11" t="n">
        <x:v>30</x:v>
      </x:c>
      <x:c r="F167" s="12" t="n">
        <x:v>64.2</x:v>
      </x:c>
      <x:c r="G167" s="12" t="n">
        <x:v>1926</x:v>
      </x:c>
      <x:c r="H167" s="13" t="n">
        <x:v>152</x:v>
      </x:c>
      <x:c r="I167" s="13" t="n">
        <x:f>YEAR(B167)</x:f>
        <x:v>2024</x:v>
      </x:c>
      <x:c r="J167" s="13" t="n">
        <x:f>MONTH(B167)</x:f>
        <x:v>3</x:v>
      </x:c>
      <x:c r="K167" s="14" t="n">
        <x:f>ROUND(E167*F167-G167,10)</x:f>
        <x:v>0</x:v>
      </x:c>
      <x:c r="L167" s="2"/>
      <x:c r="M167" s="2"/>
      <x:c r="N167" s="2"/>
      <x:c r="O167" s="2"/>
      <x:c r="P167" s="2"/>
      <x:c r="Q167" s="2"/>
      <x:c r="R167" s="2"/>
    </x:row>
    <x:row r="168" ht="22" customHeight="1">
      <x:c r="A168" s="2" t="n">
        <x:v>100162</x:v>
      </x:c>
      <x:c r="B168" s="10" t="n">
        <x:v>45171</x:v>
      </x:c>
      <x:c r="C168" s="2" t="str">
        <x:v>Argentina</x:v>
      </x:c>
      <x:c r="D168" s="2" t="str">
        <x:v>Moda Infantil</x:v>
      </x:c>
      <x:c r="E168" s="11" t="n">
        <x:v>1</x:v>
      </x:c>
      <x:c r="F168" s="12" t="n">
        <x:v>166.22</x:v>
      </x:c>
      <x:c r="G168" s="12" t="n">
        <x:v>166.22</x:v>
      </x:c>
      <x:c r="H168" s="13" t="n">
        <x:v>264</x:v>
      </x:c>
      <x:c r="I168" s="13" t="n">
        <x:f>YEAR(B168)</x:f>
        <x:v>2023</x:v>
      </x:c>
      <x:c r="J168" s="13" t="n">
        <x:f>MONTH(B168)</x:f>
        <x:v>9</x:v>
      </x:c>
      <x:c r="K168" s="14" t="n">
        <x:f>ROUND(E168*F168-G168,10)</x:f>
        <x:v>0</x:v>
      </x:c>
      <x:c r="L168" s="2"/>
      <x:c r="M168" s="2"/>
      <x:c r="N168" s="2"/>
      <x:c r="O168" s="2"/>
      <x:c r="P168" s="2"/>
      <x:c r="Q168" s="2"/>
      <x:c r="R168" s="2"/>
    </x:row>
    <x:row r="169" ht="22" customHeight="1">
      <x:c r="A169" s="2" t="n">
        <x:v>100163</x:v>
      </x:c>
      <x:c r="B169" s="10" t="n">
        <x:v>45363</x:v>
      </x:c>
      <x:c r="C169" s="2" t="str">
        <x:v>México</x:v>
      </x:c>
      <x:c r="D169" s="2" t="str">
        <x:v>Calçados</x:v>
      </x:c>
      <x:c r="E169" s="11" t="n">
        <x:v>30</x:v>
      </x:c>
      <x:c r="F169" s="12" t="n">
        <x:v>81.71</x:v>
      </x:c>
      <x:c r="G169" s="12" t="n">
        <x:v>2451.3</x:v>
      </x:c>
      <x:c r="H169" s="13" t="n">
        <x:v>241</x:v>
      </x:c>
      <x:c r="I169" s="13" t="n">
        <x:f>YEAR(B169)</x:f>
        <x:v>2024</x:v>
      </x:c>
      <x:c r="J169" s="13" t="n">
        <x:f>MONTH(B169)</x:f>
        <x:v>3</x:v>
      </x:c>
      <x:c r="K169" s="14" t="n">
        <x:f>ROUND(E169*F169-G169,10)</x:f>
        <x:v>0</x:v>
      </x:c>
      <x:c r="L169" s="2"/>
      <x:c r="M169" s="2"/>
      <x:c r="N169" s="2"/>
      <x:c r="O169" s="2"/>
      <x:c r="P169" s="2"/>
      <x:c r="Q169" s="2"/>
      <x:c r="R169" s="2"/>
    </x:row>
    <x:row r="170" ht="22" customHeight="1">
      <x:c r="A170" s="2" t="n">
        <x:v>100164</x:v>
      </x:c>
      <x:c r="B170" s="10" t="n">
        <x:v>45101</x:v>
      </x:c>
      <x:c r="C170" s="2" t="str">
        <x:v>Peru</x:v>
      </x:c>
      <x:c r="D170" s="2" t="str">
        <x:v>Moda Masculina</x:v>
      </x:c>
      <x:c r="E170" s="11" t="n">
        <x:v>45</x:v>
      </x:c>
      <x:c r="F170" s="12" t="n">
        <x:v>40.07</x:v>
      </x:c>
      <x:c r="G170" s="12" t="n">
        <x:v>1803.15</x:v>
      </x:c>
      <x:c r="H170" s="13" t="n">
        <x:v>209</x:v>
      </x:c>
      <x:c r="I170" s="13" t="n">
        <x:f>YEAR(B170)</x:f>
        <x:v>2023</x:v>
      </x:c>
      <x:c r="J170" s="13" t="n">
        <x:f>MONTH(B170)</x:f>
        <x:v>6</x:v>
      </x:c>
      <x:c r="K170" s="14" t="n">
        <x:f>ROUND(E170*F170-G170,10)</x:f>
        <x:v>0</x:v>
      </x:c>
      <x:c r="L170" s="2"/>
      <x:c r="M170" s="2"/>
      <x:c r="N170" s="2"/>
      <x:c r="O170" s="2"/>
      <x:c r="P170" s="2"/>
      <x:c r="Q170" s="2"/>
      <x:c r="R170" s="2"/>
    </x:row>
    <x:row r="171" ht="22" customHeight="1">
      <x:c r="A171" s="2" t="n">
        <x:v>100165</x:v>
      </x:c>
      <x:c r="B171" s="10" t="n">
        <x:v>45310</x:v>
      </x:c>
      <x:c r="C171" s="2" t="str">
        <x:v>Brasil</x:v>
      </x:c>
      <x:c r="D171" s="2" t="str">
        <x:v>Moda Infantil</x:v>
      </x:c>
      <x:c r="E171" s="11" t="n">
        <x:v>32</x:v>
      </x:c>
      <x:c r="F171" s="12" t="n">
        <x:v>122.67</x:v>
      </x:c>
      <x:c r="G171" s="12" t="n">
        <x:v>3925.44</x:v>
      </x:c>
      <x:c r="H171" s="13" t="n">
        <x:v>421</x:v>
      </x:c>
      <x:c r="I171" s="13" t="n">
        <x:f>YEAR(B171)</x:f>
        <x:v>2024</x:v>
      </x:c>
      <x:c r="J171" s="13" t="n">
        <x:f>MONTH(B171)</x:f>
        <x:v>1</x:v>
      </x:c>
      <x:c r="K171" s="14" t="n">
        <x:f>ROUND(E171*F171-G171,10)</x:f>
        <x:v>0</x:v>
      </x:c>
      <x:c r="L171" s="2"/>
      <x:c r="M171" s="2"/>
      <x:c r="N171" s="2"/>
      <x:c r="O171" s="2"/>
      <x:c r="P171" s="2"/>
      <x:c r="Q171" s="2"/>
      <x:c r="R171" s="2"/>
    </x:row>
    <x:row r="172" ht="22" customHeight="1">
      <x:c r="A172" s="2" t="n">
        <x:v>100166</x:v>
      </x:c>
      <x:c r="B172" s="10" t="n">
        <x:v>45581</x:v>
      </x:c>
      <x:c r="C172" s="2" t="str">
        <x:v>México</x:v>
      </x:c>
      <x:c r="D172" s="2" t="str">
        <x:v>Acessórios</x:v>
      </x:c>
      <x:c r="E172" s="11" t="n">
        <x:v>28</x:v>
      </x:c>
      <x:c r="F172" s="12" t="n">
        <x:v>124.68</x:v>
      </x:c>
      <x:c r="G172" s="12" t="n">
        <x:v>3491.04</x:v>
      </x:c>
      <x:c r="H172" s="13" t="n">
        <x:v>256</x:v>
      </x:c>
      <x:c r="I172" s="13" t="n">
        <x:f>YEAR(B172)</x:f>
        <x:v>2024</x:v>
      </x:c>
      <x:c r="J172" s="13" t="n">
        <x:f>MONTH(B172)</x:f>
        <x:v>10</x:v>
      </x:c>
      <x:c r="K172" s="14" t="n">
        <x:f>ROUND(E172*F172-G172,10)</x:f>
        <x:v>0</x:v>
      </x:c>
      <x:c r="L172" s="2"/>
      <x:c r="M172" s="2"/>
      <x:c r="N172" s="2"/>
      <x:c r="O172" s="2"/>
      <x:c r="P172" s="2"/>
      <x:c r="Q172" s="2"/>
      <x:c r="R172" s="2"/>
    </x:row>
    <x:row r="173" ht="22" customHeight="1">
      <x:c r="A173" s="2" t="n">
        <x:v>100167</x:v>
      </x:c>
      <x:c r="B173" s="10" t="n">
        <x:v>45119</x:v>
      </x:c>
      <x:c r="C173" s="2" t="str">
        <x:v>Peru</x:v>
      </x:c>
      <x:c r="D173" s="2" t="str">
        <x:v>Calçados</x:v>
      </x:c>
      <x:c r="E173" s="11" t="n">
        <x:v>21</x:v>
      </x:c>
      <x:c r="F173" s="12" t="n">
        <x:v>148.65</x:v>
      </x:c>
      <x:c r="G173" s="12" t="n">
        <x:v>3121.65</x:v>
      </x:c>
      <x:c r="H173" s="13" t="n">
        <x:v>318</x:v>
      </x:c>
      <x:c r="I173" s="13" t="n">
        <x:f>YEAR(B173)</x:f>
        <x:v>2023</x:v>
      </x:c>
      <x:c r="J173" s="13" t="n">
        <x:f>MONTH(B173)</x:f>
        <x:v>7</x:v>
      </x:c>
      <x:c r="K173" s="14" t="n">
        <x:f>ROUND(E173*F173-G173,10)</x:f>
        <x:v>0</x:v>
      </x:c>
      <x:c r="L173" s="2"/>
      <x:c r="M173" s="2"/>
      <x:c r="N173" s="2"/>
      <x:c r="O173" s="2"/>
      <x:c r="P173" s="2"/>
      <x:c r="Q173" s="2"/>
      <x:c r="R173" s="2"/>
    </x:row>
    <x:row r="174" ht="22" customHeight="1">
      <x:c r="A174" s="2" t="n">
        <x:v>100168</x:v>
      </x:c>
      <x:c r="B174" s="10" t="n">
        <x:v>45446</x:v>
      </x:c>
      <x:c r="C174" s="2" t="str">
        <x:v>Colômbia</x:v>
      </x:c>
      <x:c r="D174" s="2" t="str">
        <x:v>Moda Masculina</x:v>
      </x:c>
      <x:c r="E174" s="11" t="n">
        <x:v>46</x:v>
      </x:c>
      <x:c r="F174" s="12" t="n">
        <x:v>63.24</x:v>
      </x:c>
      <x:c r="G174" s="12" t="n">
        <x:v>2909.04</x:v>
      </x:c>
      <x:c r="H174" s="13" t="n">
        <x:v>243</x:v>
      </x:c>
      <x:c r="I174" s="13" t="n">
        <x:f>YEAR(B174)</x:f>
        <x:v>2024</x:v>
      </x:c>
      <x:c r="J174" s="13" t="n">
        <x:f>MONTH(B174)</x:f>
        <x:v>6</x:v>
      </x:c>
      <x:c r="K174" s="14" t="n">
        <x:f>ROUND(E174*F174-G174,10)</x:f>
        <x:v>0</x:v>
      </x:c>
      <x:c r="L174" s="2"/>
      <x:c r="M174" s="2"/>
      <x:c r="N174" s="2"/>
      <x:c r="O174" s="2"/>
      <x:c r="P174" s="2"/>
      <x:c r="Q174" s="2"/>
      <x:c r="R174" s="2"/>
    </x:row>
    <x:row r="175" ht="22" customHeight="1">
      <x:c r="A175" s="2" t="n">
        <x:v>100169</x:v>
      </x:c>
      <x:c r="B175" s="10" t="n">
        <x:v>45376</x:v>
      </x:c>
      <x:c r="C175" s="2" t="str">
        <x:v>Colômbia</x:v>
      </x:c>
      <x:c r="D175" s="2" t="str">
        <x:v>Moda Infantil</x:v>
      </x:c>
      <x:c r="E175" s="11" t="n">
        <x:v>13</x:v>
      </x:c>
      <x:c r="F175" s="12" t="n">
        <x:v>99.88</x:v>
      </x:c>
      <x:c r="G175" s="12" t="n">
        <x:v>1298.44</x:v>
      </x:c>
      <x:c r="H175" s="13" t="n">
        <x:v>429</x:v>
      </x:c>
      <x:c r="I175" s="13" t="n">
        <x:f>YEAR(B175)</x:f>
        <x:v>2024</x:v>
      </x:c>
      <x:c r="J175" s="13" t="n">
        <x:f>MONTH(B175)</x:f>
        <x:v>3</x:v>
      </x:c>
      <x:c r="K175" s="14" t="n">
        <x:f>ROUND(E175*F175-G175,10)</x:f>
        <x:v>0</x:v>
      </x:c>
      <x:c r="L175" s="2"/>
      <x:c r="M175" s="2"/>
      <x:c r="N175" s="2"/>
      <x:c r="O175" s="2"/>
      <x:c r="P175" s="2"/>
      <x:c r="Q175" s="2"/>
      <x:c r="R175" s="2"/>
    </x:row>
    <x:row r="176" ht="22" customHeight="1">
      <x:c r="A176" s="2" t="n">
        <x:v>100170</x:v>
      </x:c>
      <x:c r="B176" s="10" t="n">
        <x:v>45261</x:v>
      </x:c>
      <x:c r="C176" s="2" t="str">
        <x:v>Colômbia</x:v>
      </x:c>
      <x:c r="D176" s="2" t="str">
        <x:v>Moda Masculina</x:v>
      </x:c>
      <x:c r="E176" s="11" t="n">
        <x:v>27</x:v>
      </x:c>
      <x:c r="F176" s="12" t="n">
        <x:v>70.83</x:v>
      </x:c>
      <x:c r="G176" s="12" t="n">
        <x:v>1912.41</x:v>
      </x:c>
      <x:c r="H176" s="13" t="n">
        <x:v>452</x:v>
      </x:c>
      <x:c r="I176" s="13" t="n">
        <x:f>YEAR(B176)</x:f>
        <x:v>2023</x:v>
      </x:c>
      <x:c r="J176" s="13" t="n">
        <x:f>MONTH(B176)</x:f>
        <x:v>12</x:v>
      </x:c>
      <x:c r="K176" s="14" t="n">
        <x:f>ROUND(E176*F176-G176,10)</x:f>
        <x:v>0</x:v>
      </x:c>
      <x:c r="L176" s="2"/>
      <x:c r="M176" s="2"/>
      <x:c r="N176" s="2"/>
      <x:c r="O176" s="2"/>
      <x:c r="P176" s="2"/>
      <x:c r="Q176" s="2"/>
      <x:c r="R176" s="2"/>
    </x:row>
    <x:row r="177" ht="22" customHeight="1">
      <x:c r="A177" s="2" t="n">
        <x:v>100171</x:v>
      </x:c>
      <x:c r="B177" s="10" t="n">
        <x:v>45633</x:v>
      </x:c>
      <x:c r="C177" s="2" t="str">
        <x:v>Colômbia</x:v>
      </x:c>
      <x:c r="D177" s="2" t="str">
        <x:v>Acessórios</x:v>
      </x:c>
      <x:c r="E177" s="11" t="n">
        <x:v>36</x:v>
      </x:c>
      <x:c r="F177" s="12" t="n">
        <x:v>34.57</x:v>
      </x:c>
      <x:c r="G177" s="12" t="n">
        <x:v>1244.52</x:v>
      </x:c>
      <x:c r="H177" s="13" t="n">
        <x:v>201</x:v>
      </x:c>
      <x:c r="I177" s="13" t="n">
        <x:f>YEAR(B177)</x:f>
        <x:v>2024</x:v>
      </x:c>
      <x:c r="J177" s="13" t="n">
        <x:f>MONTH(B177)</x:f>
        <x:v>12</x:v>
      </x:c>
      <x:c r="K177" s="14" t="n">
        <x:f>ROUND(E177*F177-G177,10)</x:f>
        <x:v>0</x:v>
      </x:c>
      <x:c r="L177" s="2"/>
      <x:c r="M177" s="2"/>
      <x:c r="N177" s="2"/>
      <x:c r="O177" s="2"/>
      <x:c r="P177" s="2"/>
      <x:c r="Q177" s="2"/>
      <x:c r="R177" s="2"/>
    </x:row>
    <x:row r="178" ht="22" customHeight="1">
      <x:c r="A178" s="2" t="n">
        <x:v>100172</x:v>
      </x:c>
      <x:c r="B178" s="10" t="n">
        <x:v>45269</x:v>
      </x:c>
      <x:c r="C178" s="2" t="str">
        <x:v>Colômbia</x:v>
      </x:c>
      <x:c r="D178" s="2" t="str">
        <x:v>Moda Masculina</x:v>
      </x:c>
      <x:c r="E178" s="11" t="n">
        <x:v>7</x:v>
      </x:c>
      <x:c r="F178" s="12" t="n">
        <x:v>177.79</x:v>
      </x:c>
      <x:c r="G178" s="12" t="n">
        <x:v>1244.53</x:v>
      </x:c>
      <x:c r="H178" s="13" t="n">
        <x:v>286</x:v>
      </x:c>
      <x:c r="I178" s="13" t="n">
        <x:f>YEAR(B178)</x:f>
        <x:v>2023</x:v>
      </x:c>
      <x:c r="J178" s="13" t="n">
        <x:f>MONTH(B178)</x:f>
        <x:v>12</x:v>
      </x:c>
      <x:c r="K178" s="14" t="n">
        <x:f>ROUND(E178*F178-G178,10)</x:f>
        <x:v>0</x:v>
      </x:c>
      <x:c r="L178" s="2"/>
      <x:c r="M178" s="2"/>
      <x:c r="N178" s="2"/>
      <x:c r="O178" s="2"/>
      <x:c r="P178" s="2"/>
      <x:c r="Q178" s="2"/>
      <x:c r="R178" s="2"/>
    </x:row>
    <x:row r="179" ht="22" customHeight="1">
      <x:c r="A179" s="2" t="n">
        <x:v>100173</x:v>
      </x:c>
      <x:c r="B179" s="10" t="n">
        <x:v>45373</x:v>
      </x:c>
      <x:c r="C179" s="2" t="str">
        <x:v>Peru</x:v>
      </x:c>
      <x:c r="D179" s="2" t="str">
        <x:v>Moda Feminina</x:v>
      </x:c>
      <x:c r="E179" s="11" t="n">
        <x:v>22</x:v>
      </x:c>
      <x:c r="F179" s="12" t="n">
        <x:v>151.2</x:v>
      </x:c>
      <x:c r="G179" s="12" t="n">
        <x:v>3326.4</x:v>
      </x:c>
      <x:c r="H179" s="13" t="n">
        <x:v>137</x:v>
      </x:c>
      <x:c r="I179" s="13" t="n">
        <x:f>YEAR(B179)</x:f>
        <x:v>2024</x:v>
      </x:c>
      <x:c r="J179" s="13" t="n">
        <x:f>MONTH(B179)</x:f>
        <x:v>3</x:v>
      </x:c>
      <x:c r="K179" s="14" t="n">
        <x:f>ROUND(E179*F179-G179,10)</x:f>
        <x:v>0</x:v>
      </x:c>
      <x:c r="L179" s="2"/>
      <x:c r="M179" s="2"/>
      <x:c r="N179" s="2"/>
      <x:c r="O179" s="2"/>
      <x:c r="P179" s="2"/>
      <x:c r="Q179" s="2"/>
      <x:c r="R179" s="2"/>
    </x:row>
    <x:row r="180" ht="22" customHeight="1">
      <x:c r="A180" s="2" t="n">
        <x:v>100174</x:v>
      </x:c>
      <x:c r="B180" s="10" t="n">
        <x:v>45210</x:v>
      </x:c>
      <x:c r="C180" s="2" t="str">
        <x:v>Peru</x:v>
      </x:c>
      <x:c r="D180" s="2" t="str">
        <x:v>Moda Infantil</x:v>
      </x:c>
      <x:c r="E180" s="11" t="n">
        <x:v>10</x:v>
      </x:c>
      <x:c r="F180" s="12" t="n">
        <x:v>74.26</x:v>
      </x:c>
      <x:c r="G180" s="12" t="n">
        <x:v>742.6</x:v>
      </x:c>
      <x:c r="H180" s="13" t="n">
        <x:v>60</x:v>
      </x:c>
      <x:c r="I180" s="13" t="n">
        <x:f>YEAR(B180)</x:f>
        <x:v>2023</x:v>
      </x:c>
      <x:c r="J180" s="13" t="n">
        <x:f>MONTH(B180)</x:f>
        <x:v>10</x:v>
      </x:c>
      <x:c r="K180" s="14" t="n">
        <x:f>ROUND(E180*F180-G180,10)</x:f>
        <x:v>0</x:v>
      </x:c>
      <x:c r="L180" s="2"/>
      <x:c r="M180" s="2"/>
      <x:c r="N180" s="2"/>
      <x:c r="O180" s="2"/>
      <x:c r="P180" s="2"/>
      <x:c r="Q180" s="2"/>
      <x:c r="R180" s="2"/>
    </x:row>
    <x:row r="181" ht="22" customHeight="1">
      <x:c r="A181" s="2" t="n">
        <x:v>100175</x:v>
      </x:c>
      <x:c r="B181" s="10" t="n">
        <x:v>45514</x:v>
      </x:c>
      <x:c r="C181" s="2" t="str">
        <x:v>Chile</x:v>
      </x:c>
      <x:c r="D181" s="2" t="str">
        <x:v>Moda Masculina</x:v>
      </x:c>
      <x:c r="E181" s="11" t="n">
        <x:v>39</x:v>
      </x:c>
      <x:c r="F181" s="12" t="n">
        <x:v>127.89</x:v>
      </x:c>
      <x:c r="G181" s="12" t="n">
        <x:v>4987.71</x:v>
      </x:c>
      <x:c r="H181" s="13" t="n">
        <x:v>236</x:v>
      </x:c>
      <x:c r="I181" s="13" t="n">
        <x:f>YEAR(B181)</x:f>
        <x:v>2024</x:v>
      </x:c>
      <x:c r="J181" s="13" t="n">
        <x:f>MONTH(B181)</x:f>
        <x:v>8</x:v>
      </x:c>
      <x:c r="K181" s="14" t="n">
        <x:f>ROUND(E181*F181-G181,10)</x:f>
        <x:v>0</x:v>
      </x:c>
      <x:c r="L181" s="2"/>
      <x:c r="M181" s="2"/>
      <x:c r="N181" s="2"/>
      <x:c r="O181" s="2"/>
      <x:c r="P181" s="2"/>
      <x:c r="Q181" s="2"/>
      <x:c r="R181" s="2"/>
    </x:row>
    <x:row r="182" ht="22" customHeight="1">
      <x:c r="A182" s="2" t="n">
        <x:v>100176</x:v>
      </x:c>
      <x:c r="B182" s="10" t="n">
        <x:v>45082</x:v>
      </x:c>
      <x:c r="C182" s="2" t="str">
        <x:v>Argentina</x:v>
      </x:c>
      <x:c r="D182" s="2" t="str">
        <x:v>Acessórios</x:v>
      </x:c>
      <x:c r="E182" s="11" t="n">
        <x:v>15</x:v>
      </x:c>
      <x:c r="F182" s="12" t="n">
        <x:v>56.23</x:v>
      </x:c>
      <x:c r="G182" s="12" t="n">
        <x:v>843.4499999999999</x:v>
      </x:c>
      <x:c r="H182" s="13" t="n">
        <x:v>263</x:v>
      </x:c>
      <x:c r="I182" s="13" t="n">
        <x:f>YEAR(B182)</x:f>
        <x:v>2023</x:v>
      </x:c>
      <x:c r="J182" s="13" t="n">
        <x:f>MONTH(B182)</x:f>
        <x:v>6</x:v>
      </x:c>
      <x:c r="K182" s="14" t="n">
        <x:f>ROUND(E182*F182-G182,10)</x:f>
        <x:v>0</x:v>
      </x:c>
      <x:c r="L182" s="2"/>
      <x:c r="M182" s="2"/>
      <x:c r="N182" s="2"/>
      <x:c r="O182" s="2"/>
      <x:c r="P182" s="2"/>
      <x:c r="Q182" s="2"/>
      <x:c r="R182" s="2"/>
    </x:row>
    <x:row r="183" ht="22" customHeight="1">
      <x:c r="A183" s="2" t="n">
        <x:v>100177</x:v>
      </x:c>
      <x:c r="B183" s="10" t="n">
        <x:v>44980</x:v>
      </x:c>
      <x:c r="C183" s="2" t="str">
        <x:v>Colômbia</x:v>
      </x:c>
      <x:c r="D183" s="2" t="str">
        <x:v>Acessórios</x:v>
      </x:c>
      <x:c r="E183" s="11" t="n">
        <x:v>15</x:v>
      </x:c>
      <x:c r="F183" s="12" t="n">
        <x:v>180.24</x:v>
      </x:c>
      <x:c r="G183" s="12" t="n">
        <x:v>2703.6</x:v>
      </x:c>
      <x:c r="H183" s="13" t="n">
        <x:v>64</x:v>
      </x:c>
      <x:c r="I183" s="13" t="n">
        <x:f>YEAR(B183)</x:f>
        <x:v>2023</x:v>
      </x:c>
      <x:c r="J183" s="13" t="n">
        <x:f>MONTH(B183)</x:f>
        <x:v>2</x:v>
      </x:c>
      <x:c r="K183" s="14" t="n">
        <x:f>ROUND(E183*F183-G183,10)</x:f>
        <x:v>0</x:v>
      </x:c>
      <x:c r="L183" s="2"/>
      <x:c r="M183" s="2"/>
      <x:c r="N183" s="2"/>
      <x:c r="O183" s="2"/>
      <x:c r="P183" s="2"/>
      <x:c r="Q183" s="2"/>
      <x:c r="R183" s="2"/>
    </x:row>
    <x:row r="184" ht="22" customHeight="1">
      <x:c r="A184" s="2" t="n">
        <x:v>100178</x:v>
      </x:c>
      <x:c r="B184" s="10" t="n">
        <x:v>45226</x:v>
      </x:c>
      <x:c r="C184" s="2" t="str">
        <x:v>Brasil</x:v>
      </x:c>
      <x:c r="D184" s="2" t="str">
        <x:v>Moda Masculina</x:v>
      </x:c>
      <x:c r="E184" s="11" t="n">
        <x:v>4</x:v>
      </x:c>
      <x:c r="F184" s="12" t="n">
        <x:v>40.68</x:v>
      </x:c>
      <x:c r="G184" s="12" t="n">
        <x:v>162.72</x:v>
      </x:c>
      <x:c r="H184" s="13" t="n">
        <x:v>315</x:v>
      </x:c>
      <x:c r="I184" s="13" t="n">
        <x:f>YEAR(B184)</x:f>
        <x:v>2023</x:v>
      </x:c>
      <x:c r="J184" s="13" t="n">
        <x:f>MONTH(B184)</x:f>
        <x:v>10</x:v>
      </x:c>
      <x:c r="K184" s="14" t="n">
        <x:f>ROUND(E184*F184-G184,10)</x:f>
        <x:v>0</x:v>
      </x:c>
      <x:c r="L184" s="2"/>
      <x:c r="M184" s="2"/>
      <x:c r="N184" s="2"/>
      <x:c r="O184" s="2"/>
      <x:c r="P184" s="2"/>
      <x:c r="Q184" s="2"/>
      <x:c r="R184" s="2"/>
    </x:row>
    <x:row r="185" ht="22" customHeight="1">
      <x:c r="A185" s="2" t="n">
        <x:v>100179</x:v>
      </x:c>
      <x:c r="B185" s="10" t="n">
        <x:v>45234</x:v>
      </x:c>
      <x:c r="C185" s="2" t="str">
        <x:v>Peru</x:v>
      </x:c>
      <x:c r="D185" s="2" t="str">
        <x:v>Acessórios</x:v>
      </x:c>
      <x:c r="E185" s="11" t="n">
        <x:v>32</x:v>
      </x:c>
      <x:c r="F185" s="12" t="n">
        <x:v>20.69</x:v>
      </x:c>
      <x:c r="G185" s="12" t="n">
        <x:v>662.08</x:v>
      </x:c>
      <x:c r="H185" s="13" t="n">
        <x:v>346</x:v>
      </x:c>
      <x:c r="I185" s="13" t="n">
        <x:f>YEAR(B185)</x:f>
        <x:v>2023</x:v>
      </x:c>
      <x:c r="J185" s="13" t="n">
        <x:f>MONTH(B185)</x:f>
        <x:v>11</x:v>
      </x:c>
      <x:c r="K185" s="14" t="n">
        <x:f>ROUND(E185*F185-G185,10)</x:f>
        <x:v>0</x:v>
      </x:c>
      <x:c r="L185" s="2"/>
      <x:c r="M185" s="2"/>
      <x:c r="N185" s="2"/>
      <x:c r="O185" s="2"/>
      <x:c r="P185" s="2"/>
      <x:c r="Q185" s="2"/>
      <x:c r="R185" s="2"/>
    </x:row>
    <x:row r="186" ht="22" customHeight="1">
      <x:c r="A186" s="2" t="n">
        <x:v>100180</x:v>
      </x:c>
      <x:c r="B186" s="10" t="n">
        <x:v>45585</x:v>
      </x:c>
      <x:c r="C186" s="2" t="str">
        <x:v>Brasil</x:v>
      </x:c>
      <x:c r="D186" s="2" t="str">
        <x:v>Calçados</x:v>
      </x:c>
      <x:c r="E186" s="11" t="n">
        <x:v>23</x:v>
      </x:c>
      <x:c r="F186" s="12" t="n">
        <x:v>110.36</x:v>
      </x:c>
      <x:c r="G186" s="12" t="n">
        <x:v>2538.28</x:v>
      </x:c>
      <x:c r="H186" s="13" t="n">
        <x:v>460</x:v>
      </x:c>
      <x:c r="I186" s="13" t="n">
        <x:f>YEAR(B186)</x:f>
        <x:v>2024</x:v>
      </x:c>
      <x:c r="J186" s="13" t="n">
        <x:f>MONTH(B186)</x:f>
        <x:v>10</x:v>
      </x:c>
      <x:c r="K186" s="14" t="n">
        <x:f>ROUND(E186*F186-G186,10)</x:f>
        <x:v>0</x:v>
      </x:c>
      <x:c r="L186" s="2"/>
      <x:c r="M186" s="2"/>
      <x:c r="N186" s="2"/>
      <x:c r="O186" s="2"/>
      <x:c r="P186" s="2"/>
      <x:c r="Q186" s="2"/>
      <x:c r="R186" s="2"/>
    </x:row>
    <x:row r="187" ht="22" customHeight="1">
      <x:c r="A187" s="2" t="n">
        <x:v>100181</x:v>
      </x:c>
      <x:c r="B187" s="10" t="n">
        <x:v>45494</x:v>
      </x:c>
      <x:c r="C187" s="2" t="str">
        <x:v>Brasil</x:v>
      </x:c>
      <x:c r="D187" s="2" t="str">
        <x:v>Calçados</x:v>
      </x:c>
      <x:c r="E187" s="11" t="n">
        <x:v>6</x:v>
      </x:c>
      <x:c r="F187" s="12" t="n">
        <x:v>124.96</x:v>
      </x:c>
      <x:c r="G187" s="12" t="n">
        <x:v>749.76</x:v>
      </x:c>
      <x:c r="H187" s="13" t="n">
        <x:v>493</x:v>
      </x:c>
      <x:c r="I187" s="13" t="n">
        <x:f>YEAR(B187)</x:f>
        <x:v>2024</x:v>
      </x:c>
      <x:c r="J187" s="13" t="n">
        <x:f>MONTH(B187)</x:f>
        <x:v>7</x:v>
      </x:c>
      <x:c r="K187" s="14" t="n">
        <x:f>ROUND(E187*F187-G187,10)</x:f>
        <x:v>0</x:v>
      </x:c>
      <x:c r="L187" s="2"/>
      <x:c r="M187" s="2"/>
      <x:c r="N187" s="2"/>
      <x:c r="O187" s="2"/>
      <x:c r="P187" s="2"/>
      <x:c r="Q187" s="2"/>
      <x:c r="R187" s="2"/>
    </x:row>
    <x:row r="188" ht="22" customHeight="1">
      <x:c r="A188" s="2" t="n">
        <x:v>100182</x:v>
      </x:c>
      <x:c r="B188" s="10" t="n">
        <x:v>45017</x:v>
      </x:c>
      <x:c r="C188" s="2" t="str">
        <x:v>Brasil</x:v>
      </x:c>
      <x:c r="D188" s="2" t="str">
        <x:v>Calçados</x:v>
      </x:c>
      <x:c r="E188" s="11" t="n">
        <x:v>24</x:v>
      </x:c>
      <x:c r="F188" s="12" t="n">
        <x:v>124.21</x:v>
      </x:c>
      <x:c r="G188" s="12" t="n">
        <x:v>2981.04</x:v>
      </x:c>
      <x:c r="H188" s="13" t="n">
        <x:v>122</x:v>
      </x:c>
      <x:c r="I188" s="13" t="n">
        <x:f>YEAR(B188)</x:f>
        <x:v>2023</x:v>
      </x:c>
      <x:c r="J188" s="13" t="n">
        <x:f>MONTH(B188)</x:f>
        <x:v>4</x:v>
      </x:c>
      <x:c r="K188" s="14" t="n">
        <x:f>ROUND(E188*F188-G188,10)</x:f>
        <x:v>0</x:v>
      </x:c>
      <x:c r="L188" s="2"/>
      <x:c r="M188" s="2"/>
      <x:c r="N188" s="2"/>
      <x:c r="O188" s="2"/>
      <x:c r="P188" s="2"/>
      <x:c r="Q188" s="2"/>
      <x:c r="R188" s="2"/>
    </x:row>
    <x:row r="189" ht="22" customHeight="1">
      <x:c r="A189" s="2" t="n">
        <x:v>100183</x:v>
      </x:c>
      <x:c r="B189" s="10" t="n">
        <x:v>45383</x:v>
      </x:c>
      <x:c r="C189" s="2" t="str">
        <x:v>Chile</x:v>
      </x:c>
      <x:c r="D189" s="2" t="str">
        <x:v>Moda Feminina</x:v>
      </x:c>
      <x:c r="E189" s="11" t="n">
        <x:v>20</x:v>
      </x:c>
      <x:c r="F189" s="12" t="n">
        <x:v>29.81</x:v>
      </x:c>
      <x:c r="G189" s="12" t="n">
        <x:v>596.1999999999999</x:v>
      </x:c>
      <x:c r="H189" s="13" t="n">
        <x:v>101</x:v>
      </x:c>
      <x:c r="I189" s="13" t="n">
        <x:f>YEAR(B189)</x:f>
        <x:v>2024</x:v>
      </x:c>
      <x:c r="J189" s="13" t="n">
        <x:f>MONTH(B189)</x:f>
        <x:v>4</x:v>
      </x:c>
      <x:c r="K189" s="14" t="n">
        <x:f>ROUND(E189*F189-G189,10)</x:f>
        <x:v>0</x:v>
      </x:c>
      <x:c r="L189" s="2"/>
      <x:c r="M189" s="2"/>
      <x:c r="N189" s="2"/>
      <x:c r="O189" s="2"/>
      <x:c r="P189" s="2"/>
      <x:c r="Q189" s="2"/>
      <x:c r="R189" s="2"/>
    </x:row>
    <x:row r="190" ht="22" customHeight="1">
      <x:c r="A190" s="2" t="n">
        <x:v>100184</x:v>
      </x:c>
      <x:c r="B190" s="10" t="n">
        <x:v>45209</x:v>
      </x:c>
      <x:c r="C190" s="2" t="str">
        <x:v>Peru</x:v>
      </x:c>
      <x:c r="D190" s="2" t="str">
        <x:v>Moda Masculina</x:v>
      </x:c>
      <x:c r="E190" s="11" t="n">
        <x:v>37</x:v>
      </x:c>
      <x:c r="F190" s="12" t="n">
        <x:v>76.53</x:v>
      </x:c>
      <x:c r="G190" s="12" t="n">
        <x:v>2831.61</x:v>
      </x:c>
      <x:c r="H190" s="13" t="n">
        <x:v>177</x:v>
      </x:c>
      <x:c r="I190" s="13" t="n">
        <x:f>YEAR(B190)</x:f>
        <x:v>2023</x:v>
      </x:c>
      <x:c r="J190" s="13" t="n">
        <x:f>MONTH(B190)</x:f>
        <x:v>10</x:v>
      </x:c>
      <x:c r="K190" s="14" t="n">
        <x:f>ROUND(E190*F190-G190,10)</x:f>
        <x:v>0</x:v>
      </x:c>
      <x:c r="L190" s="2"/>
      <x:c r="M190" s="2"/>
      <x:c r="N190" s="2"/>
      <x:c r="O190" s="2"/>
      <x:c r="P190" s="2"/>
      <x:c r="Q190" s="2"/>
      <x:c r="R190" s="2"/>
    </x:row>
    <x:row r="191" ht="22" customHeight="1">
      <x:c r="A191" s="2" t="n">
        <x:v>100185</x:v>
      </x:c>
      <x:c r="B191" s="10" t="n">
        <x:v>44947</x:v>
      </x:c>
      <x:c r="C191" s="2" t="str">
        <x:v>Brasil</x:v>
      </x:c>
      <x:c r="D191" s="2" t="str">
        <x:v>Moda Feminina</x:v>
      </x:c>
      <x:c r="E191" s="11" t="n">
        <x:v>20</x:v>
      </x:c>
      <x:c r="F191" s="12" t="n">
        <x:v>109.86</x:v>
      </x:c>
      <x:c r="G191" s="12" t="n">
        <x:v>2197.2</x:v>
      </x:c>
      <x:c r="H191" s="13" t="n">
        <x:v>77</x:v>
      </x:c>
      <x:c r="I191" s="13" t="n">
        <x:f>YEAR(B191)</x:f>
        <x:v>2023</x:v>
      </x:c>
      <x:c r="J191" s="13" t="n">
        <x:f>MONTH(B191)</x:f>
        <x:v>1</x:v>
      </x:c>
      <x:c r="K191" s="14" t="n">
        <x:f>ROUND(E191*F191-G191,10)</x:f>
        <x:v>0</x:v>
      </x:c>
      <x:c r="L191" s="2"/>
      <x:c r="M191" s="2"/>
      <x:c r="N191" s="2"/>
      <x:c r="O191" s="2"/>
      <x:c r="P191" s="2"/>
      <x:c r="Q191" s="2"/>
      <x:c r="R191" s="2"/>
    </x:row>
    <x:row r="192" ht="22" customHeight="1">
      <x:c r="A192" s="2" t="n">
        <x:v>100186</x:v>
      </x:c>
      <x:c r="B192" s="10" t="n">
        <x:v>45540</x:v>
      </x:c>
      <x:c r="C192" s="2" t="str">
        <x:v>Colômbia</x:v>
      </x:c>
      <x:c r="D192" s="2" t="str">
        <x:v>Acessórios</x:v>
      </x:c>
      <x:c r="E192" s="11" t="n">
        <x:v>12</x:v>
      </x:c>
      <x:c r="F192" s="12" t="n">
        <x:v>58.98</x:v>
      </x:c>
      <x:c r="G192" s="12" t="n">
        <x:v>707.76</x:v>
      </x:c>
      <x:c r="H192" s="13" t="n">
        <x:v>114</x:v>
      </x:c>
      <x:c r="I192" s="13" t="n">
        <x:f>YEAR(B192)</x:f>
        <x:v>2024</x:v>
      </x:c>
      <x:c r="J192" s="13" t="n">
        <x:f>MONTH(B192)</x:f>
        <x:v>9</x:v>
      </x:c>
      <x:c r="K192" s="14" t="n">
        <x:f>ROUND(E192*F192-G192,10)</x:f>
        <x:v>0</x:v>
      </x:c>
      <x:c r="L192" s="2"/>
      <x:c r="M192" s="2"/>
      <x:c r="N192" s="2"/>
      <x:c r="O192" s="2"/>
      <x:c r="P192" s="2"/>
      <x:c r="Q192" s="2"/>
      <x:c r="R192" s="2"/>
    </x:row>
    <x:row r="193" ht="22" customHeight="1">
      <x:c r="A193" s="2" t="n">
        <x:v>100187</x:v>
      </x:c>
      <x:c r="B193" s="10" t="n">
        <x:v>45227</x:v>
      </x:c>
      <x:c r="C193" s="2" t="str">
        <x:v>México</x:v>
      </x:c>
      <x:c r="D193" s="2" t="str">
        <x:v>Moda Feminina</x:v>
      </x:c>
      <x:c r="E193" s="11" t="n">
        <x:v>33</x:v>
      </x:c>
      <x:c r="F193" s="12" t="n">
        <x:v>177.07</x:v>
      </x:c>
      <x:c r="G193" s="12" t="n">
        <x:v>5843.309999999999</x:v>
      </x:c>
      <x:c r="H193" s="13" t="n">
        <x:v>66</x:v>
      </x:c>
      <x:c r="I193" s="13" t="n">
        <x:f>YEAR(B193)</x:f>
        <x:v>2023</x:v>
      </x:c>
      <x:c r="J193" s="13" t="n">
        <x:f>MONTH(B193)</x:f>
        <x:v>10</x:v>
      </x:c>
      <x:c r="K193" s="14" t="n">
        <x:f>ROUND(E193*F193-G193,10)</x:f>
        <x:v>0</x:v>
      </x:c>
      <x:c r="L193" s="2"/>
      <x:c r="M193" s="2"/>
      <x:c r="N193" s="2"/>
      <x:c r="O193" s="2"/>
      <x:c r="P193" s="2"/>
      <x:c r="Q193" s="2"/>
      <x:c r="R193" s="2"/>
    </x:row>
    <x:row r="194" ht="22" customHeight="1">
      <x:c r="A194" s="2" t="n">
        <x:v>100188</x:v>
      </x:c>
      <x:c r="B194" s="10" t="n">
        <x:v>45304</x:v>
      </x:c>
      <x:c r="C194" s="2" t="str">
        <x:v>Brasil</x:v>
      </x:c>
      <x:c r="D194" s="2" t="str">
        <x:v>Acessórios</x:v>
      </x:c>
      <x:c r="E194" s="11" t="n">
        <x:v>28</x:v>
      </x:c>
      <x:c r="F194" s="12" t="n">
        <x:v>35.68</x:v>
      </x:c>
      <x:c r="G194" s="12" t="n">
        <x:v>999.04</x:v>
      </x:c>
      <x:c r="H194" s="13" t="n">
        <x:v>400</x:v>
      </x:c>
      <x:c r="I194" s="13" t="n">
        <x:f>YEAR(B194)</x:f>
        <x:v>2024</x:v>
      </x:c>
      <x:c r="J194" s="13" t="n">
        <x:f>MONTH(B194)</x:f>
        <x:v>1</x:v>
      </x:c>
      <x:c r="K194" s="14" t="n">
        <x:f>ROUND(E194*F194-G194,10)</x:f>
        <x:v>0</x:v>
      </x:c>
      <x:c r="L194" s="2"/>
      <x:c r="M194" s="2"/>
      <x:c r="N194" s="2"/>
      <x:c r="O194" s="2"/>
      <x:c r="P194" s="2"/>
      <x:c r="Q194" s="2"/>
      <x:c r="R194" s="2"/>
    </x:row>
    <x:row r="195" ht="22" customHeight="1">
      <x:c r="A195" s="2" t="n">
        <x:v>100189</x:v>
      </x:c>
      <x:c r="B195" s="10" t="n">
        <x:v>45232</x:v>
      </x:c>
      <x:c r="C195" s="2" t="str">
        <x:v>Chile</x:v>
      </x:c>
      <x:c r="D195" s="2" t="str">
        <x:v>Acessórios</x:v>
      </x:c>
      <x:c r="E195" s="11" t="n">
        <x:v>8</x:v>
      </x:c>
      <x:c r="F195" s="12" t="n">
        <x:v>107.73</x:v>
      </x:c>
      <x:c r="G195" s="12" t="n">
        <x:v>861.84</x:v>
      </x:c>
      <x:c r="H195" s="13" t="n">
        <x:v>477</x:v>
      </x:c>
      <x:c r="I195" s="13" t="n">
        <x:f>YEAR(B195)</x:f>
        <x:v>2023</x:v>
      </x:c>
      <x:c r="J195" s="13" t="n">
        <x:f>MONTH(B195)</x:f>
        <x:v>11</x:v>
      </x:c>
      <x:c r="K195" s="14" t="n">
        <x:f>ROUND(E195*F195-G195,10)</x:f>
        <x:v>0</x:v>
      </x:c>
      <x:c r="L195" s="2"/>
      <x:c r="M195" s="2"/>
      <x:c r="N195" s="2"/>
      <x:c r="O195" s="2"/>
      <x:c r="P195" s="2"/>
      <x:c r="Q195" s="2"/>
      <x:c r="R195" s="2"/>
    </x:row>
    <x:row r="196" ht="22" customHeight="1">
      <x:c r="A196" s="2" t="n">
        <x:v>100190</x:v>
      </x:c>
      <x:c r="B196" s="10" t="n">
        <x:v>45207</x:v>
      </x:c>
      <x:c r="C196" s="2" t="str">
        <x:v>Peru</x:v>
      </x:c>
      <x:c r="D196" s="2" t="str">
        <x:v>Moda Infantil</x:v>
      </x:c>
      <x:c r="E196" s="11" t="n">
        <x:v>1</x:v>
      </x:c>
      <x:c r="F196" s="12" t="n">
        <x:v>144.45</x:v>
      </x:c>
      <x:c r="G196" s="12" t="n">
        <x:v>144.45</x:v>
      </x:c>
      <x:c r="H196" s="13" t="n">
        <x:v>187</x:v>
      </x:c>
      <x:c r="I196" s="13" t="n">
        <x:f>YEAR(B196)</x:f>
        <x:v>2023</x:v>
      </x:c>
      <x:c r="J196" s="13" t="n">
        <x:f>MONTH(B196)</x:f>
        <x:v>10</x:v>
      </x:c>
      <x:c r="K196" s="14" t="n">
        <x:f>ROUND(E196*F196-G196,10)</x:f>
        <x:v>0</x:v>
      </x:c>
      <x:c r="L196" s="2"/>
      <x:c r="M196" s="2"/>
      <x:c r="N196" s="2"/>
      <x:c r="O196" s="2"/>
      <x:c r="P196" s="2"/>
      <x:c r="Q196" s="2"/>
      <x:c r="R196" s="2"/>
    </x:row>
    <x:row r="197" ht="22" customHeight="1">
      <x:c r="A197" s="2" t="n">
        <x:v>100191</x:v>
      </x:c>
      <x:c r="B197" s="10" t="n">
        <x:v>45452</x:v>
      </x:c>
      <x:c r="C197" s="2" t="str">
        <x:v>Chile</x:v>
      </x:c>
      <x:c r="D197" s="2" t="str">
        <x:v>Calçados</x:v>
      </x:c>
      <x:c r="E197" s="11" t="n">
        <x:v>37</x:v>
      </x:c>
      <x:c r="F197" s="12" t="n">
        <x:v>67.12</x:v>
      </x:c>
      <x:c r="G197" s="12" t="n">
        <x:v>2483.44</x:v>
      </x:c>
      <x:c r="H197" s="13" t="n">
        <x:v>368</x:v>
      </x:c>
      <x:c r="I197" s="13" t="n">
        <x:f>YEAR(B197)</x:f>
        <x:v>2024</x:v>
      </x:c>
      <x:c r="J197" s="13" t="n">
        <x:f>MONTH(B197)</x:f>
        <x:v>6</x:v>
      </x:c>
      <x:c r="K197" s="14" t="n">
        <x:f>ROUND(E197*F197-G197,10)</x:f>
        <x:v>0</x:v>
      </x:c>
      <x:c r="L197" s="2"/>
      <x:c r="M197" s="2"/>
      <x:c r="N197" s="2"/>
      <x:c r="O197" s="2"/>
      <x:c r="P197" s="2"/>
      <x:c r="Q197" s="2"/>
      <x:c r="R197" s="2"/>
    </x:row>
    <x:row r="198" ht="22" customHeight="1">
      <x:c r="A198" s="2" t="n">
        <x:v>100192</x:v>
      </x:c>
      <x:c r="B198" s="10" t="n">
        <x:v>45496</x:v>
      </x:c>
      <x:c r="C198" s="2" t="str">
        <x:v>Brasil</x:v>
      </x:c>
      <x:c r="D198" s="2" t="str">
        <x:v>Acessórios</x:v>
      </x:c>
      <x:c r="E198" s="11" t="n">
        <x:v>22</x:v>
      </x:c>
      <x:c r="F198" s="12" t="n">
        <x:v>132.36</x:v>
      </x:c>
      <x:c r="G198" s="12" t="n">
        <x:v>2911.92</x:v>
      </x:c>
      <x:c r="H198" s="13" t="n">
        <x:v>278</x:v>
      </x:c>
      <x:c r="I198" s="13" t="n">
        <x:f>YEAR(B198)</x:f>
        <x:v>2024</x:v>
      </x:c>
      <x:c r="J198" s="13" t="n">
        <x:f>MONTH(B198)</x:f>
        <x:v>7</x:v>
      </x:c>
      <x:c r="K198" s="14" t="n">
        <x:f>ROUND(E198*F198-G198,10)</x:f>
        <x:v>0</x:v>
      </x:c>
      <x:c r="L198" s="2"/>
      <x:c r="M198" s="2"/>
      <x:c r="N198" s="2"/>
      <x:c r="O198" s="2"/>
      <x:c r="P198" s="2"/>
      <x:c r="Q198" s="2"/>
      <x:c r="R198" s="2"/>
    </x:row>
    <x:row r="199" ht="22" customHeight="1">
      <x:c r="A199" s="2" t="n">
        <x:v>100193</x:v>
      </x:c>
      <x:c r="B199" s="10" t="n">
        <x:v>45509</x:v>
      </x:c>
      <x:c r="C199" s="2" t="str">
        <x:v>Peru</x:v>
      </x:c>
      <x:c r="D199" s="2" t="str">
        <x:v>Moda Infantil</x:v>
      </x:c>
      <x:c r="E199" s="11" t="n">
        <x:v>6</x:v>
      </x:c>
      <x:c r="F199" s="12" t="n">
        <x:v>169.29</x:v>
      </x:c>
      <x:c r="G199" s="12" t="n">
        <x:v>1015.74</x:v>
      </x:c>
      <x:c r="H199" s="13" t="n">
        <x:v>303</x:v>
      </x:c>
      <x:c r="I199" s="13" t="n">
        <x:f>YEAR(B199)</x:f>
        <x:v>2024</x:v>
      </x:c>
      <x:c r="J199" s="13" t="n">
        <x:f>MONTH(B199)</x:f>
        <x:v>8</x:v>
      </x:c>
      <x:c r="K199" s="14" t="n">
        <x:f>ROUND(E199*F199-G199,10)</x:f>
        <x:v>0</x:v>
      </x:c>
      <x:c r="L199" s="2"/>
      <x:c r="M199" s="2"/>
      <x:c r="N199" s="2"/>
      <x:c r="O199" s="2"/>
      <x:c r="P199" s="2"/>
      <x:c r="Q199" s="2"/>
      <x:c r="R199" s="2"/>
    </x:row>
    <x:row r="200" ht="22" customHeight="1">
      <x:c r="A200" s="2" t="n">
        <x:v>100194</x:v>
      </x:c>
      <x:c r="B200" s="10" t="n">
        <x:v>45244</x:v>
      </x:c>
      <x:c r="C200" s="2" t="str">
        <x:v>México</x:v>
      </x:c>
      <x:c r="D200" s="2" t="str">
        <x:v>Calçados</x:v>
      </x:c>
      <x:c r="E200" s="11" t="n">
        <x:v>21</x:v>
      </x:c>
      <x:c r="F200" s="12" t="n">
        <x:v>54.26</x:v>
      </x:c>
      <x:c r="G200" s="12" t="n">
        <x:v>1139.46</x:v>
      </x:c>
      <x:c r="H200" s="13" t="n">
        <x:v>259</x:v>
      </x:c>
      <x:c r="I200" s="13" t="n">
        <x:f>YEAR(B200)</x:f>
        <x:v>2023</x:v>
      </x:c>
      <x:c r="J200" s="13" t="n">
        <x:f>MONTH(B200)</x:f>
        <x:v>11</x:v>
      </x:c>
      <x:c r="K200" s="14" t="n">
        <x:f>ROUND(E200*F200-G200,10)</x:f>
        <x:v>0</x:v>
      </x:c>
      <x:c r="L200" s="2"/>
      <x:c r="M200" s="2"/>
      <x:c r="N200" s="2"/>
      <x:c r="O200" s="2"/>
      <x:c r="P200" s="2"/>
      <x:c r="Q200" s="2"/>
      <x:c r="R200" s="2"/>
    </x:row>
    <x:row r="201" ht="22" customHeight="1">
      <x:c r="A201" s="2" t="n">
        <x:v>100195</x:v>
      </x:c>
      <x:c r="B201" s="10" t="n">
        <x:v>45337</x:v>
      </x:c>
      <x:c r="C201" s="2" t="str">
        <x:v>Brasil</x:v>
      </x:c>
      <x:c r="D201" s="2" t="str">
        <x:v>Acessórios</x:v>
      </x:c>
      <x:c r="E201" s="11" t="n">
        <x:v>32</x:v>
      </x:c>
      <x:c r="F201" s="12" t="n">
        <x:v>185.1</x:v>
      </x:c>
      <x:c r="G201" s="12" t="n">
        <x:v>5923.2</x:v>
      </x:c>
      <x:c r="H201" s="13" t="n">
        <x:v>480</x:v>
      </x:c>
      <x:c r="I201" s="13" t="n">
        <x:f>YEAR(B201)</x:f>
        <x:v>2024</x:v>
      </x:c>
      <x:c r="J201" s="13" t="n">
        <x:f>MONTH(B201)</x:f>
        <x:v>2</x:v>
      </x:c>
      <x:c r="K201" s="14" t="n">
        <x:f>ROUND(E201*F201-G201,10)</x:f>
        <x:v>0</x:v>
      </x:c>
      <x:c r="L201" s="2"/>
      <x:c r="M201" s="2"/>
      <x:c r="N201" s="2"/>
      <x:c r="O201" s="2"/>
      <x:c r="P201" s="2"/>
      <x:c r="Q201" s="2"/>
      <x:c r="R201" s="2"/>
    </x:row>
    <x:row r="202" ht="22" customHeight="1">
      <x:c r="A202" s="2" t="n">
        <x:v>100196</x:v>
      </x:c>
      <x:c r="B202" s="10" t="n">
        <x:v>45224</x:v>
      </x:c>
      <x:c r="C202" s="2" t="str">
        <x:v>Chile</x:v>
      </x:c>
      <x:c r="D202" s="2" t="str">
        <x:v>Acessórios</x:v>
      </x:c>
      <x:c r="E202" s="11" t="n">
        <x:v>35</x:v>
      </x:c>
      <x:c r="F202" s="12" t="n">
        <x:v>119.64</x:v>
      </x:c>
      <x:c r="G202" s="12" t="n">
        <x:v>4187.4</x:v>
      </x:c>
      <x:c r="H202" s="13" t="n">
        <x:v>343</x:v>
      </x:c>
      <x:c r="I202" s="13" t="n">
        <x:f>YEAR(B202)</x:f>
        <x:v>2023</x:v>
      </x:c>
      <x:c r="J202" s="13" t="n">
        <x:f>MONTH(B202)</x:f>
        <x:v>10</x:v>
      </x:c>
      <x:c r="K202" s="14" t="n">
        <x:f>ROUND(E202*F202-G202,10)</x:f>
        <x:v>0</x:v>
      </x:c>
      <x:c r="L202" s="2"/>
      <x:c r="M202" s="2"/>
      <x:c r="N202" s="2"/>
      <x:c r="O202" s="2"/>
      <x:c r="P202" s="2"/>
      <x:c r="Q202" s="2"/>
      <x:c r="R202" s="2"/>
    </x:row>
    <x:row r="203" ht="22" customHeight="1">
      <x:c r="A203" s="2" t="n">
        <x:v>100197</x:v>
      </x:c>
      <x:c r="B203" s="10" t="n">
        <x:v>45027</x:v>
      </x:c>
      <x:c r="C203" s="2" t="str">
        <x:v>Argentina</x:v>
      </x:c>
      <x:c r="D203" s="2" t="str">
        <x:v>Moda Feminina</x:v>
      </x:c>
      <x:c r="E203" s="11" t="n">
        <x:v>15</x:v>
      </x:c>
      <x:c r="F203" s="12" t="n">
        <x:v>73.86</x:v>
      </x:c>
      <x:c r="G203" s="12" t="n">
        <x:v>1107.9</x:v>
      </x:c>
      <x:c r="H203" s="13" t="n">
        <x:v>280</x:v>
      </x:c>
      <x:c r="I203" s="13" t="n">
        <x:f>YEAR(B203)</x:f>
        <x:v>2023</x:v>
      </x:c>
      <x:c r="J203" s="13" t="n">
        <x:f>MONTH(B203)</x:f>
        <x:v>4</x:v>
      </x:c>
      <x:c r="K203" s="14" t="n">
        <x:f>ROUND(E203*F203-G203,10)</x:f>
        <x:v>0</x:v>
      </x:c>
      <x:c r="L203" s="2"/>
      <x:c r="M203" s="2"/>
      <x:c r="N203" s="2"/>
      <x:c r="O203" s="2"/>
      <x:c r="P203" s="2"/>
      <x:c r="Q203" s="2"/>
      <x:c r="R203" s="2"/>
    </x:row>
    <x:row r="204" ht="22" customHeight="1">
      <x:c r="A204" s="2" t="n">
        <x:v>100198</x:v>
      </x:c>
      <x:c r="B204" s="10" t="n">
        <x:v>45215</x:v>
      </x:c>
      <x:c r="C204" s="2" t="str">
        <x:v>Colômbia</x:v>
      </x:c>
      <x:c r="D204" s="2" t="str">
        <x:v>Moda Feminina</x:v>
      </x:c>
      <x:c r="E204" s="11" t="n">
        <x:v>5</x:v>
      </x:c>
      <x:c r="F204" s="12" t="n">
        <x:v>97.55</x:v>
      </x:c>
      <x:c r="G204" s="12" t="n">
        <x:v>487.75</x:v>
      </x:c>
      <x:c r="H204" s="13" t="n">
        <x:v>290</x:v>
      </x:c>
      <x:c r="I204" s="13" t="n">
        <x:f>YEAR(B204)</x:f>
        <x:v>2023</x:v>
      </x:c>
      <x:c r="J204" s="13" t="n">
        <x:f>MONTH(B204)</x:f>
        <x:v>10</x:v>
      </x:c>
      <x:c r="K204" s="14" t="n">
        <x:f>ROUND(E204*F204-G204,10)</x:f>
        <x:v>0</x:v>
      </x:c>
      <x:c r="L204" s="2"/>
      <x:c r="M204" s="2"/>
      <x:c r="N204" s="2"/>
      <x:c r="O204" s="2"/>
      <x:c r="P204" s="2"/>
      <x:c r="Q204" s="2"/>
      <x:c r="R204" s="2"/>
    </x:row>
    <x:row r="205" ht="22" customHeight="1">
      <x:c r="A205" s="2" t="n">
        <x:v>100199</x:v>
      </x:c>
      <x:c r="B205" s="10" t="n">
        <x:v>45064</x:v>
      </x:c>
      <x:c r="C205" s="2" t="str">
        <x:v>Chile</x:v>
      </x:c>
      <x:c r="D205" s="2" t="str">
        <x:v>Calçados</x:v>
      </x:c>
      <x:c r="E205" s="11" t="n">
        <x:v>46</x:v>
      </x:c>
      <x:c r="F205" s="12" t="n">
        <x:v>76.19</x:v>
      </x:c>
      <x:c r="G205" s="12" t="n">
        <x:v>3504.74</x:v>
      </x:c>
      <x:c r="H205" s="13" t="n">
        <x:v>119</x:v>
      </x:c>
      <x:c r="I205" s="13" t="n">
        <x:f>YEAR(B205)</x:f>
        <x:v>2023</x:v>
      </x:c>
      <x:c r="J205" s="13" t="n">
        <x:f>MONTH(B205)</x:f>
        <x:v>5</x:v>
      </x:c>
      <x:c r="K205" s="14" t="n">
        <x:f>ROUND(E205*F205-G205,10)</x:f>
        <x:v>0</x:v>
      </x:c>
      <x:c r="L205" s="2"/>
      <x:c r="M205" s="2"/>
      <x:c r="N205" s="2"/>
      <x:c r="O205" s="2"/>
      <x:c r="P205" s="2"/>
      <x:c r="Q205" s="2"/>
      <x:c r="R205" s="2"/>
    </x:row>
    <x:row r="206" ht="22" customHeight="1">
      <x:c r="A206" s="2" t="n">
        <x:v>100200</x:v>
      </x:c>
      <x:c r="B206" s="10" t="n">
        <x:v>44992</x:v>
      </x:c>
      <x:c r="C206" s="2" t="str">
        <x:v>Peru</x:v>
      </x:c>
      <x:c r="D206" s="2" t="str">
        <x:v>Acessórios</x:v>
      </x:c>
      <x:c r="E206" s="11" t="n">
        <x:v>48</x:v>
      </x:c>
      <x:c r="F206" s="12" t="n">
        <x:v>150.52</x:v>
      </x:c>
      <x:c r="G206" s="12" t="n">
        <x:v>7224.960000000001</x:v>
      </x:c>
      <x:c r="H206" s="13" t="n">
        <x:v>153</x:v>
      </x:c>
      <x:c r="I206" s="13" t="n">
        <x:f>YEAR(B206)</x:f>
        <x:v>2023</x:v>
      </x:c>
      <x:c r="J206" s="13" t="n">
        <x:f>MONTH(B206)</x:f>
        <x:v>3</x:v>
      </x:c>
      <x:c r="K206" s="14" t="n">
        <x:f>ROUND(E206*F206-G206,10)</x:f>
        <x:v>0</x:v>
      </x:c>
      <x:c r="L206" s="2"/>
      <x:c r="M206" s="2"/>
      <x:c r="N206" s="2"/>
      <x:c r="O206" s="2"/>
      <x:c r="P206" s="2"/>
      <x:c r="Q206" s="2"/>
      <x:c r="R206" s="2"/>
    </x:row>
    <x:row r="207" ht="22" customHeight="1">
      <x:c r="A207" s="2" t="n">
        <x:v>100201</x:v>
      </x:c>
      <x:c r="B207" s="10" t="n">
        <x:v>45157</x:v>
      </x:c>
      <x:c r="C207" s="2" t="str">
        <x:v>Brasil</x:v>
      </x:c>
      <x:c r="D207" s="2" t="str">
        <x:v>Moda Masculina</x:v>
      </x:c>
      <x:c r="E207" s="11" t="n">
        <x:v>6</x:v>
      </x:c>
      <x:c r="F207" s="12" t="n">
        <x:v>163.33</x:v>
      </x:c>
      <x:c r="G207" s="12" t="n">
        <x:v>979.98</x:v>
      </x:c>
      <x:c r="H207" s="13" t="n">
        <x:v>253</x:v>
      </x:c>
      <x:c r="I207" s="13" t="n">
        <x:f>YEAR(B207)</x:f>
        <x:v>2023</x:v>
      </x:c>
      <x:c r="J207" s="13" t="n">
        <x:f>MONTH(B207)</x:f>
        <x:v>8</x:v>
      </x:c>
      <x:c r="K207" s="14" t="n">
        <x:f>ROUND(E207*F207-G207,10)</x:f>
        <x:v>0</x:v>
      </x:c>
      <x:c r="L207" s="2"/>
      <x:c r="M207" s="2"/>
      <x:c r="N207" s="2"/>
      <x:c r="O207" s="2"/>
      <x:c r="P207" s="2"/>
      <x:c r="Q207" s="2"/>
      <x:c r="R207" s="2"/>
    </x:row>
    <x:row r="208" ht="22" customHeight="1">
      <x:c r="A208" s="2" t="n">
        <x:v>100202</x:v>
      </x:c>
      <x:c r="B208" s="10" t="n">
        <x:v>45612</x:v>
      </x:c>
      <x:c r="C208" s="2" t="str">
        <x:v>Colômbia</x:v>
      </x:c>
      <x:c r="D208" s="2" t="str">
        <x:v>Moda Feminina</x:v>
      </x:c>
      <x:c r="E208" s="11" t="n">
        <x:v>25</x:v>
      </x:c>
      <x:c r="F208" s="12" t="n">
        <x:v>169.93</x:v>
      </x:c>
      <x:c r="G208" s="12" t="n">
        <x:v>4248.25</x:v>
      </x:c>
      <x:c r="H208" s="13" t="n">
        <x:v>102</x:v>
      </x:c>
      <x:c r="I208" s="13" t="n">
        <x:f>YEAR(B208)</x:f>
        <x:v>2024</x:v>
      </x:c>
      <x:c r="J208" s="13" t="n">
        <x:f>MONTH(B208)</x:f>
        <x:v>11</x:v>
      </x:c>
      <x:c r="K208" s="14" t="n">
        <x:f>ROUND(E208*F208-G208,10)</x:f>
        <x:v>0</x:v>
      </x:c>
      <x:c r="L208" s="2"/>
      <x:c r="M208" s="2"/>
      <x:c r="N208" s="2"/>
      <x:c r="O208" s="2"/>
      <x:c r="P208" s="2"/>
      <x:c r="Q208" s="2"/>
      <x:c r="R208" s="2"/>
    </x:row>
    <x:row r="209" ht="22" customHeight="1">
      <x:c r="A209" s="2" t="n">
        <x:v>100203</x:v>
      </x:c>
      <x:c r="B209" s="10" t="n">
        <x:v>45185</x:v>
      </x:c>
      <x:c r="C209" s="2" t="str">
        <x:v>Brasil</x:v>
      </x:c>
      <x:c r="D209" s="2" t="str">
        <x:v>Calçados</x:v>
      </x:c>
      <x:c r="E209" s="11" t="n">
        <x:v>46</x:v>
      </x:c>
      <x:c r="F209" s="12" t="n">
        <x:v>197.44</x:v>
      </x:c>
      <x:c r="G209" s="12" t="n">
        <x:v>9082.24</x:v>
      </x:c>
      <x:c r="H209" s="13" t="n">
        <x:v>477</x:v>
      </x:c>
      <x:c r="I209" s="13" t="n">
        <x:f>YEAR(B209)</x:f>
        <x:v>2023</x:v>
      </x:c>
      <x:c r="J209" s="13" t="n">
        <x:f>MONTH(B209)</x:f>
        <x:v>9</x:v>
      </x:c>
      <x:c r="K209" s="14" t="n">
        <x:f>ROUND(E209*F209-G209,10)</x:f>
        <x:v>0</x:v>
      </x:c>
      <x:c r="L209" s="2"/>
      <x:c r="M209" s="2"/>
      <x:c r="N209" s="2"/>
      <x:c r="O209" s="2"/>
      <x:c r="P209" s="2"/>
      <x:c r="Q209" s="2"/>
      <x:c r="R209" s="2"/>
    </x:row>
    <x:row r="210" ht="22" customHeight="1">
      <x:c r="A210" s="2" t="n">
        <x:v>100204</x:v>
      </x:c>
      <x:c r="B210" s="10" t="n">
        <x:v>45293</x:v>
      </x:c>
      <x:c r="C210" s="2" t="str">
        <x:v>Peru</x:v>
      </x:c>
      <x:c r="D210" s="2" t="str">
        <x:v>Acessórios</x:v>
      </x:c>
      <x:c r="E210" s="11" t="n">
        <x:v>40</x:v>
      </x:c>
      <x:c r="F210" s="12" t="n">
        <x:v>162.43</x:v>
      </x:c>
      <x:c r="G210" s="12" t="n">
        <x:v>6497.200000000001</x:v>
      </x:c>
      <x:c r="H210" s="13" t="n">
        <x:v>424</x:v>
      </x:c>
      <x:c r="I210" s="13" t="n">
        <x:f>YEAR(B210)</x:f>
        <x:v>2024</x:v>
      </x:c>
      <x:c r="J210" s="13" t="n">
        <x:f>MONTH(B210)</x:f>
        <x:v>1</x:v>
      </x:c>
      <x:c r="K210" s="14" t="n">
        <x:f>ROUND(E210*F210-G210,10)</x:f>
        <x:v>0</x:v>
      </x:c>
      <x:c r="L210" s="2"/>
      <x:c r="M210" s="2"/>
      <x:c r="N210" s="2"/>
      <x:c r="O210" s="2"/>
      <x:c r="P210" s="2"/>
      <x:c r="Q210" s="2"/>
      <x:c r="R210" s="2"/>
    </x:row>
    <x:row r="211" ht="22" customHeight="1">
      <x:c r="A211" s="2" t="n">
        <x:v>100205</x:v>
      </x:c>
      <x:c r="B211" s="10" t="n">
        <x:v>45454</x:v>
      </x:c>
      <x:c r="C211" s="2" t="str">
        <x:v>Brasil</x:v>
      </x:c>
      <x:c r="D211" s="2" t="str">
        <x:v>Acessórios</x:v>
      </x:c>
      <x:c r="E211" s="11" t="n">
        <x:v>29</x:v>
      </x:c>
      <x:c r="F211" s="12" t="n">
        <x:v>128.25</x:v>
      </x:c>
      <x:c r="G211" s="12" t="n">
        <x:v>3719.25</x:v>
      </x:c>
      <x:c r="H211" s="13" t="n">
        <x:v>379</x:v>
      </x:c>
      <x:c r="I211" s="13" t="n">
        <x:f>YEAR(B211)</x:f>
        <x:v>2024</x:v>
      </x:c>
      <x:c r="J211" s="13" t="n">
        <x:f>MONTH(B211)</x:f>
        <x:v>6</x:v>
      </x:c>
      <x:c r="K211" s="14" t="n">
        <x:f>ROUND(E211*F211-G211,10)</x:f>
        <x:v>0</x:v>
      </x:c>
      <x:c r="L211" s="2"/>
      <x:c r="M211" s="2"/>
      <x:c r="N211" s="2"/>
      <x:c r="O211" s="2"/>
      <x:c r="P211" s="2"/>
      <x:c r="Q211" s="2"/>
      <x:c r="R211" s="2"/>
    </x:row>
    <x:row r="212" ht="22" customHeight="1">
      <x:c r="A212" s="2" t="n">
        <x:v>100206</x:v>
      </x:c>
      <x:c r="B212" s="10" t="n">
        <x:v>45505</x:v>
      </x:c>
      <x:c r="C212" s="2" t="str">
        <x:v>Argentina</x:v>
      </x:c>
      <x:c r="D212" s="2" t="str">
        <x:v>Moda Masculina</x:v>
      </x:c>
      <x:c r="E212" s="11" t="n">
        <x:v>7</x:v>
      </x:c>
      <x:c r="F212" s="12" t="n">
        <x:v>81.06</x:v>
      </x:c>
      <x:c r="G212" s="12" t="n">
        <x:v>567.4200000000001</x:v>
      </x:c>
      <x:c r="H212" s="13" t="n">
        <x:v>103</x:v>
      </x:c>
      <x:c r="I212" s="13" t="n">
        <x:f>YEAR(B212)</x:f>
        <x:v>2024</x:v>
      </x:c>
      <x:c r="J212" s="13" t="n">
        <x:f>MONTH(B212)</x:f>
        <x:v>8</x:v>
      </x:c>
      <x:c r="K212" s="14" t="n">
        <x:f>ROUND(E212*F212-G212,10)</x:f>
        <x:v>0</x:v>
      </x:c>
      <x:c r="L212" s="2"/>
      <x:c r="M212" s="2"/>
      <x:c r="N212" s="2"/>
      <x:c r="O212" s="2"/>
      <x:c r="P212" s="2"/>
      <x:c r="Q212" s="2"/>
      <x:c r="R212" s="2"/>
    </x:row>
    <x:row r="213" ht="22" customHeight="1">
      <x:c r="A213" s="2" t="n">
        <x:v>100207</x:v>
      </x:c>
      <x:c r="B213" s="10" t="n">
        <x:v>45221</x:v>
      </x:c>
      <x:c r="C213" s="2" t="str">
        <x:v>Colômbia</x:v>
      </x:c>
      <x:c r="D213" s="2" t="str">
        <x:v>Calçados</x:v>
      </x:c>
      <x:c r="E213" s="11" t="n">
        <x:v>40</x:v>
      </x:c>
      <x:c r="F213" s="12" t="n">
        <x:v>118.03</x:v>
      </x:c>
      <x:c r="G213" s="12" t="n">
        <x:v>4721.2</x:v>
      </x:c>
      <x:c r="H213" s="13" t="n">
        <x:v>325</x:v>
      </x:c>
      <x:c r="I213" s="13" t="n">
        <x:f>YEAR(B213)</x:f>
        <x:v>2023</x:v>
      </x:c>
      <x:c r="J213" s="13" t="n">
        <x:f>MONTH(B213)</x:f>
        <x:v>10</x:v>
      </x:c>
      <x:c r="K213" s="14" t="n">
        <x:f>ROUND(E213*F213-G213,10)</x:f>
        <x:v>0</x:v>
      </x:c>
      <x:c r="L213" s="2"/>
      <x:c r="M213" s="2"/>
      <x:c r="N213" s="2"/>
      <x:c r="O213" s="2"/>
      <x:c r="P213" s="2"/>
      <x:c r="Q213" s="2"/>
      <x:c r="R213" s="2"/>
    </x:row>
    <x:row r="214" ht="22" customHeight="1">
      <x:c r="A214" s="2" t="n">
        <x:v>100208</x:v>
      </x:c>
      <x:c r="B214" s="10" t="n">
        <x:v>45573</x:v>
      </x:c>
      <x:c r="C214" s="2" t="str">
        <x:v>Colômbia</x:v>
      </x:c>
      <x:c r="D214" s="2" t="str">
        <x:v>Acessórios</x:v>
      </x:c>
      <x:c r="E214" s="11" t="n">
        <x:v>13</x:v>
      </x:c>
      <x:c r="F214" s="12" t="n">
        <x:v>27.39</x:v>
      </x:c>
      <x:c r="G214" s="12" t="n">
        <x:v>356.07</x:v>
      </x:c>
      <x:c r="H214" s="13" t="n">
        <x:v>384</x:v>
      </x:c>
      <x:c r="I214" s="13" t="n">
        <x:f>YEAR(B214)</x:f>
        <x:v>2024</x:v>
      </x:c>
      <x:c r="J214" s="13" t="n">
        <x:f>MONTH(B214)</x:f>
        <x:v>10</x:v>
      </x:c>
      <x:c r="K214" s="14" t="n">
        <x:f>ROUND(E214*F214-G214,10)</x:f>
        <x:v>0</x:v>
      </x:c>
      <x:c r="L214" s="2"/>
      <x:c r="M214" s="2"/>
      <x:c r="N214" s="2"/>
      <x:c r="O214" s="2"/>
      <x:c r="P214" s="2"/>
      <x:c r="Q214" s="2"/>
      <x:c r="R214" s="2"/>
    </x:row>
    <x:row r="215" ht="22" customHeight="1">
      <x:c r="A215" s="2" t="n">
        <x:v>100209</x:v>
      </x:c>
      <x:c r="B215" s="10" t="n">
        <x:v>45111</x:v>
      </x:c>
      <x:c r="C215" s="2" t="str">
        <x:v>Peru</x:v>
      </x:c>
      <x:c r="D215" s="2" t="str">
        <x:v>Moda Feminina</x:v>
      </x:c>
      <x:c r="E215" s="11" t="n">
        <x:v>38</x:v>
      </x:c>
      <x:c r="F215" s="12" t="n">
        <x:v>154.07</x:v>
      </x:c>
      <x:c r="G215" s="12" t="n">
        <x:v>5854.66</x:v>
      </x:c>
      <x:c r="H215" s="13" t="n">
        <x:v>80</x:v>
      </x:c>
      <x:c r="I215" s="13" t="n">
        <x:f>YEAR(B215)</x:f>
        <x:v>2023</x:v>
      </x:c>
      <x:c r="J215" s="13" t="n">
        <x:f>MONTH(B215)</x:f>
        <x:v>7</x:v>
      </x:c>
      <x:c r="K215" s="14" t="n">
        <x:f>ROUND(E215*F215-G215,10)</x:f>
        <x:v>0</x:v>
      </x:c>
      <x:c r="L215" s="2"/>
      <x:c r="M215" s="2"/>
      <x:c r="N215" s="2"/>
      <x:c r="O215" s="2"/>
      <x:c r="P215" s="2"/>
      <x:c r="Q215" s="2"/>
      <x:c r="R215" s="2"/>
    </x:row>
    <x:row r="216" ht="22" customHeight="1">
      <x:c r="A216" s="2" t="n">
        <x:v>100210</x:v>
      </x:c>
      <x:c r="B216" s="10" t="n">
        <x:v>45631</x:v>
      </x:c>
      <x:c r="C216" s="2" t="str">
        <x:v>Argentina</x:v>
      </x:c>
      <x:c r="D216" s="2" t="str">
        <x:v>Moda Masculina</x:v>
      </x:c>
      <x:c r="E216" s="11" t="n">
        <x:v>18</x:v>
      </x:c>
      <x:c r="F216" s="12" t="n">
        <x:v>100.27</x:v>
      </x:c>
      <x:c r="G216" s="12" t="n">
        <x:v>1804.86</x:v>
      </x:c>
      <x:c r="H216" s="13" t="n">
        <x:v>184</x:v>
      </x:c>
      <x:c r="I216" s="13" t="n">
        <x:f>YEAR(B216)</x:f>
        <x:v>2024</x:v>
      </x:c>
      <x:c r="J216" s="13" t="n">
        <x:f>MONTH(B216)</x:f>
        <x:v>12</x:v>
      </x:c>
      <x:c r="K216" s="14" t="n">
        <x:f>ROUND(E216*F216-G216,10)</x:f>
        <x:v>0</x:v>
      </x:c>
      <x:c r="L216" s="2"/>
      <x:c r="M216" s="2"/>
      <x:c r="N216" s="2"/>
      <x:c r="O216" s="2"/>
      <x:c r="P216" s="2"/>
      <x:c r="Q216" s="2"/>
      <x:c r="R216" s="2"/>
    </x:row>
    <x:row r="217" ht="22" customHeight="1">
      <x:c r="A217" s="2" t="n">
        <x:v>100211</x:v>
      </x:c>
      <x:c r="B217" s="10" t="n">
        <x:v>45297</x:v>
      </x:c>
      <x:c r="C217" s="2" t="str">
        <x:v>Chile</x:v>
      </x:c>
      <x:c r="D217" s="2" t="str">
        <x:v>Calçados</x:v>
      </x:c>
      <x:c r="E217" s="11" t="n">
        <x:v>2</x:v>
      </x:c>
      <x:c r="F217" s="12" t="n">
        <x:v>23.6</x:v>
      </x:c>
      <x:c r="G217" s="12" t="n">
        <x:v>47.2</x:v>
      </x:c>
      <x:c r="H217" s="13" t="n">
        <x:v>107</x:v>
      </x:c>
      <x:c r="I217" s="13" t="n">
        <x:f>YEAR(B217)</x:f>
        <x:v>2024</x:v>
      </x:c>
      <x:c r="J217" s="13" t="n">
        <x:f>MONTH(B217)</x:f>
        <x:v>1</x:v>
      </x:c>
      <x:c r="K217" s="14" t="n">
        <x:f>ROUND(E217*F217-G217,10)</x:f>
        <x:v>0</x:v>
      </x:c>
      <x:c r="L217" s="2"/>
      <x:c r="M217" s="2"/>
      <x:c r="N217" s="2"/>
      <x:c r="O217" s="2"/>
      <x:c r="P217" s="2"/>
      <x:c r="Q217" s="2"/>
      <x:c r="R217" s="2"/>
    </x:row>
    <x:row r="218" ht="22" customHeight="1">
      <x:c r="A218" s="2" t="n">
        <x:v>100212</x:v>
      </x:c>
      <x:c r="B218" s="10" t="n">
        <x:v>45462</x:v>
      </x:c>
      <x:c r="C218" s="2" t="str">
        <x:v>Brasil</x:v>
      </x:c>
      <x:c r="D218" s="2" t="str">
        <x:v>Moda Masculina</x:v>
      </x:c>
      <x:c r="E218" s="11" t="n">
        <x:v>8</x:v>
      </x:c>
      <x:c r="F218" s="12" t="n">
        <x:v>31.25</x:v>
      </x:c>
      <x:c r="G218" s="12" t="n">
        <x:v>250</x:v>
      </x:c>
      <x:c r="H218" s="13" t="n">
        <x:v>154</x:v>
      </x:c>
      <x:c r="I218" s="13" t="n">
        <x:f>YEAR(B218)</x:f>
        <x:v>2024</x:v>
      </x:c>
      <x:c r="J218" s="13" t="n">
        <x:f>MONTH(B218)</x:f>
        <x:v>6</x:v>
      </x:c>
      <x:c r="K218" s="14" t="n">
        <x:f>ROUND(E218*F218-G218,10)</x:f>
        <x:v>0</x:v>
      </x:c>
      <x:c r="L218" s="2"/>
      <x:c r="M218" s="2"/>
      <x:c r="N218" s="2"/>
      <x:c r="O218" s="2"/>
      <x:c r="P218" s="2"/>
      <x:c r="Q218" s="2"/>
      <x:c r="R218" s="2"/>
    </x:row>
    <x:row r="219" ht="22" customHeight="1">
      <x:c r="A219" s="2" t="n">
        <x:v>100213</x:v>
      </x:c>
      <x:c r="B219" s="10" t="n">
        <x:v>45039</x:v>
      </x:c>
      <x:c r="C219" s="2" t="str">
        <x:v>México</x:v>
      </x:c>
      <x:c r="D219" s="2" t="str">
        <x:v>Moda Feminina</x:v>
      </x:c>
      <x:c r="E219" s="11" t="n">
        <x:v>11</x:v>
      </x:c>
      <x:c r="F219" s="12" t="n">
        <x:v>89.74</x:v>
      </x:c>
      <x:c r="G219" s="12" t="n">
        <x:v>987.14</x:v>
      </x:c>
      <x:c r="H219" s="13" t="n">
        <x:v>315</x:v>
      </x:c>
      <x:c r="I219" s="13" t="n">
        <x:f>YEAR(B219)</x:f>
        <x:v>2023</x:v>
      </x:c>
      <x:c r="J219" s="13" t="n">
        <x:f>MONTH(B219)</x:f>
        <x:v>4</x:v>
      </x:c>
      <x:c r="K219" s="14" t="n">
        <x:f>ROUND(E219*F219-G219,10)</x:f>
        <x:v>0</x:v>
      </x:c>
      <x:c r="L219" s="2"/>
      <x:c r="M219" s="2"/>
      <x:c r="N219" s="2"/>
      <x:c r="O219" s="2"/>
      <x:c r="P219" s="2"/>
      <x:c r="Q219" s="2"/>
      <x:c r="R219" s="2"/>
    </x:row>
    <x:row r="220" ht="22" customHeight="1">
      <x:c r="A220" s="2" t="n">
        <x:v>100214</x:v>
      </x:c>
      <x:c r="B220" s="10" t="n">
        <x:v>45648</x:v>
      </x:c>
      <x:c r="C220" s="2" t="str">
        <x:v>Brasil</x:v>
      </x:c>
      <x:c r="D220" s="2" t="str">
        <x:v>Calçados</x:v>
      </x:c>
      <x:c r="E220" s="11" t="n">
        <x:v>33</x:v>
      </x:c>
      <x:c r="F220" s="12" t="n">
        <x:v>125.02</x:v>
      </x:c>
      <x:c r="G220" s="12" t="n">
        <x:v>4125.66</x:v>
      </x:c>
      <x:c r="H220" s="13" t="n">
        <x:v>59</x:v>
      </x:c>
      <x:c r="I220" s="13" t="n">
        <x:f>YEAR(B220)</x:f>
        <x:v>2024</x:v>
      </x:c>
      <x:c r="J220" s="13" t="n">
        <x:f>MONTH(B220)</x:f>
        <x:v>12</x:v>
      </x:c>
      <x:c r="K220" s="14" t="n">
        <x:f>ROUND(E220*F220-G220,10)</x:f>
        <x:v>0</x:v>
      </x:c>
      <x:c r="L220" s="2"/>
      <x:c r="M220" s="2"/>
      <x:c r="N220" s="2"/>
      <x:c r="O220" s="2"/>
      <x:c r="P220" s="2"/>
      <x:c r="Q220" s="2"/>
      <x:c r="R220" s="2"/>
    </x:row>
    <x:row r="221" ht="22" customHeight="1">
      <x:c r="A221" s="2" t="n">
        <x:v>100215</x:v>
      </x:c>
      <x:c r="B221" s="10" t="n">
        <x:v>45220</x:v>
      </x:c>
      <x:c r="C221" s="2" t="str">
        <x:v>Brasil</x:v>
      </x:c>
      <x:c r="D221" s="2" t="str">
        <x:v>Moda Masculina</x:v>
      </x:c>
      <x:c r="E221" s="11" t="n">
        <x:v>38</x:v>
      </x:c>
      <x:c r="F221" s="12" t="n">
        <x:v>103.56</x:v>
      </x:c>
      <x:c r="G221" s="12" t="n">
        <x:v>3935.28</x:v>
      </x:c>
      <x:c r="H221" s="13" t="n">
        <x:v>302</x:v>
      </x:c>
      <x:c r="I221" s="13" t="n">
        <x:f>YEAR(B221)</x:f>
        <x:v>2023</x:v>
      </x:c>
      <x:c r="J221" s="13" t="n">
        <x:f>MONTH(B221)</x:f>
        <x:v>10</x:v>
      </x:c>
      <x:c r="K221" s="14" t="n">
        <x:f>ROUND(E221*F221-G221,10)</x:f>
        <x:v>0</x:v>
      </x:c>
      <x:c r="L221" s="2"/>
      <x:c r="M221" s="2"/>
      <x:c r="N221" s="2"/>
      <x:c r="O221" s="2"/>
      <x:c r="P221" s="2"/>
      <x:c r="Q221" s="2"/>
      <x:c r="R221" s="2"/>
    </x:row>
    <x:row r="222" ht="22" customHeight="1">
      <x:c r="A222" s="2" t="n">
        <x:v>100216</x:v>
      </x:c>
      <x:c r="B222" s="10" t="n">
        <x:v>45061</x:v>
      </x:c>
      <x:c r="C222" s="2" t="str">
        <x:v>Chile</x:v>
      </x:c>
      <x:c r="D222" s="2" t="str">
        <x:v>Moda Infantil</x:v>
      </x:c>
      <x:c r="E222" s="11" t="n">
        <x:v>48</x:v>
      </x:c>
      <x:c r="F222" s="12" t="n">
        <x:v>131.46</x:v>
      </x:c>
      <x:c r="G222" s="12" t="n">
        <x:v>6310.08</x:v>
      </x:c>
      <x:c r="H222" s="13" t="n">
        <x:v>344</x:v>
      </x:c>
      <x:c r="I222" s="13" t="n">
        <x:f>YEAR(B222)</x:f>
        <x:v>2023</x:v>
      </x:c>
      <x:c r="J222" s="13" t="n">
        <x:f>MONTH(B222)</x:f>
        <x:v>5</x:v>
      </x:c>
      <x:c r="K222" s="14" t="n">
        <x:f>ROUND(E222*F222-G222,10)</x:f>
        <x:v>0</x:v>
      </x:c>
      <x:c r="L222" s="2"/>
      <x:c r="M222" s="2"/>
      <x:c r="N222" s="2"/>
      <x:c r="O222" s="2"/>
      <x:c r="P222" s="2"/>
      <x:c r="Q222" s="2"/>
      <x:c r="R222" s="2"/>
    </x:row>
    <x:row r="223" ht="22" customHeight="1">
      <x:c r="A223" s="2" t="n">
        <x:v>100217</x:v>
      </x:c>
      <x:c r="B223" s="10" t="n">
        <x:v>45440</x:v>
      </x:c>
      <x:c r="C223" s="2" t="str">
        <x:v>Brasil</x:v>
      </x:c>
      <x:c r="D223" s="2" t="str">
        <x:v>Moda Feminina</x:v>
      </x:c>
      <x:c r="E223" s="11" t="n">
        <x:v>27</x:v>
      </x:c>
      <x:c r="F223" s="12" t="n">
        <x:v>106.45</x:v>
      </x:c>
      <x:c r="G223" s="12" t="n">
        <x:v>2874.15</x:v>
      </x:c>
      <x:c r="H223" s="13" t="n">
        <x:v>205</x:v>
      </x:c>
      <x:c r="I223" s="13" t="n">
        <x:f>YEAR(B223)</x:f>
        <x:v>2024</x:v>
      </x:c>
      <x:c r="J223" s="13" t="n">
        <x:f>MONTH(B223)</x:f>
        <x:v>5</x:v>
      </x:c>
      <x:c r="K223" s="14" t="n">
        <x:f>ROUND(E223*F223-G223,10)</x:f>
        <x:v>0</x:v>
      </x:c>
      <x:c r="L223" s="2"/>
      <x:c r="M223" s="2"/>
      <x:c r="N223" s="2"/>
      <x:c r="O223" s="2"/>
      <x:c r="P223" s="2"/>
      <x:c r="Q223" s="2"/>
      <x:c r="R223" s="2"/>
    </x:row>
    <x:row r="224" ht="22" customHeight="1">
      <x:c r="A224" s="2" t="n">
        <x:v>100218</x:v>
      </x:c>
      <x:c r="B224" s="10" t="n">
        <x:v>45308</x:v>
      </x:c>
      <x:c r="C224" s="2" t="str">
        <x:v>Argentina</x:v>
      </x:c>
      <x:c r="D224" s="2" t="str">
        <x:v>Moda Feminina</x:v>
      </x:c>
      <x:c r="E224" s="11" t="n">
        <x:v>20</x:v>
      </x:c>
      <x:c r="F224" s="12" t="n">
        <x:v>139.11</x:v>
      </x:c>
      <x:c r="G224" s="12" t="n">
        <x:v>2782.2</x:v>
      </x:c>
      <x:c r="H224" s="13" t="n">
        <x:v>207</x:v>
      </x:c>
      <x:c r="I224" s="13" t="n">
        <x:f>YEAR(B224)</x:f>
        <x:v>2024</x:v>
      </x:c>
      <x:c r="J224" s="13" t="n">
        <x:f>MONTH(B224)</x:f>
        <x:v>1</x:v>
      </x:c>
      <x:c r="K224" s="14" t="n">
        <x:f>ROUND(E224*F224-G224,10)</x:f>
        <x:v>0</x:v>
      </x:c>
      <x:c r="L224" s="2"/>
      <x:c r="M224" s="2"/>
      <x:c r="N224" s="2"/>
      <x:c r="O224" s="2"/>
      <x:c r="P224" s="2"/>
      <x:c r="Q224" s="2"/>
      <x:c r="R224" s="2"/>
    </x:row>
    <x:row r="225" ht="22" customHeight="1">
      <x:c r="A225" s="2" t="n">
        <x:v>100219</x:v>
      </x:c>
      <x:c r="B225" s="10" t="n">
        <x:v>45030</x:v>
      </x:c>
      <x:c r="C225" s="2" t="str">
        <x:v>Argentina</x:v>
      </x:c>
      <x:c r="D225" s="2" t="str">
        <x:v>Moda Feminina</x:v>
      </x:c>
      <x:c r="E225" s="11" t="n">
        <x:v>12</x:v>
      </x:c>
      <x:c r="F225" s="12" t="n">
        <x:v>59.44</x:v>
      </x:c>
      <x:c r="G225" s="12" t="n">
        <x:v>713.28</x:v>
      </x:c>
      <x:c r="H225" s="13" t="n">
        <x:v>86</x:v>
      </x:c>
      <x:c r="I225" s="13" t="n">
        <x:f>YEAR(B225)</x:f>
        <x:v>2023</x:v>
      </x:c>
      <x:c r="J225" s="13" t="n">
        <x:f>MONTH(B225)</x:f>
        <x:v>4</x:v>
      </x:c>
      <x:c r="K225" s="14" t="n">
        <x:f>ROUND(E225*F225-G225,10)</x:f>
        <x:v>0</x:v>
      </x:c>
      <x:c r="L225" s="2"/>
      <x:c r="M225" s="2"/>
      <x:c r="N225" s="2"/>
      <x:c r="O225" s="2"/>
      <x:c r="P225" s="2"/>
      <x:c r="Q225" s="2"/>
      <x:c r="R225" s="2"/>
    </x:row>
    <x:row r="226" ht="22" customHeight="1">
      <x:c r="A226" s="2" t="n">
        <x:v>100220</x:v>
      </x:c>
      <x:c r="B226" s="10" t="n">
        <x:v>45099</x:v>
      </x:c>
      <x:c r="C226" s="2" t="str">
        <x:v>Colômbia</x:v>
      </x:c>
      <x:c r="D226" s="2" t="str">
        <x:v>Moda Infantil</x:v>
      </x:c>
      <x:c r="E226" s="11" t="n">
        <x:v>43</x:v>
      </x:c>
      <x:c r="F226" s="12" t="n">
        <x:v>40.31</x:v>
      </x:c>
      <x:c r="G226" s="12" t="n">
        <x:v>1733.33</x:v>
      </x:c>
      <x:c r="H226" s="13" t="n">
        <x:v>168</x:v>
      </x:c>
      <x:c r="I226" s="13" t="n">
        <x:f>YEAR(B226)</x:f>
        <x:v>2023</x:v>
      </x:c>
      <x:c r="J226" s="13" t="n">
        <x:f>MONTH(B226)</x:f>
        <x:v>6</x:v>
      </x:c>
      <x:c r="K226" s="14" t="n">
        <x:f>ROUND(E226*F226-G226,10)</x:f>
        <x:v>0</x:v>
      </x:c>
      <x:c r="L226" s="2"/>
      <x:c r="M226" s="2"/>
      <x:c r="N226" s="2"/>
      <x:c r="O226" s="2"/>
      <x:c r="P226" s="2"/>
      <x:c r="Q226" s="2"/>
      <x:c r="R226" s="2"/>
    </x:row>
    <x:row r="227" ht="22" customHeight="1">
      <x:c r="A227" s="2" t="n">
        <x:v>100221</x:v>
      </x:c>
      <x:c r="B227" s="10" t="n">
        <x:v>44958</x:v>
      </x:c>
      <x:c r="C227" s="2" t="str">
        <x:v>Peru</x:v>
      </x:c>
      <x:c r="D227" s="2" t="str">
        <x:v>Moda Infantil</x:v>
      </x:c>
      <x:c r="E227" s="11" t="n">
        <x:v>31</x:v>
      </x:c>
      <x:c r="F227" s="12" t="n">
        <x:v>127.36</x:v>
      </x:c>
      <x:c r="G227" s="12" t="n">
        <x:v>3948.16</x:v>
      </x:c>
      <x:c r="H227" s="13" t="n">
        <x:v>116</x:v>
      </x:c>
      <x:c r="I227" s="13" t="n">
        <x:f>YEAR(B227)</x:f>
        <x:v>2023</x:v>
      </x:c>
      <x:c r="J227" s="13" t="n">
        <x:f>MONTH(B227)</x:f>
        <x:v>2</x:v>
      </x:c>
      <x:c r="K227" s="14" t="n">
        <x:f>ROUND(E227*F227-G227,10)</x:f>
        <x:v>0</x:v>
      </x:c>
      <x:c r="L227" s="2"/>
      <x:c r="M227" s="2"/>
      <x:c r="N227" s="2"/>
      <x:c r="O227" s="2"/>
      <x:c r="P227" s="2"/>
      <x:c r="Q227" s="2"/>
      <x:c r="R227" s="2"/>
    </x:row>
    <x:row r="228" ht="22" customHeight="1">
      <x:c r="A228" s="2" t="n">
        <x:v>100222</x:v>
      </x:c>
      <x:c r="B228" s="10" t="n">
        <x:v>45483</x:v>
      </x:c>
      <x:c r="C228" s="2" t="str">
        <x:v>México</x:v>
      </x:c>
      <x:c r="D228" s="2" t="str">
        <x:v>Acessórios</x:v>
      </x:c>
      <x:c r="E228" s="11" t="n">
        <x:v>27</x:v>
      </x:c>
      <x:c r="F228" s="12" t="n">
        <x:v>107.24</x:v>
      </x:c>
      <x:c r="G228" s="12" t="n">
        <x:v>2895.48</x:v>
      </x:c>
      <x:c r="H228" s="13" t="n">
        <x:v>291</x:v>
      </x:c>
      <x:c r="I228" s="13" t="n">
        <x:f>YEAR(B228)</x:f>
        <x:v>2024</x:v>
      </x:c>
      <x:c r="J228" s="13" t="n">
        <x:f>MONTH(B228)</x:f>
        <x:v>7</x:v>
      </x:c>
      <x:c r="K228" s="14" t="n">
        <x:f>ROUND(E228*F228-G228,10)</x:f>
        <x:v>0</x:v>
      </x:c>
      <x:c r="L228" s="2"/>
      <x:c r="M228" s="2"/>
      <x:c r="N228" s="2"/>
      <x:c r="O228" s="2"/>
      <x:c r="P228" s="2"/>
      <x:c r="Q228" s="2"/>
      <x:c r="R228" s="2"/>
    </x:row>
    <x:row r="229" ht="22" customHeight="1">
      <x:c r="A229" s="2" t="n">
        <x:v>100223</x:v>
      </x:c>
      <x:c r="B229" s="10" t="n">
        <x:v>45492</x:v>
      </x:c>
      <x:c r="C229" s="2" t="str">
        <x:v>Brasil</x:v>
      </x:c>
      <x:c r="D229" s="2" t="str">
        <x:v>Moda Masculina</x:v>
      </x:c>
      <x:c r="E229" s="11" t="n">
        <x:v>32</x:v>
      </x:c>
      <x:c r="F229" s="12" t="n">
        <x:v>24.84</x:v>
      </x:c>
      <x:c r="G229" s="12" t="n">
        <x:v>794.88</x:v>
      </x:c>
      <x:c r="H229" s="13" t="n">
        <x:v>348</x:v>
      </x:c>
      <x:c r="I229" s="13" t="n">
        <x:f>YEAR(B229)</x:f>
        <x:v>2024</x:v>
      </x:c>
      <x:c r="J229" s="13" t="n">
        <x:f>MONTH(B229)</x:f>
        <x:v>7</x:v>
      </x:c>
      <x:c r="K229" s="14" t="n">
        <x:f>ROUND(E229*F229-G229,10)</x:f>
        <x:v>0</x:v>
      </x:c>
      <x:c r="L229" s="2"/>
      <x:c r="M229" s="2"/>
      <x:c r="N229" s="2"/>
      <x:c r="O229" s="2"/>
      <x:c r="P229" s="2"/>
      <x:c r="Q229" s="2"/>
      <x:c r="R229" s="2"/>
    </x:row>
    <x:row r="230" ht="22" customHeight="1">
      <x:c r="A230" s="2" t="n">
        <x:v>100224</x:v>
      </x:c>
      <x:c r="B230" s="10" t="n">
        <x:v>45506</x:v>
      </x:c>
      <x:c r="C230" s="2" t="str">
        <x:v>Brasil</x:v>
      </x:c>
      <x:c r="D230" s="2" t="str">
        <x:v>Acessórios</x:v>
      </x:c>
      <x:c r="E230" s="11" t="n">
        <x:v>10</x:v>
      </x:c>
      <x:c r="F230" s="12" t="n">
        <x:v>88.49</x:v>
      </x:c>
      <x:c r="G230" s="12" t="n">
        <x:v>884.9</x:v>
      </x:c>
      <x:c r="H230" s="13" t="n">
        <x:v>262</x:v>
      </x:c>
      <x:c r="I230" s="13" t="n">
        <x:f>YEAR(B230)</x:f>
        <x:v>2024</x:v>
      </x:c>
      <x:c r="J230" s="13" t="n">
        <x:f>MONTH(B230)</x:f>
        <x:v>8</x:v>
      </x:c>
      <x:c r="K230" s="14" t="n">
        <x:f>ROUND(E230*F230-G230,10)</x:f>
        <x:v>0</x:v>
      </x:c>
      <x:c r="L230" s="2"/>
      <x:c r="M230" s="2"/>
      <x:c r="N230" s="2"/>
      <x:c r="O230" s="2"/>
      <x:c r="P230" s="2"/>
      <x:c r="Q230" s="2"/>
      <x:c r="R230" s="2"/>
    </x:row>
    <x:row r="231" ht="22" customHeight="1">
      <x:c r="A231" s="2" t="n">
        <x:v>100225</x:v>
      </x:c>
      <x:c r="B231" s="10" t="n">
        <x:v>45048</x:v>
      </x:c>
      <x:c r="C231" s="2" t="str">
        <x:v>Chile</x:v>
      </x:c>
      <x:c r="D231" s="2" t="str">
        <x:v>Moda Masculina</x:v>
      </x:c>
      <x:c r="E231" s="11" t="n">
        <x:v>3</x:v>
      </x:c>
      <x:c r="F231" s="12" t="n">
        <x:v>39.1</x:v>
      </x:c>
      <x:c r="G231" s="12" t="n">
        <x:v>117.3</x:v>
      </x:c>
      <x:c r="H231" s="13" t="n">
        <x:v>357</x:v>
      </x:c>
      <x:c r="I231" s="13" t="n">
        <x:f>YEAR(B231)</x:f>
        <x:v>2023</x:v>
      </x:c>
      <x:c r="J231" s="13" t="n">
        <x:f>MONTH(B231)</x:f>
        <x:v>5</x:v>
      </x:c>
      <x:c r="K231" s="14" t="n">
        <x:f>ROUND(E231*F231-G231,10)</x:f>
        <x:v>0</x:v>
      </x:c>
      <x:c r="L231" s="2"/>
      <x:c r="M231" s="2"/>
      <x:c r="N231" s="2"/>
      <x:c r="O231" s="2"/>
      <x:c r="P231" s="2"/>
      <x:c r="Q231" s="2"/>
      <x:c r="R231" s="2"/>
    </x:row>
    <x:row r="232" ht="22" customHeight="1">
      <x:c r="A232" s="2" t="n">
        <x:v>100226</x:v>
      </x:c>
      <x:c r="B232" s="10" t="n">
        <x:v>45452</x:v>
      </x:c>
      <x:c r="C232" s="2" t="str">
        <x:v>Peru</x:v>
      </x:c>
      <x:c r="D232" s="2" t="str">
        <x:v>Moda Infantil</x:v>
      </x:c>
      <x:c r="E232" s="11" t="n">
        <x:v>45</x:v>
      </x:c>
      <x:c r="F232" s="12" t="n">
        <x:v>115.64</x:v>
      </x:c>
      <x:c r="G232" s="12" t="n">
        <x:v>5203.8</x:v>
      </x:c>
      <x:c r="H232" s="13" t="n">
        <x:v>150</x:v>
      </x:c>
      <x:c r="I232" s="13" t="n">
        <x:f>YEAR(B232)</x:f>
        <x:v>2024</x:v>
      </x:c>
      <x:c r="J232" s="13" t="n">
        <x:f>MONTH(B232)</x:f>
        <x:v>6</x:v>
      </x:c>
      <x:c r="K232" s="14" t="n">
        <x:f>ROUND(E232*F232-G232,10)</x:f>
        <x:v>0</x:v>
      </x:c>
      <x:c r="L232" s="2"/>
      <x:c r="M232" s="2"/>
      <x:c r="N232" s="2"/>
      <x:c r="O232" s="2"/>
      <x:c r="P232" s="2"/>
      <x:c r="Q232" s="2"/>
      <x:c r="R232" s="2"/>
    </x:row>
    <x:row r="233" ht="22" customHeight="1">
      <x:c r="A233" s="2" t="n">
        <x:v>100227</x:v>
      </x:c>
      <x:c r="B233" s="10" t="n">
        <x:v>45218</x:v>
      </x:c>
      <x:c r="C233" s="2" t="str">
        <x:v>Argentina</x:v>
      </x:c>
      <x:c r="D233" s="2" t="str">
        <x:v>Moda Infantil</x:v>
      </x:c>
      <x:c r="E233" s="11" t="n">
        <x:v>27</x:v>
      </x:c>
      <x:c r="F233" s="12" t="n">
        <x:v>91.24</x:v>
      </x:c>
      <x:c r="G233" s="12" t="n">
        <x:v>2463.48</x:v>
      </x:c>
      <x:c r="H233" s="13" t="n">
        <x:v>105</x:v>
      </x:c>
      <x:c r="I233" s="13" t="n">
        <x:f>YEAR(B233)</x:f>
        <x:v>2023</x:v>
      </x:c>
      <x:c r="J233" s="13" t="n">
        <x:f>MONTH(B233)</x:f>
        <x:v>10</x:v>
      </x:c>
      <x:c r="K233" s="14" t="n">
        <x:f>ROUND(E233*F233-G233,10)</x:f>
        <x:v>0</x:v>
      </x:c>
      <x:c r="L233" s="2"/>
      <x:c r="M233" s="2"/>
      <x:c r="N233" s="2"/>
      <x:c r="O233" s="2"/>
      <x:c r="P233" s="2"/>
      <x:c r="Q233" s="2"/>
      <x:c r="R233" s="2"/>
    </x:row>
    <x:row r="234" ht="22" customHeight="1">
      <x:c r="A234" s="2" t="n">
        <x:v>100228</x:v>
      </x:c>
      <x:c r="B234" s="10" t="n">
        <x:v>45010</x:v>
      </x:c>
      <x:c r="C234" s="2" t="str">
        <x:v>México</x:v>
      </x:c>
      <x:c r="D234" s="2" t="str">
        <x:v>Acessórios</x:v>
      </x:c>
      <x:c r="E234" s="11" t="n">
        <x:v>35</x:v>
      </x:c>
      <x:c r="F234" s="12" t="n">
        <x:v>130.37</x:v>
      </x:c>
      <x:c r="G234" s="12" t="n">
        <x:v>4562.95</x:v>
      </x:c>
      <x:c r="H234" s="13" t="n">
        <x:v>381</x:v>
      </x:c>
      <x:c r="I234" s="13" t="n">
        <x:f>YEAR(B234)</x:f>
        <x:v>2023</x:v>
      </x:c>
      <x:c r="J234" s="13" t="n">
        <x:f>MONTH(B234)</x:f>
        <x:v>3</x:v>
      </x:c>
      <x:c r="K234" s="14" t="n">
        <x:f>ROUND(E234*F234-G234,10)</x:f>
        <x:v>0</x:v>
      </x:c>
      <x:c r="L234" s="2"/>
      <x:c r="M234" s="2"/>
      <x:c r="N234" s="2"/>
      <x:c r="O234" s="2"/>
      <x:c r="P234" s="2"/>
      <x:c r="Q234" s="2"/>
      <x:c r="R234" s="2"/>
    </x:row>
    <x:row r="235" ht="22" customHeight="1">
      <x:c r="A235" s="2" t="n">
        <x:v>100229</x:v>
      </x:c>
      <x:c r="B235" s="10" t="n">
        <x:v>45023</x:v>
      </x:c>
      <x:c r="C235" s="2" t="str">
        <x:v>Colômbia</x:v>
      </x:c>
      <x:c r="D235" s="2" t="str">
        <x:v>Calçados</x:v>
      </x:c>
      <x:c r="E235" s="11" t="n">
        <x:v>31</x:v>
      </x:c>
      <x:c r="F235" s="12" t="n">
        <x:v>165.01</x:v>
      </x:c>
      <x:c r="G235" s="12" t="n">
        <x:v>5115.309999999999</x:v>
      </x:c>
      <x:c r="H235" s="13" t="n">
        <x:v>373</x:v>
      </x:c>
      <x:c r="I235" s="13" t="n">
        <x:f>YEAR(B235)</x:f>
        <x:v>2023</x:v>
      </x:c>
      <x:c r="J235" s="13" t="n">
        <x:f>MONTH(B235)</x:f>
        <x:v>4</x:v>
      </x:c>
      <x:c r="K235" s="14" t="n">
        <x:f>ROUND(E235*F235-G235,10)</x:f>
        <x:v>0</x:v>
      </x:c>
      <x:c r="L235" s="2"/>
      <x:c r="M235" s="2"/>
      <x:c r="N235" s="2"/>
      <x:c r="O235" s="2"/>
      <x:c r="P235" s="2"/>
      <x:c r="Q235" s="2"/>
      <x:c r="R235" s="2"/>
    </x:row>
    <x:row r="236" ht="22" customHeight="1">
      <x:c r="A236" s="2" t="n">
        <x:v>100230</x:v>
      </x:c>
      <x:c r="B236" s="10" t="n">
        <x:v>45639</x:v>
      </x:c>
      <x:c r="C236" s="2" t="str">
        <x:v>Argentina</x:v>
      </x:c>
      <x:c r="D236" s="2" t="str">
        <x:v>Acessórios</x:v>
      </x:c>
      <x:c r="E236" s="11" t="n">
        <x:v>15</x:v>
      </x:c>
      <x:c r="F236" s="12" t="n">
        <x:v>73.94</x:v>
      </x:c>
      <x:c r="G236" s="12" t="n">
        <x:v>1109.1</x:v>
      </x:c>
      <x:c r="H236" s="13" t="n">
        <x:v>288</x:v>
      </x:c>
      <x:c r="I236" s="13" t="n">
        <x:f>YEAR(B236)</x:f>
        <x:v>2024</x:v>
      </x:c>
      <x:c r="J236" s="13" t="n">
        <x:f>MONTH(B236)</x:f>
        <x:v>12</x:v>
      </x:c>
      <x:c r="K236" s="14" t="n">
        <x:f>ROUND(E236*F236-G236,10)</x:f>
        <x:v>0</x:v>
      </x:c>
      <x:c r="L236" s="2"/>
      <x:c r="M236" s="2"/>
      <x:c r="N236" s="2"/>
      <x:c r="O236" s="2"/>
      <x:c r="P236" s="2"/>
      <x:c r="Q236" s="2"/>
      <x:c r="R236" s="2"/>
    </x:row>
    <x:row r="237" ht="22" customHeight="1">
      <x:c r="A237" s="2" t="n">
        <x:v>100231</x:v>
      </x:c>
      <x:c r="B237" s="10" t="n">
        <x:v>45225</x:v>
      </x:c>
      <x:c r="C237" s="2" t="str">
        <x:v>Peru</x:v>
      </x:c>
      <x:c r="D237" s="2" t="str">
        <x:v>Moda Masculina</x:v>
      </x:c>
      <x:c r="E237" s="11" t="n">
        <x:v>16</x:v>
      </x:c>
      <x:c r="F237" s="12" t="n">
        <x:v>193.18</x:v>
      </x:c>
      <x:c r="G237" s="12" t="n">
        <x:v>3090.88</x:v>
      </x:c>
      <x:c r="H237" s="13" t="n">
        <x:v>442</x:v>
      </x:c>
      <x:c r="I237" s="13" t="n">
        <x:f>YEAR(B237)</x:f>
        <x:v>2023</x:v>
      </x:c>
      <x:c r="J237" s="13" t="n">
        <x:f>MONTH(B237)</x:f>
        <x:v>10</x:v>
      </x:c>
      <x:c r="K237" s="14" t="n">
        <x:f>ROUND(E237*F237-G237,10)</x:f>
        <x:v>0</x:v>
      </x:c>
      <x:c r="L237" s="2"/>
      <x:c r="M237" s="2"/>
      <x:c r="N237" s="2"/>
      <x:c r="O237" s="2"/>
      <x:c r="P237" s="2"/>
      <x:c r="Q237" s="2"/>
      <x:c r="R237" s="2"/>
    </x:row>
    <x:row r="238" ht="22" customHeight="1">
      <x:c r="A238" s="2" t="n">
        <x:v>100232</x:v>
      </x:c>
      <x:c r="B238" s="10" t="n">
        <x:v>45304</x:v>
      </x:c>
      <x:c r="C238" s="2" t="str">
        <x:v>Colômbia</x:v>
      </x:c>
      <x:c r="D238" s="2" t="str">
        <x:v>Acessórios</x:v>
      </x:c>
      <x:c r="E238" s="11" t="n">
        <x:v>13</x:v>
      </x:c>
      <x:c r="F238" s="12" t="n">
        <x:v>116.41</x:v>
      </x:c>
      <x:c r="G238" s="12" t="n">
        <x:v>1513.33</x:v>
      </x:c>
      <x:c r="H238" s="13" t="n">
        <x:v>280</x:v>
      </x:c>
      <x:c r="I238" s="13" t="n">
        <x:f>YEAR(B238)</x:f>
        <x:v>2024</x:v>
      </x:c>
      <x:c r="J238" s="13" t="n">
        <x:f>MONTH(B238)</x:f>
        <x:v>1</x:v>
      </x:c>
      <x:c r="K238" s="14" t="n">
        <x:f>ROUND(E238*F238-G238,10)</x:f>
        <x:v>0</x:v>
      </x:c>
      <x:c r="L238" s="2"/>
      <x:c r="M238" s="2"/>
      <x:c r="N238" s="2"/>
      <x:c r="O238" s="2"/>
      <x:c r="P238" s="2"/>
      <x:c r="Q238" s="2"/>
      <x:c r="R238" s="2"/>
    </x:row>
    <x:row r="239" ht="22" customHeight="1">
      <x:c r="A239" s="2" t="n">
        <x:v>100233</x:v>
      </x:c>
      <x:c r="B239" s="10" t="n">
        <x:v>45359</x:v>
      </x:c>
      <x:c r="C239" s="2" t="str">
        <x:v>Chile</x:v>
      </x:c>
      <x:c r="D239" s="2" t="str">
        <x:v>Moda Feminina</x:v>
      </x:c>
      <x:c r="E239" s="11" t="n">
        <x:v>49</x:v>
      </x:c>
      <x:c r="F239" s="12" t="n">
        <x:v>131.29</x:v>
      </x:c>
      <x:c r="G239" s="12" t="n">
        <x:v>6433.21</x:v>
      </x:c>
      <x:c r="H239" s="13" t="n">
        <x:v>411</x:v>
      </x:c>
      <x:c r="I239" s="13" t="n">
        <x:f>YEAR(B239)</x:f>
        <x:v>2024</x:v>
      </x:c>
      <x:c r="J239" s="13" t="n">
        <x:f>MONTH(B239)</x:f>
        <x:v>3</x:v>
      </x:c>
      <x:c r="K239" s="14" t="n">
        <x:f>ROUND(E239*F239-G239,10)</x:f>
        <x:v>0</x:v>
      </x:c>
      <x:c r="L239" s="2"/>
      <x:c r="M239" s="2"/>
      <x:c r="N239" s="2"/>
      <x:c r="O239" s="2"/>
      <x:c r="P239" s="2"/>
      <x:c r="Q239" s="2"/>
      <x:c r="R239" s="2"/>
    </x:row>
    <x:row r="240" ht="22" customHeight="1">
      <x:c r="A240" s="2" t="n">
        <x:v>100234</x:v>
      </x:c>
      <x:c r="B240" s="10" t="n">
        <x:v>45276</x:v>
      </x:c>
      <x:c r="C240" s="2" t="str">
        <x:v>Chile</x:v>
      </x:c>
      <x:c r="D240" s="2" t="str">
        <x:v>Moda Masculina</x:v>
      </x:c>
      <x:c r="E240" s="11" t="n">
        <x:v>35</x:v>
      </x:c>
      <x:c r="F240" s="12" t="n">
        <x:v>142.52</x:v>
      </x:c>
      <x:c r="G240" s="12" t="n">
        <x:v>4988.200000000001</x:v>
      </x:c>
      <x:c r="H240" s="13" t="n">
        <x:v>430</x:v>
      </x:c>
      <x:c r="I240" s="13" t="n">
        <x:f>YEAR(B240)</x:f>
        <x:v>2023</x:v>
      </x:c>
      <x:c r="J240" s="13" t="n">
        <x:f>MONTH(B240)</x:f>
        <x:v>12</x:v>
      </x:c>
      <x:c r="K240" s="14" t="n">
        <x:f>ROUND(E240*F240-G240,10)</x:f>
        <x:v>0</x:v>
      </x:c>
      <x:c r="L240" s="2"/>
      <x:c r="M240" s="2"/>
      <x:c r="N240" s="2"/>
      <x:c r="O240" s="2"/>
      <x:c r="P240" s="2"/>
      <x:c r="Q240" s="2"/>
      <x:c r="R240" s="2"/>
    </x:row>
    <x:row r="241" ht="22" customHeight="1">
      <x:c r="A241" s="2" t="n">
        <x:v>100235</x:v>
      </x:c>
      <x:c r="B241" s="10" t="n">
        <x:v>45360</x:v>
      </x:c>
      <x:c r="C241" s="2" t="str">
        <x:v>Brasil</x:v>
      </x:c>
      <x:c r="D241" s="2" t="str">
        <x:v>Moda Masculina</x:v>
      </x:c>
      <x:c r="E241" s="11" t="n">
        <x:v>11</x:v>
      </x:c>
      <x:c r="F241" s="12" t="n">
        <x:v>140.01</x:v>
      </x:c>
      <x:c r="G241" s="12" t="n">
        <x:v>1540.11</x:v>
      </x:c>
      <x:c r="H241" s="13" t="n">
        <x:v>141</x:v>
      </x:c>
      <x:c r="I241" s="13" t="n">
        <x:f>YEAR(B241)</x:f>
        <x:v>2024</x:v>
      </x:c>
      <x:c r="J241" s="13" t="n">
        <x:f>MONTH(B241)</x:f>
        <x:v>3</x:v>
      </x:c>
      <x:c r="K241" s="14" t="n">
        <x:f>ROUND(E241*F241-G241,10)</x:f>
        <x:v>0</x:v>
      </x:c>
      <x:c r="L241" s="2"/>
      <x:c r="M241" s="2"/>
      <x:c r="N241" s="2"/>
      <x:c r="O241" s="2"/>
      <x:c r="P241" s="2"/>
      <x:c r="Q241" s="2"/>
      <x:c r="R241" s="2"/>
    </x:row>
    <x:row r="242" ht="22" customHeight="1">
      <x:c r="A242" s="2" t="n">
        <x:v>100236</x:v>
      </x:c>
      <x:c r="B242" s="10" t="n">
        <x:v>45218</x:v>
      </x:c>
      <x:c r="C242" s="2" t="str">
        <x:v>Peru</x:v>
      </x:c>
      <x:c r="D242" s="2" t="str">
        <x:v>Calçados</x:v>
      </x:c>
      <x:c r="E242" s="11" t="n">
        <x:v>21</x:v>
      </x:c>
      <x:c r="F242" s="12" t="n">
        <x:v>111.97</x:v>
      </x:c>
      <x:c r="G242" s="12" t="n">
        <x:v>2351.37</x:v>
      </x:c>
      <x:c r="H242" s="13" t="n">
        <x:v>328</x:v>
      </x:c>
      <x:c r="I242" s="13" t="n">
        <x:f>YEAR(B242)</x:f>
        <x:v>2023</x:v>
      </x:c>
      <x:c r="J242" s="13" t="n">
        <x:f>MONTH(B242)</x:f>
        <x:v>10</x:v>
      </x:c>
      <x:c r="K242" s="14" t="n">
        <x:f>ROUND(E242*F242-G242,10)</x:f>
        <x:v>0</x:v>
      </x:c>
      <x:c r="L242" s="2"/>
      <x:c r="M242" s="2"/>
      <x:c r="N242" s="2"/>
      <x:c r="O242" s="2"/>
      <x:c r="P242" s="2"/>
      <x:c r="Q242" s="2"/>
      <x:c r="R242" s="2"/>
    </x:row>
    <x:row r="243" ht="22" customHeight="1">
      <x:c r="A243" s="2" t="n">
        <x:v>100237</x:v>
      </x:c>
      <x:c r="B243" s="10" t="n">
        <x:v>45087</x:v>
      </x:c>
      <x:c r="C243" s="2" t="str">
        <x:v>México</x:v>
      </x:c>
      <x:c r="D243" s="2" t="str">
        <x:v>Moda Infantil</x:v>
      </x:c>
      <x:c r="E243" s="11" t="n">
        <x:v>11</x:v>
      </x:c>
      <x:c r="F243" s="12" t="n">
        <x:v>97.18</x:v>
      </x:c>
      <x:c r="G243" s="12" t="n">
        <x:v>1068.98</x:v>
      </x:c>
      <x:c r="H243" s="13" t="n">
        <x:v>496</x:v>
      </x:c>
      <x:c r="I243" s="13" t="n">
        <x:f>YEAR(B243)</x:f>
        <x:v>2023</x:v>
      </x:c>
      <x:c r="J243" s="13" t="n">
        <x:f>MONTH(B243)</x:f>
        <x:v>6</x:v>
      </x:c>
      <x:c r="K243" s="14" t="n">
        <x:f>ROUND(E243*F243-G243,10)</x:f>
        <x:v>0</x:v>
      </x:c>
      <x:c r="L243" s="2"/>
      <x:c r="M243" s="2"/>
      <x:c r="N243" s="2"/>
      <x:c r="O243" s="2"/>
      <x:c r="P243" s="2"/>
      <x:c r="Q243" s="2"/>
      <x:c r="R243" s="2"/>
    </x:row>
    <x:row r="244" ht="22" customHeight="1">
      <x:c r="A244" s="2" t="n">
        <x:v>100238</x:v>
      </x:c>
      <x:c r="B244" s="10" t="n">
        <x:v>45096</x:v>
      </x:c>
      <x:c r="C244" s="2" t="str">
        <x:v>Colômbia</x:v>
      </x:c>
      <x:c r="D244" s="2" t="str">
        <x:v>Moda Masculina</x:v>
      </x:c>
      <x:c r="E244" s="11" t="n">
        <x:v>30</x:v>
      </x:c>
      <x:c r="F244" s="12" t="n">
        <x:v>29.68</x:v>
      </x:c>
      <x:c r="G244" s="12" t="n">
        <x:v>890.4</x:v>
      </x:c>
      <x:c r="H244" s="13" t="n">
        <x:v>158</x:v>
      </x:c>
      <x:c r="I244" s="13" t="n">
        <x:f>YEAR(B244)</x:f>
        <x:v>2023</x:v>
      </x:c>
      <x:c r="J244" s="13" t="n">
        <x:f>MONTH(B244)</x:f>
        <x:v>6</x:v>
      </x:c>
      <x:c r="K244" s="14" t="n">
        <x:f>ROUND(E244*F244-G244,10)</x:f>
        <x:v>0</x:v>
      </x:c>
      <x:c r="L244" s="2"/>
      <x:c r="M244" s="2"/>
      <x:c r="N244" s="2"/>
      <x:c r="O244" s="2"/>
      <x:c r="P244" s="2"/>
      <x:c r="Q244" s="2"/>
      <x:c r="R244" s="2"/>
    </x:row>
    <x:row r="245" ht="22" customHeight="1">
      <x:c r="A245" s="2" t="n">
        <x:v>100239</x:v>
      </x:c>
      <x:c r="B245" s="10" t="n">
        <x:v>45080</x:v>
      </x:c>
      <x:c r="C245" s="2" t="str">
        <x:v>Argentina</x:v>
      </x:c>
      <x:c r="D245" s="2" t="str">
        <x:v>Moda Infantil</x:v>
      </x:c>
      <x:c r="E245" s="11" t="n">
        <x:v>48</x:v>
      </x:c>
      <x:c r="F245" s="12" t="n">
        <x:v>23.98</x:v>
      </x:c>
      <x:c r="G245" s="12" t="n">
        <x:v>1151.04</x:v>
      </x:c>
      <x:c r="H245" s="13" t="n">
        <x:v>366</x:v>
      </x:c>
      <x:c r="I245" s="13" t="n">
        <x:f>YEAR(B245)</x:f>
        <x:v>2023</x:v>
      </x:c>
      <x:c r="J245" s="13" t="n">
        <x:f>MONTH(B245)</x:f>
        <x:v>6</x:v>
      </x:c>
      <x:c r="K245" s="14" t="n">
        <x:f>ROUND(E245*F245-G245,10)</x:f>
        <x:v>0</x:v>
      </x:c>
      <x:c r="L245" s="2"/>
      <x:c r="M245" s="2"/>
      <x:c r="N245" s="2"/>
      <x:c r="O245" s="2"/>
      <x:c r="P245" s="2"/>
      <x:c r="Q245" s="2"/>
      <x:c r="R245" s="2"/>
    </x:row>
    <x:row r="246" ht="22" customHeight="1">
      <x:c r="A246" s="2" t="n">
        <x:v>100240</x:v>
      </x:c>
      <x:c r="B246" s="10" t="n">
        <x:v>45568</x:v>
      </x:c>
      <x:c r="C246" s="2" t="str">
        <x:v>Peru</x:v>
      </x:c>
      <x:c r="D246" s="2" t="str">
        <x:v>Acessórios</x:v>
      </x:c>
      <x:c r="E246" s="11" t="n">
        <x:v>35</x:v>
      </x:c>
      <x:c r="F246" s="12" t="n">
        <x:v>84.43</x:v>
      </x:c>
      <x:c r="G246" s="12" t="n">
        <x:v>2955.05</x:v>
      </x:c>
      <x:c r="H246" s="13" t="n">
        <x:v>217</x:v>
      </x:c>
      <x:c r="I246" s="13" t="n">
        <x:f>YEAR(B246)</x:f>
        <x:v>2024</x:v>
      </x:c>
      <x:c r="J246" s="13" t="n">
        <x:f>MONTH(B246)</x:f>
        <x:v>10</x:v>
      </x:c>
      <x:c r="K246" s="14" t="n">
        <x:f>ROUND(E246*F246-G246,10)</x:f>
        <x:v>0</x:v>
      </x:c>
      <x:c r="L246" s="2"/>
      <x:c r="M246" s="2"/>
      <x:c r="N246" s="2"/>
      <x:c r="O246" s="2"/>
      <x:c r="P246" s="2"/>
      <x:c r="Q246" s="2"/>
      <x:c r="R246" s="2"/>
    </x:row>
    <x:row r="247" ht="22" customHeight="1">
      <x:c r="A247" s="2" t="n">
        <x:v>100241</x:v>
      </x:c>
      <x:c r="B247" s="10" t="n">
        <x:v>45366</x:v>
      </x:c>
      <x:c r="C247" s="2" t="str">
        <x:v>Peru</x:v>
      </x:c>
      <x:c r="D247" s="2" t="str">
        <x:v>Moda Feminina</x:v>
      </x:c>
      <x:c r="E247" s="11" t="n">
        <x:v>22</x:v>
      </x:c>
      <x:c r="F247" s="12" t="n">
        <x:v>80.06</x:v>
      </x:c>
      <x:c r="G247" s="12" t="n">
        <x:v>1761.32</x:v>
      </x:c>
      <x:c r="H247" s="13" t="n">
        <x:v>349</x:v>
      </x:c>
      <x:c r="I247" s="13" t="n">
        <x:f>YEAR(B247)</x:f>
        <x:v>2024</x:v>
      </x:c>
      <x:c r="J247" s="13" t="n">
        <x:f>MONTH(B247)</x:f>
        <x:v>3</x:v>
      </x:c>
      <x:c r="K247" s="14" t="n">
        <x:f>ROUND(E247*F247-G247,10)</x:f>
        <x:v>0</x:v>
      </x:c>
      <x:c r="L247" s="2"/>
      <x:c r="M247" s="2"/>
      <x:c r="N247" s="2"/>
      <x:c r="O247" s="2"/>
      <x:c r="P247" s="2"/>
      <x:c r="Q247" s="2"/>
      <x:c r="R247" s="2"/>
    </x:row>
    <x:row r="248" ht="22" customHeight="1">
      <x:c r="A248" s="2" t="n">
        <x:v>100242</x:v>
      </x:c>
      <x:c r="B248" s="10" t="n">
        <x:v>45529</x:v>
      </x:c>
      <x:c r="C248" s="2" t="str">
        <x:v>Chile</x:v>
      </x:c>
      <x:c r="D248" s="2" t="str">
        <x:v>Calçados</x:v>
      </x:c>
      <x:c r="E248" s="11" t="n">
        <x:v>38</x:v>
      </x:c>
      <x:c r="F248" s="12" t="n">
        <x:v>89.79</x:v>
      </x:c>
      <x:c r="G248" s="12" t="n">
        <x:v>3412.02</x:v>
      </x:c>
      <x:c r="H248" s="13" t="n">
        <x:v>457</x:v>
      </x:c>
      <x:c r="I248" s="13" t="n">
        <x:f>YEAR(B248)</x:f>
        <x:v>2024</x:v>
      </x:c>
      <x:c r="J248" s="13" t="n">
        <x:f>MONTH(B248)</x:f>
        <x:v>8</x:v>
      </x:c>
      <x:c r="K248" s="14" t="n">
        <x:f>ROUND(E248*F248-G248,10)</x:f>
        <x:v>0</x:v>
      </x:c>
      <x:c r="L248" s="2"/>
      <x:c r="M248" s="2"/>
      <x:c r="N248" s="2"/>
      <x:c r="O248" s="2"/>
      <x:c r="P248" s="2"/>
      <x:c r="Q248" s="2"/>
      <x:c r="R248" s="2"/>
    </x:row>
    <x:row r="249" ht="22" customHeight="1">
      <x:c r="A249" s="2" t="n">
        <x:v>100243</x:v>
      </x:c>
      <x:c r="B249" s="10" t="n">
        <x:v>45004</x:v>
      </x:c>
      <x:c r="C249" s="2" t="str">
        <x:v>Brasil</x:v>
      </x:c>
      <x:c r="D249" s="2" t="str">
        <x:v>Moda Infantil</x:v>
      </x:c>
      <x:c r="E249" s="11" t="n">
        <x:v>31</x:v>
      </x:c>
      <x:c r="F249" s="12" t="n">
        <x:v>44.91</x:v>
      </x:c>
      <x:c r="G249" s="12" t="n">
        <x:v>1392.21</x:v>
      </x:c>
      <x:c r="H249" s="13" t="n">
        <x:v>484</x:v>
      </x:c>
      <x:c r="I249" s="13" t="n">
        <x:f>YEAR(B249)</x:f>
        <x:v>2023</x:v>
      </x:c>
      <x:c r="J249" s="13" t="n">
        <x:f>MONTH(B249)</x:f>
        <x:v>3</x:v>
      </x:c>
      <x:c r="K249" s="14" t="n">
        <x:f>ROUND(E249*F249-G249,10)</x:f>
        <x:v>0</x:v>
      </x:c>
      <x:c r="L249" s="2"/>
      <x:c r="M249" s="2"/>
      <x:c r="N249" s="2"/>
      <x:c r="O249" s="2"/>
      <x:c r="P249" s="2"/>
      <x:c r="Q249" s="2"/>
      <x:c r="R249" s="2"/>
    </x:row>
    <x:row r="250" ht="22" customHeight="1">
      <x:c r="A250" s="2" t="n">
        <x:v>100244</x:v>
      </x:c>
      <x:c r="B250" s="10" t="n">
        <x:v>45363</x:v>
      </x:c>
      <x:c r="C250" s="2" t="str">
        <x:v>Brasil</x:v>
      </x:c>
      <x:c r="D250" s="2" t="str">
        <x:v>Moda Masculina</x:v>
      </x:c>
      <x:c r="E250" s="11" t="n">
        <x:v>14</x:v>
      </x:c>
      <x:c r="F250" s="12" t="n">
        <x:v>152.87</x:v>
      </x:c>
      <x:c r="G250" s="12" t="n">
        <x:v>2140.18</x:v>
      </x:c>
      <x:c r="H250" s="13" t="n">
        <x:v>491</x:v>
      </x:c>
      <x:c r="I250" s="13" t="n">
        <x:f>YEAR(B250)</x:f>
        <x:v>2024</x:v>
      </x:c>
      <x:c r="J250" s="13" t="n">
        <x:f>MONTH(B250)</x:f>
        <x:v>3</x:v>
      </x:c>
      <x:c r="K250" s="14" t="n">
        <x:f>ROUND(E250*F250-G250,10)</x:f>
        <x:v>0</x:v>
      </x:c>
      <x:c r="L250" s="2"/>
      <x:c r="M250" s="2"/>
      <x:c r="N250" s="2"/>
      <x:c r="O250" s="2"/>
      <x:c r="P250" s="2"/>
      <x:c r="Q250" s="2"/>
      <x:c r="R250" s="2"/>
    </x:row>
    <x:row r="251" ht="22" customHeight="1">
      <x:c r="A251" s="2" t="n">
        <x:v>100245</x:v>
      </x:c>
      <x:c r="B251" s="10" t="n">
        <x:v>45300</x:v>
      </x:c>
      <x:c r="C251" s="2" t="str">
        <x:v>Colômbia</x:v>
      </x:c>
      <x:c r="D251" s="2" t="str">
        <x:v>Moda Infantil</x:v>
      </x:c>
      <x:c r="E251" s="11" t="n">
        <x:v>24</x:v>
      </x:c>
      <x:c r="F251" s="12" t="n">
        <x:v>174.25</x:v>
      </x:c>
      <x:c r="G251" s="12" t="n">
        <x:v>4182</x:v>
      </x:c>
      <x:c r="H251" s="13" t="n">
        <x:v>267</x:v>
      </x:c>
      <x:c r="I251" s="13" t="n">
        <x:f>YEAR(B251)</x:f>
        <x:v>2024</x:v>
      </x:c>
      <x:c r="J251" s="13" t="n">
        <x:f>MONTH(B251)</x:f>
        <x:v>1</x:v>
      </x:c>
      <x:c r="K251" s="14" t="n">
        <x:f>ROUND(E251*F251-G251,10)</x:f>
        <x:v>0</x:v>
      </x:c>
      <x:c r="L251" s="2"/>
      <x:c r="M251" s="2"/>
      <x:c r="N251" s="2"/>
      <x:c r="O251" s="2"/>
      <x:c r="P251" s="2"/>
      <x:c r="Q251" s="2"/>
      <x:c r="R251" s="2"/>
    </x:row>
    <x:row r="252" ht="22" customHeight="1">
      <x:c r="A252" s="2" t="n">
        <x:v>100246</x:v>
      </x:c>
      <x:c r="B252" s="10" t="n">
        <x:v>45120</x:v>
      </x:c>
      <x:c r="C252" s="2" t="str">
        <x:v>Chile</x:v>
      </x:c>
      <x:c r="D252" s="2" t="str">
        <x:v>Moda Masculina</x:v>
      </x:c>
      <x:c r="E252" s="11" t="n">
        <x:v>49</x:v>
      </x:c>
      <x:c r="F252" s="12" t="n">
        <x:v>188.97</x:v>
      </x:c>
      <x:c r="G252" s="12" t="n">
        <x:v>9259.53</x:v>
      </x:c>
      <x:c r="H252" s="13" t="n">
        <x:v>271</x:v>
      </x:c>
      <x:c r="I252" s="13" t="n">
        <x:f>YEAR(B252)</x:f>
        <x:v>2023</x:v>
      </x:c>
      <x:c r="J252" s="13" t="n">
        <x:f>MONTH(B252)</x:f>
        <x:v>7</x:v>
      </x:c>
      <x:c r="K252" s="14" t="n">
        <x:f>ROUND(E252*F252-G252,10)</x:f>
        <x:v>0</x:v>
      </x:c>
      <x:c r="L252" s="2"/>
      <x:c r="M252" s="2"/>
      <x:c r="N252" s="2"/>
      <x:c r="O252" s="2"/>
      <x:c r="P252" s="2"/>
      <x:c r="Q252" s="2"/>
      <x:c r="R252" s="2"/>
    </x:row>
    <x:row r="253" ht="22" customHeight="1">
      <x:c r="A253" s="2" t="n">
        <x:v>100247</x:v>
      </x:c>
      <x:c r="B253" s="10" t="n">
        <x:v>45586</x:v>
      </x:c>
      <x:c r="C253" s="2" t="str">
        <x:v>Peru</x:v>
      </x:c>
      <x:c r="D253" s="2" t="str">
        <x:v>Moda Infantil</x:v>
      </x:c>
      <x:c r="E253" s="11" t="n">
        <x:v>32</x:v>
      </x:c>
      <x:c r="F253" s="12" t="n">
        <x:v>108.63</x:v>
      </x:c>
      <x:c r="G253" s="12" t="n">
        <x:v>3476.16</x:v>
      </x:c>
      <x:c r="H253" s="13" t="n">
        <x:v>210</x:v>
      </x:c>
      <x:c r="I253" s="13" t="n">
        <x:f>YEAR(B253)</x:f>
        <x:v>2024</x:v>
      </x:c>
      <x:c r="J253" s="13" t="n">
        <x:f>MONTH(B253)</x:f>
        <x:v>10</x:v>
      </x:c>
      <x:c r="K253" s="14" t="n">
        <x:f>ROUND(E253*F253-G253,10)</x:f>
        <x:v>0</x:v>
      </x:c>
      <x:c r="L253" s="2"/>
      <x:c r="M253" s="2"/>
      <x:c r="N253" s="2"/>
      <x:c r="O253" s="2"/>
      <x:c r="P253" s="2"/>
      <x:c r="Q253" s="2"/>
      <x:c r="R253" s="2"/>
    </x:row>
    <x:row r="254" ht="22" customHeight="1">
      <x:c r="A254" s="2" t="n">
        <x:v>100248</x:v>
      </x:c>
      <x:c r="B254" s="10" t="n">
        <x:v>45160</x:v>
      </x:c>
      <x:c r="C254" s="2" t="str">
        <x:v>México</x:v>
      </x:c>
      <x:c r="D254" s="2" t="str">
        <x:v>Moda Masculina</x:v>
      </x:c>
      <x:c r="E254" s="11" t="n">
        <x:v>36</x:v>
      </x:c>
      <x:c r="F254" s="12" t="n">
        <x:v>146.16</x:v>
      </x:c>
      <x:c r="G254" s="12" t="n">
        <x:v>5261.76</x:v>
      </x:c>
      <x:c r="H254" s="13" t="n">
        <x:v>65</x:v>
      </x:c>
      <x:c r="I254" s="13" t="n">
        <x:f>YEAR(B254)</x:f>
        <x:v>2023</x:v>
      </x:c>
      <x:c r="J254" s="13" t="n">
        <x:f>MONTH(B254)</x:f>
        <x:v>8</x:v>
      </x:c>
      <x:c r="K254" s="14" t="n">
        <x:f>ROUND(E254*F254-G254,10)</x:f>
        <x:v>0</x:v>
      </x:c>
      <x:c r="L254" s="2"/>
      <x:c r="M254" s="2"/>
      <x:c r="N254" s="2"/>
      <x:c r="O254" s="2"/>
      <x:c r="P254" s="2"/>
      <x:c r="Q254" s="2"/>
      <x:c r="R254" s="2"/>
    </x:row>
    <x:row r="255" ht="22" customHeight="1">
      <x:c r="A255" s="2" t="n">
        <x:v>100249</x:v>
      </x:c>
      <x:c r="B255" s="10" t="n">
        <x:v>45273</x:v>
      </x:c>
      <x:c r="C255" s="2" t="str">
        <x:v>Chile</x:v>
      </x:c>
      <x:c r="D255" s="2" t="str">
        <x:v>Acessórios</x:v>
      </x:c>
      <x:c r="E255" s="11" t="n">
        <x:v>32</x:v>
      </x:c>
      <x:c r="F255" s="12" t="n">
        <x:v>174</x:v>
      </x:c>
      <x:c r="G255" s="12" t="n">
        <x:v>5568</x:v>
      </x:c>
      <x:c r="H255" s="13" t="n">
        <x:v>327</x:v>
      </x:c>
      <x:c r="I255" s="13" t="n">
        <x:f>YEAR(B255)</x:f>
        <x:v>2023</x:v>
      </x:c>
      <x:c r="J255" s="13" t="n">
        <x:f>MONTH(B255)</x:f>
        <x:v>12</x:v>
      </x:c>
      <x:c r="K255" s="14" t="n">
        <x:f>ROUND(E255*F255-G255,10)</x:f>
        <x:v>0</x:v>
      </x:c>
      <x:c r="L255" s="2"/>
      <x:c r="M255" s="2"/>
      <x:c r="N255" s="2"/>
      <x:c r="O255" s="2"/>
      <x:c r="P255" s="2"/>
      <x:c r="Q255" s="2"/>
      <x:c r="R255" s="2"/>
    </x:row>
    <x:row r="256" ht="22" customHeight="1">
      <x:c r="A256" s="2" t="n">
        <x:v>100250</x:v>
      </x:c>
      <x:c r="B256" s="10" t="n">
        <x:v>45160</x:v>
      </x:c>
      <x:c r="C256" s="2" t="str">
        <x:v>Colômbia</x:v>
      </x:c>
      <x:c r="D256" s="2" t="str">
        <x:v>Moda Masculina</x:v>
      </x:c>
      <x:c r="E256" s="11" t="n">
        <x:v>15</x:v>
      </x:c>
      <x:c r="F256" s="12" t="n">
        <x:v>95.29</x:v>
      </x:c>
      <x:c r="G256" s="12" t="n">
        <x:v>1429.35</x:v>
      </x:c>
      <x:c r="H256" s="13" t="n">
        <x:v>106</x:v>
      </x:c>
      <x:c r="I256" s="13" t="n">
        <x:f>YEAR(B256)</x:f>
        <x:v>2023</x:v>
      </x:c>
      <x:c r="J256" s="13" t="n">
        <x:f>MONTH(B256)</x:f>
        <x:v>8</x:v>
      </x:c>
      <x:c r="K256" s="14" t="n">
        <x:f>ROUND(E256*F256-G256,10)</x:f>
        <x:v>0</x:v>
      </x:c>
      <x:c r="L256" s="2"/>
      <x:c r="M256" s="2"/>
      <x:c r="N256" s="2"/>
      <x:c r="O256" s="2"/>
      <x:c r="P256" s="2"/>
      <x:c r="Q256" s="2"/>
      <x:c r="R256" s="2"/>
    </x:row>
    <x:row r="257" ht="22" customHeight="1">
      <x:c r="A257" s="2" t="n">
        <x:v>100251</x:v>
      </x:c>
      <x:c r="B257" s="10" t="n">
        <x:v>45642</x:v>
      </x:c>
      <x:c r="C257" s="2" t="str">
        <x:v>Colômbia</x:v>
      </x:c>
      <x:c r="D257" s="2" t="str">
        <x:v>Moda Masculina</x:v>
      </x:c>
      <x:c r="E257" s="11" t="n">
        <x:v>43</x:v>
      </x:c>
      <x:c r="F257" s="12" t="n">
        <x:v>75.69</x:v>
      </x:c>
      <x:c r="G257" s="12" t="n">
        <x:v>3254.67</x:v>
      </x:c>
      <x:c r="H257" s="13" t="n">
        <x:v>111</x:v>
      </x:c>
      <x:c r="I257" s="13" t="n">
        <x:f>YEAR(B257)</x:f>
        <x:v>2024</x:v>
      </x:c>
      <x:c r="J257" s="13" t="n">
        <x:f>MONTH(B257)</x:f>
        <x:v>12</x:v>
      </x:c>
      <x:c r="K257" s="14" t="n">
        <x:f>ROUND(E257*F257-G257,10)</x:f>
        <x:v>0</x:v>
      </x:c>
      <x:c r="L257" s="2"/>
      <x:c r="M257" s="2"/>
      <x:c r="N257" s="2"/>
      <x:c r="O257" s="2"/>
      <x:c r="P257" s="2"/>
      <x:c r="Q257" s="2"/>
      <x:c r="R257" s="2"/>
    </x:row>
    <x:row r="258" ht="22" customHeight="1">
      <x:c r="A258" s="2" t="n">
        <x:v>100252</x:v>
      </x:c>
      <x:c r="B258" s="10" t="n">
        <x:v>45577</x:v>
      </x:c>
      <x:c r="C258" s="2" t="str">
        <x:v>Chile</x:v>
      </x:c>
      <x:c r="D258" s="2" t="str">
        <x:v>Moda Feminina</x:v>
      </x:c>
      <x:c r="E258" s="11" t="n">
        <x:v>35</x:v>
      </x:c>
      <x:c r="F258" s="12" t="n">
        <x:v>188.61</x:v>
      </x:c>
      <x:c r="G258" s="12" t="n">
        <x:v>6601.35</x:v>
      </x:c>
      <x:c r="H258" s="13" t="n">
        <x:v>412</x:v>
      </x:c>
      <x:c r="I258" s="13" t="n">
        <x:f>YEAR(B258)</x:f>
        <x:v>2024</x:v>
      </x:c>
      <x:c r="J258" s="13" t="n">
        <x:f>MONTH(B258)</x:f>
        <x:v>10</x:v>
      </x:c>
      <x:c r="K258" s="14" t="n">
        <x:f>ROUND(E258*F258-G258,10)</x:f>
        <x:v>0</x:v>
      </x:c>
      <x:c r="L258" s="2"/>
      <x:c r="M258" s="2"/>
      <x:c r="N258" s="2"/>
      <x:c r="O258" s="2"/>
      <x:c r="P258" s="2"/>
      <x:c r="Q258" s="2"/>
      <x:c r="R258" s="2"/>
    </x:row>
    <x:row r="259" ht="22" customHeight="1">
      <x:c r="A259" s="2" t="n">
        <x:v>100253</x:v>
      </x:c>
      <x:c r="B259" s="10" t="n">
        <x:v>45178</x:v>
      </x:c>
      <x:c r="C259" s="2" t="str">
        <x:v>Colômbia</x:v>
      </x:c>
      <x:c r="D259" s="2" t="str">
        <x:v>Moda Masculina</x:v>
      </x:c>
      <x:c r="E259" s="11" t="n">
        <x:v>3</x:v>
      </x:c>
      <x:c r="F259" s="12" t="n">
        <x:v>112.82</x:v>
      </x:c>
      <x:c r="G259" s="12" t="n">
        <x:v>338.46</x:v>
      </x:c>
      <x:c r="H259" s="13" t="n">
        <x:v>376</x:v>
      </x:c>
      <x:c r="I259" s="13" t="n">
        <x:f>YEAR(B259)</x:f>
        <x:v>2023</x:v>
      </x:c>
      <x:c r="J259" s="13" t="n">
        <x:f>MONTH(B259)</x:f>
        <x:v>9</x:v>
      </x:c>
      <x:c r="K259" s="14" t="n">
        <x:f>ROUND(E259*F259-G259,10)</x:f>
        <x:v>0</x:v>
      </x:c>
      <x:c r="L259" s="2"/>
      <x:c r="M259" s="2"/>
      <x:c r="N259" s="2"/>
      <x:c r="O259" s="2"/>
      <x:c r="P259" s="2"/>
      <x:c r="Q259" s="2"/>
      <x:c r="R259" s="2"/>
    </x:row>
    <x:row r="260" ht="22" customHeight="1">
      <x:c r="A260" s="2" t="n">
        <x:v>100254</x:v>
      </x:c>
      <x:c r="B260" s="10" t="n">
        <x:v>45037</x:v>
      </x:c>
      <x:c r="C260" s="2" t="str">
        <x:v>Chile</x:v>
      </x:c>
      <x:c r="D260" s="2" t="str">
        <x:v>Moda Feminina</x:v>
      </x:c>
      <x:c r="E260" s="11" t="n">
        <x:v>16</x:v>
      </x:c>
      <x:c r="F260" s="12" t="n">
        <x:v>109.51</x:v>
      </x:c>
      <x:c r="G260" s="12" t="n">
        <x:v>1752.16</x:v>
      </x:c>
      <x:c r="H260" s="13" t="n">
        <x:v>291</x:v>
      </x:c>
      <x:c r="I260" s="13" t="n">
        <x:f>YEAR(B260)</x:f>
        <x:v>2023</x:v>
      </x:c>
      <x:c r="J260" s="13" t="n">
        <x:f>MONTH(B260)</x:f>
        <x:v>4</x:v>
      </x:c>
      <x:c r="K260" s="14" t="n">
        <x:f>ROUND(E260*F260-G260,10)</x:f>
        <x:v>0</x:v>
      </x:c>
      <x:c r="L260" s="2"/>
      <x:c r="M260" s="2"/>
      <x:c r="N260" s="2"/>
      <x:c r="O260" s="2"/>
      <x:c r="P260" s="2"/>
      <x:c r="Q260" s="2"/>
      <x:c r="R260" s="2"/>
    </x:row>
    <x:row r="261" ht="22" customHeight="1">
      <x:c r="A261" s="2" t="n">
        <x:v>100255</x:v>
      </x:c>
      <x:c r="B261" s="10" t="n">
        <x:v>45455</x:v>
      </x:c>
      <x:c r="C261" s="2" t="str">
        <x:v>Argentina</x:v>
      </x:c>
      <x:c r="D261" s="2" t="str">
        <x:v>Calçados</x:v>
      </x:c>
      <x:c r="E261" s="11" t="n">
        <x:v>5</x:v>
      </x:c>
      <x:c r="F261" s="12" t="n">
        <x:v>52.11</x:v>
      </x:c>
      <x:c r="G261" s="12" t="n">
        <x:v>260.55</x:v>
      </x:c>
      <x:c r="H261" s="13" t="n">
        <x:v>139</x:v>
      </x:c>
      <x:c r="I261" s="13" t="n">
        <x:f>YEAR(B261)</x:f>
        <x:v>2024</x:v>
      </x:c>
      <x:c r="J261" s="13" t="n">
        <x:f>MONTH(B261)</x:f>
        <x:v>6</x:v>
      </x:c>
      <x:c r="K261" s="14" t="n">
        <x:f>ROUND(E261*F261-G261,10)</x:f>
        <x:v>0</x:v>
      </x:c>
      <x:c r="L261" s="2"/>
      <x:c r="M261" s="2"/>
      <x:c r="N261" s="2"/>
      <x:c r="O261" s="2"/>
      <x:c r="P261" s="2"/>
      <x:c r="Q261" s="2"/>
      <x:c r="R261" s="2"/>
    </x:row>
    <x:row r="262" ht="22" customHeight="1">
      <x:c r="A262" s="2" t="n">
        <x:v>100256</x:v>
      </x:c>
      <x:c r="B262" s="10" t="n">
        <x:v>45427</x:v>
      </x:c>
      <x:c r="C262" s="2" t="str">
        <x:v>Chile</x:v>
      </x:c>
      <x:c r="D262" s="2" t="str">
        <x:v>Moda Feminina</x:v>
      </x:c>
      <x:c r="E262" s="11" t="n">
        <x:v>21</x:v>
      </x:c>
      <x:c r="F262" s="12" t="n">
        <x:v>39.47</x:v>
      </x:c>
      <x:c r="G262" s="12" t="n">
        <x:v>828.87</x:v>
      </x:c>
      <x:c r="H262" s="13" t="n">
        <x:v>121</x:v>
      </x:c>
      <x:c r="I262" s="13" t="n">
        <x:f>YEAR(B262)</x:f>
        <x:v>2024</x:v>
      </x:c>
      <x:c r="J262" s="13" t="n">
        <x:f>MONTH(B262)</x:f>
        <x:v>5</x:v>
      </x:c>
      <x:c r="K262" s="14" t="n">
        <x:f>ROUND(E262*F262-G262,10)</x:f>
        <x:v>0</x:v>
      </x:c>
      <x:c r="L262" s="2"/>
      <x:c r="M262" s="2"/>
      <x:c r="N262" s="2"/>
      <x:c r="O262" s="2"/>
      <x:c r="P262" s="2"/>
      <x:c r="Q262" s="2"/>
      <x:c r="R262" s="2"/>
    </x:row>
    <x:row r="263" ht="22" customHeight="1">
      <x:c r="A263" s="2" t="n">
        <x:v>100257</x:v>
      </x:c>
      <x:c r="B263" s="10" t="n">
        <x:v>45573</x:v>
      </x:c>
      <x:c r="C263" s="2" t="str">
        <x:v>Chile</x:v>
      </x:c>
      <x:c r="D263" s="2" t="str">
        <x:v>Acessórios</x:v>
      </x:c>
      <x:c r="E263" s="11" t="n">
        <x:v>10</x:v>
      </x:c>
      <x:c r="F263" s="12" t="n">
        <x:v>171.58</x:v>
      </x:c>
      <x:c r="G263" s="12" t="n">
        <x:v>1715.8</x:v>
      </x:c>
      <x:c r="H263" s="13" t="n">
        <x:v>375</x:v>
      </x:c>
      <x:c r="I263" s="13" t="n">
        <x:f>YEAR(B263)</x:f>
        <x:v>2024</x:v>
      </x:c>
      <x:c r="J263" s="13" t="n">
        <x:f>MONTH(B263)</x:f>
        <x:v>10</x:v>
      </x:c>
      <x:c r="K263" s="14" t="n">
        <x:f>ROUND(E263*F263-G263,10)</x:f>
        <x:v>0</x:v>
      </x:c>
      <x:c r="L263" s="2"/>
      <x:c r="M263" s="2"/>
      <x:c r="N263" s="2"/>
      <x:c r="O263" s="2"/>
      <x:c r="P263" s="2"/>
      <x:c r="Q263" s="2"/>
      <x:c r="R263" s="2"/>
    </x:row>
    <x:row r="264" ht="22" customHeight="1">
      <x:c r="A264" s="2" t="n">
        <x:v>100258</x:v>
      </x:c>
      <x:c r="B264" s="10" t="n">
        <x:v>45480</x:v>
      </x:c>
      <x:c r="C264" s="2" t="str">
        <x:v>Colômbia</x:v>
      </x:c>
      <x:c r="D264" s="2" t="str">
        <x:v>Moda Feminina</x:v>
      </x:c>
      <x:c r="E264" s="11" t="n">
        <x:v>19</x:v>
      </x:c>
      <x:c r="F264" s="12" t="n">
        <x:v>130.54</x:v>
      </x:c>
      <x:c r="G264" s="12" t="n">
        <x:v>2480.26</x:v>
      </x:c>
      <x:c r="H264" s="13" t="n">
        <x:v>79</x:v>
      </x:c>
      <x:c r="I264" s="13" t="n">
        <x:f>YEAR(B264)</x:f>
        <x:v>2024</x:v>
      </x:c>
      <x:c r="J264" s="13" t="n">
        <x:f>MONTH(B264)</x:f>
        <x:v>7</x:v>
      </x:c>
      <x:c r="K264" s="14" t="n">
        <x:f>ROUND(E264*F264-G264,10)</x:f>
        <x:v>0</x:v>
      </x:c>
      <x:c r="L264" s="2"/>
      <x:c r="M264" s="2"/>
      <x:c r="N264" s="2"/>
      <x:c r="O264" s="2"/>
      <x:c r="P264" s="2"/>
      <x:c r="Q264" s="2"/>
      <x:c r="R264" s="2"/>
    </x:row>
    <x:row r="265" ht="22" customHeight="1">
      <x:c r="A265" s="2" t="n">
        <x:v>100259</x:v>
      </x:c>
      <x:c r="B265" s="10" t="n">
        <x:v>45586</x:v>
      </x:c>
      <x:c r="C265" s="2" t="str">
        <x:v>Colômbia</x:v>
      </x:c>
      <x:c r="D265" s="2" t="str">
        <x:v>Calçados</x:v>
      </x:c>
      <x:c r="E265" s="11" t="n">
        <x:v>25</x:v>
      </x:c>
      <x:c r="F265" s="12" t="n">
        <x:v>78.65</x:v>
      </x:c>
      <x:c r="G265" s="12" t="n">
        <x:v>1966.25</x:v>
      </x:c>
      <x:c r="H265" s="13" t="n">
        <x:v>408</x:v>
      </x:c>
      <x:c r="I265" s="13" t="n">
        <x:f>YEAR(B265)</x:f>
        <x:v>2024</x:v>
      </x:c>
      <x:c r="J265" s="13" t="n">
        <x:f>MONTH(B265)</x:f>
        <x:v>10</x:v>
      </x:c>
      <x:c r="K265" s="14" t="n">
        <x:f>ROUND(E265*F265-G265,10)</x:f>
        <x:v>0</x:v>
      </x:c>
      <x:c r="L265" s="2"/>
      <x:c r="M265" s="2"/>
      <x:c r="N265" s="2"/>
      <x:c r="O265" s="2"/>
      <x:c r="P265" s="2"/>
      <x:c r="Q265" s="2"/>
      <x:c r="R265" s="2"/>
    </x:row>
    <x:row r="266" ht="22" customHeight="1">
      <x:c r="A266" s="2" t="n">
        <x:v>100260</x:v>
      </x:c>
      <x:c r="B266" s="10" t="n">
        <x:v>45576</x:v>
      </x:c>
      <x:c r="C266" s="2" t="str">
        <x:v>Brasil</x:v>
      </x:c>
      <x:c r="D266" s="2" t="str">
        <x:v>Acessórios</x:v>
      </x:c>
      <x:c r="E266" s="11" t="n">
        <x:v>4</x:v>
      </x:c>
      <x:c r="F266" s="12" t="n">
        <x:v>54.51</x:v>
      </x:c>
      <x:c r="G266" s="12" t="n">
        <x:v>218.04</x:v>
      </x:c>
      <x:c r="H266" s="13" t="n">
        <x:v>456</x:v>
      </x:c>
      <x:c r="I266" s="13" t="n">
        <x:f>YEAR(B266)</x:f>
        <x:v>2024</x:v>
      </x:c>
      <x:c r="J266" s="13" t="n">
        <x:f>MONTH(B266)</x:f>
        <x:v>10</x:v>
      </x:c>
      <x:c r="K266" s="14" t="n">
        <x:f>ROUND(E266*F266-G266,10)</x:f>
        <x:v>0</x:v>
      </x:c>
      <x:c r="L266" s="2"/>
      <x:c r="M266" s="2"/>
      <x:c r="N266" s="2"/>
      <x:c r="O266" s="2"/>
      <x:c r="P266" s="2"/>
      <x:c r="Q266" s="2"/>
      <x:c r="R266" s="2"/>
    </x:row>
    <x:row r="267" ht="22" customHeight="1">
      <x:c r="A267" s="2" t="n">
        <x:v>100261</x:v>
      </x:c>
      <x:c r="B267" s="10" t="n">
        <x:v>45342</x:v>
      </x:c>
      <x:c r="C267" s="2" t="str">
        <x:v>Brasil</x:v>
      </x:c>
      <x:c r="D267" s="2" t="str">
        <x:v>Moda Infantil</x:v>
      </x:c>
      <x:c r="E267" s="11" t="n">
        <x:v>29</x:v>
      </x:c>
      <x:c r="F267" s="12" t="n">
        <x:v>119.99</x:v>
      </x:c>
      <x:c r="G267" s="12" t="n">
        <x:v>3479.71</x:v>
      </x:c>
      <x:c r="H267" s="13" t="n">
        <x:v>337</x:v>
      </x:c>
      <x:c r="I267" s="13" t="n">
        <x:f>YEAR(B267)</x:f>
        <x:v>2024</x:v>
      </x:c>
      <x:c r="J267" s="13" t="n">
        <x:f>MONTH(B267)</x:f>
        <x:v>2</x:v>
      </x:c>
      <x:c r="K267" s="14" t="n">
        <x:f>ROUND(E267*F267-G267,10)</x:f>
        <x:v>0</x:v>
      </x:c>
      <x:c r="L267" s="2"/>
      <x:c r="M267" s="2"/>
      <x:c r="N267" s="2"/>
      <x:c r="O267" s="2"/>
      <x:c r="P267" s="2"/>
      <x:c r="Q267" s="2"/>
      <x:c r="R267" s="2"/>
    </x:row>
    <x:row r="268" ht="22" customHeight="1">
      <x:c r="A268" s="2" t="n">
        <x:v>100262</x:v>
      </x:c>
      <x:c r="B268" s="10" t="n">
        <x:v>45526</x:v>
      </x:c>
      <x:c r="C268" s="2" t="str">
        <x:v>Argentina</x:v>
      </x:c>
      <x:c r="D268" s="2" t="str">
        <x:v>Moda Infantil</x:v>
      </x:c>
      <x:c r="E268" s="11" t="n">
        <x:v>19</x:v>
      </x:c>
      <x:c r="F268" s="12" t="n">
        <x:v>125.11</x:v>
      </x:c>
      <x:c r="G268" s="12" t="n">
        <x:v>2377.09</x:v>
      </x:c>
      <x:c r="H268" s="13" t="n">
        <x:v>135</x:v>
      </x:c>
      <x:c r="I268" s="13" t="n">
        <x:f>YEAR(B268)</x:f>
        <x:v>2024</x:v>
      </x:c>
      <x:c r="J268" s="13" t="n">
        <x:f>MONTH(B268)</x:f>
        <x:v>8</x:v>
      </x:c>
      <x:c r="K268" s="14" t="n">
        <x:f>ROUND(E268*F268-G268,10)</x:f>
        <x:v>0</x:v>
      </x:c>
      <x:c r="L268" s="2"/>
      <x:c r="M268" s="2"/>
      <x:c r="N268" s="2"/>
      <x:c r="O268" s="2"/>
      <x:c r="P268" s="2"/>
      <x:c r="Q268" s="2"/>
      <x:c r="R268" s="2"/>
    </x:row>
    <x:row r="269" ht="22" customHeight="1">
      <x:c r="A269" s="2" t="n">
        <x:v>100263</x:v>
      </x:c>
      <x:c r="B269" s="10" t="n">
        <x:v>45632</x:v>
      </x:c>
      <x:c r="C269" s="2" t="str">
        <x:v>Brasil</x:v>
      </x:c>
      <x:c r="D269" s="2" t="str">
        <x:v>Moda Feminina</x:v>
      </x:c>
      <x:c r="E269" s="11" t="n">
        <x:v>43</x:v>
      </x:c>
      <x:c r="F269" s="12" t="n">
        <x:v>57.26</x:v>
      </x:c>
      <x:c r="G269" s="12" t="n">
        <x:v>2462.18</x:v>
      </x:c>
      <x:c r="H269" s="13" t="n">
        <x:v>283</x:v>
      </x:c>
      <x:c r="I269" s="13" t="n">
        <x:f>YEAR(B269)</x:f>
        <x:v>2024</x:v>
      </x:c>
      <x:c r="J269" s="13" t="n">
        <x:f>MONTH(B269)</x:f>
        <x:v>12</x:v>
      </x:c>
      <x:c r="K269" s="14" t="n">
        <x:f>ROUND(E269*F269-G269,10)</x:f>
        <x:v>0</x:v>
      </x:c>
      <x:c r="L269" s="2"/>
      <x:c r="M269" s="2"/>
      <x:c r="N269" s="2"/>
      <x:c r="O269" s="2"/>
      <x:c r="P269" s="2"/>
      <x:c r="Q269" s="2"/>
      <x:c r="R269" s="2"/>
    </x:row>
    <x:row r="270" ht="22" customHeight="1">
      <x:c r="A270" s="2" t="n">
        <x:v>100264</x:v>
      </x:c>
      <x:c r="B270" s="10" t="n">
        <x:v>44940</x:v>
      </x:c>
      <x:c r="C270" s="2" t="str">
        <x:v>Chile</x:v>
      </x:c>
      <x:c r="D270" s="2" t="str">
        <x:v>Moda Feminina</x:v>
      </x:c>
      <x:c r="E270" s="11" t="n">
        <x:v>2</x:v>
      </x:c>
      <x:c r="F270" s="12" t="n">
        <x:v>173.25</x:v>
      </x:c>
      <x:c r="G270" s="12" t="n">
        <x:v>346.5</x:v>
      </x:c>
      <x:c r="H270" s="13" t="n">
        <x:v>284</x:v>
      </x:c>
      <x:c r="I270" s="13" t="n">
        <x:f>YEAR(B270)</x:f>
        <x:v>2023</x:v>
      </x:c>
      <x:c r="J270" s="13" t="n">
        <x:f>MONTH(B270)</x:f>
        <x:v>1</x:v>
      </x:c>
      <x:c r="K270" s="14" t="n">
        <x:f>ROUND(E270*F270-G270,10)</x:f>
        <x:v>0</x:v>
      </x:c>
      <x:c r="L270" s="2"/>
      <x:c r="M270" s="2"/>
      <x:c r="N270" s="2"/>
      <x:c r="O270" s="2"/>
      <x:c r="P270" s="2"/>
      <x:c r="Q270" s="2"/>
      <x:c r="R270" s="2"/>
    </x:row>
    <x:row r="271" ht="22" customHeight="1">
      <x:c r="A271" s="2" t="n">
        <x:v>100265</x:v>
      </x:c>
      <x:c r="B271" s="10" t="n">
        <x:v>45155</x:v>
      </x:c>
      <x:c r="C271" s="2" t="str">
        <x:v>Colômbia</x:v>
      </x:c>
      <x:c r="D271" s="2" t="str">
        <x:v>Calçados</x:v>
      </x:c>
      <x:c r="E271" s="11" t="n">
        <x:v>10</x:v>
      </x:c>
      <x:c r="F271" s="12" t="n">
        <x:v>35.17</x:v>
      </x:c>
      <x:c r="G271" s="12" t="n">
        <x:v>351.7</x:v>
      </x:c>
      <x:c r="H271" s="13" t="n">
        <x:v>362</x:v>
      </x:c>
      <x:c r="I271" s="13" t="n">
        <x:f>YEAR(B271)</x:f>
        <x:v>2023</x:v>
      </x:c>
      <x:c r="J271" s="13" t="n">
        <x:f>MONTH(B271)</x:f>
        <x:v>8</x:v>
      </x:c>
      <x:c r="K271" s="14" t="n">
        <x:f>ROUND(E271*F271-G271,10)</x:f>
        <x:v>0</x:v>
      </x:c>
      <x:c r="L271" s="2"/>
      <x:c r="M271" s="2"/>
      <x:c r="N271" s="2"/>
      <x:c r="O271" s="2"/>
      <x:c r="P271" s="2"/>
      <x:c r="Q271" s="2"/>
      <x:c r="R271" s="2"/>
    </x:row>
    <x:row r="272" ht="22" customHeight="1">
      <x:c r="A272" s="2" t="n">
        <x:v>100266</x:v>
      </x:c>
      <x:c r="B272" s="10" t="n">
        <x:v>45285</x:v>
      </x:c>
      <x:c r="C272" s="2" t="str">
        <x:v>Brasil</x:v>
      </x:c>
      <x:c r="D272" s="2" t="str">
        <x:v>Calçados</x:v>
      </x:c>
      <x:c r="E272" s="11" t="n">
        <x:v>43</x:v>
      </x:c>
      <x:c r="F272" s="12" t="n">
        <x:v>84.1</x:v>
      </x:c>
      <x:c r="G272" s="12" t="n">
        <x:v>3616.3</x:v>
      </x:c>
      <x:c r="H272" s="13" t="n">
        <x:v>414</x:v>
      </x:c>
      <x:c r="I272" s="13" t="n">
        <x:f>YEAR(B272)</x:f>
        <x:v>2023</x:v>
      </x:c>
      <x:c r="J272" s="13" t="n">
        <x:f>MONTH(B272)</x:f>
        <x:v>12</x:v>
      </x:c>
      <x:c r="K272" s="14" t="n">
        <x:f>ROUND(E272*F272-G272,10)</x:f>
        <x:v>0</x:v>
      </x:c>
      <x:c r="L272" s="2"/>
      <x:c r="M272" s="2"/>
      <x:c r="N272" s="2"/>
      <x:c r="O272" s="2"/>
      <x:c r="P272" s="2"/>
      <x:c r="Q272" s="2"/>
      <x:c r="R272" s="2"/>
    </x:row>
    <x:row r="273" ht="22" customHeight="1">
      <x:c r="A273" s="2" t="n">
        <x:v>100267</x:v>
      </x:c>
      <x:c r="B273" s="10" t="n">
        <x:v>45429</x:v>
      </x:c>
      <x:c r="C273" s="2" t="str">
        <x:v>Brasil</x:v>
      </x:c>
      <x:c r="D273" s="2" t="str">
        <x:v>Moda Masculina</x:v>
      </x:c>
      <x:c r="E273" s="11" t="n">
        <x:v>25</x:v>
      </x:c>
      <x:c r="F273" s="12" t="n">
        <x:v>142.47</x:v>
      </x:c>
      <x:c r="G273" s="12" t="n">
        <x:v>3561.75</x:v>
      </x:c>
      <x:c r="H273" s="13" t="n">
        <x:v>314</x:v>
      </x:c>
      <x:c r="I273" s="13" t="n">
        <x:f>YEAR(B273)</x:f>
        <x:v>2024</x:v>
      </x:c>
      <x:c r="J273" s="13" t="n">
        <x:f>MONTH(B273)</x:f>
        <x:v>5</x:v>
      </x:c>
      <x:c r="K273" s="14" t="n">
        <x:f>ROUND(E273*F273-G273,10)</x:f>
        <x:v>0</x:v>
      </x:c>
      <x:c r="L273" s="2"/>
      <x:c r="M273" s="2"/>
      <x:c r="N273" s="2"/>
      <x:c r="O273" s="2"/>
      <x:c r="P273" s="2"/>
      <x:c r="Q273" s="2"/>
      <x:c r="R273" s="2"/>
    </x:row>
    <x:row r="274" ht="22" customHeight="1">
      <x:c r="A274" s="2" t="n">
        <x:v>100268</x:v>
      </x:c>
      <x:c r="B274" s="10" t="n">
        <x:v>45354</x:v>
      </x:c>
      <x:c r="C274" s="2" t="str">
        <x:v>Argentina</x:v>
      </x:c>
      <x:c r="D274" s="2" t="str">
        <x:v>Calçados</x:v>
      </x:c>
      <x:c r="E274" s="11" t="n">
        <x:v>20</x:v>
      </x:c>
      <x:c r="F274" s="12" t="n">
        <x:v>69.34</x:v>
      </x:c>
      <x:c r="G274" s="12" t="n">
        <x:v>1386.8</x:v>
      </x:c>
      <x:c r="H274" s="13" t="n">
        <x:v>336</x:v>
      </x:c>
      <x:c r="I274" s="13" t="n">
        <x:f>YEAR(B274)</x:f>
        <x:v>2024</x:v>
      </x:c>
      <x:c r="J274" s="13" t="n">
        <x:f>MONTH(B274)</x:f>
        <x:v>3</x:v>
      </x:c>
      <x:c r="K274" s="14" t="n">
        <x:f>ROUND(E274*F274-G274,10)</x:f>
        <x:v>0</x:v>
      </x:c>
      <x:c r="L274" s="2"/>
      <x:c r="M274" s="2"/>
      <x:c r="N274" s="2"/>
      <x:c r="O274" s="2"/>
      <x:c r="P274" s="2"/>
      <x:c r="Q274" s="2"/>
      <x:c r="R274" s="2"/>
    </x:row>
    <x:row r="275" ht="22" customHeight="1">
      <x:c r="A275" s="2" t="n">
        <x:v>100269</x:v>
      </x:c>
      <x:c r="B275" s="10" t="n">
        <x:v>45619</x:v>
      </x:c>
      <x:c r="C275" s="2" t="str">
        <x:v>Peru</x:v>
      </x:c>
      <x:c r="D275" s="2" t="str">
        <x:v>Moda Masculina</x:v>
      </x:c>
      <x:c r="E275" s="11" t="n">
        <x:v>48</x:v>
      </x:c>
      <x:c r="F275" s="12" t="n">
        <x:v>168.98</x:v>
      </x:c>
      <x:c r="G275" s="12" t="n">
        <x:v>8111.039999999999</x:v>
      </x:c>
      <x:c r="H275" s="13" t="n">
        <x:v>376</x:v>
      </x:c>
      <x:c r="I275" s="13" t="n">
        <x:f>YEAR(B275)</x:f>
        <x:v>2024</x:v>
      </x:c>
      <x:c r="J275" s="13" t="n">
        <x:f>MONTH(B275)</x:f>
        <x:v>11</x:v>
      </x:c>
      <x:c r="K275" s="14" t="n">
        <x:f>ROUND(E275*F275-G275,10)</x:f>
        <x:v>0</x:v>
      </x:c>
      <x:c r="L275" s="2"/>
      <x:c r="M275" s="2"/>
      <x:c r="N275" s="2"/>
      <x:c r="O275" s="2"/>
      <x:c r="P275" s="2"/>
      <x:c r="Q275" s="2"/>
      <x:c r="R275" s="2"/>
    </x:row>
    <x:row r="276" ht="22" customHeight="1">
      <x:c r="A276" s="2" t="n">
        <x:v>100270</x:v>
      </x:c>
      <x:c r="B276" s="10" t="n">
        <x:v>45553</x:v>
      </x:c>
      <x:c r="C276" s="2" t="str">
        <x:v>Argentina</x:v>
      </x:c>
      <x:c r="D276" s="2" t="str">
        <x:v>Acessórios</x:v>
      </x:c>
      <x:c r="E276" s="11" t="n">
        <x:v>19</x:v>
      </x:c>
      <x:c r="F276" s="12" t="n">
        <x:v>153.18</x:v>
      </x:c>
      <x:c r="G276" s="12" t="n">
        <x:v>2910.42</x:v>
      </x:c>
      <x:c r="H276" s="13" t="n">
        <x:v>442</x:v>
      </x:c>
      <x:c r="I276" s="13" t="n">
        <x:f>YEAR(B276)</x:f>
        <x:v>2024</x:v>
      </x:c>
      <x:c r="J276" s="13" t="n">
        <x:f>MONTH(B276)</x:f>
        <x:v>9</x:v>
      </x:c>
      <x:c r="K276" s="14" t="n">
        <x:f>ROUND(E276*F276-G276,10)</x:f>
        <x:v>0</x:v>
      </x:c>
      <x:c r="L276" s="2"/>
      <x:c r="M276" s="2"/>
      <x:c r="N276" s="2"/>
      <x:c r="O276" s="2"/>
      <x:c r="P276" s="2"/>
      <x:c r="Q276" s="2"/>
      <x:c r="R276" s="2"/>
    </x:row>
    <x:row r="277" ht="22" customHeight="1">
      <x:c r="A277" s="2" t="n">
        <x:v>100271</x:v>
      </x:c>
      <x:c r="B277" s="10" t="n">
        <x:v>45567</x:v>
      </x:c>
      <x:c r="C277" s="2" t="str">
        <x:v>Chile</x:v>
      </x:c>
      <x:c r="D277" s="2" t="str">
        <x:v>Moda Feminina</x:v>
      </x:c>
      <x:c r="E277" s="11" t="n">
        <x:v>23</x:v>
      </x:c>
      <x:c r="F277" s="12" t="n">
        <x:v>162.02</x:v>
      </x:c>
      <x:c r="G277" s="12" t="n">
        <x:v>3726.46</x:v>
      </x:c>
      <x:c r="H277" s="13" t="n">
        <x:v>318</x:v>
      </x:c>
      <x:c r="I277" s="13" t="n">
        <x:f>YEAR(B277)</x:f>
        <x:v>2024</x:v>
      </x:c>
      <x:c r="J277" s="13" t="n">
        <x:f>MONTH(B277)</x:f>
        <x:v>10</x:v>
      </x:c>
      <x:c r="K277" s="14" t="n">
        <x:f>ROUND(E277*F277-G277,10)</x:f>
        <x:v>0</x:v>
      </x:c>
      <x:c r="L277" s="2"/>
      <x:c r="M277" s="2"/>
      <x:c r="N277" s="2"/>
      <x:c r="O277" s="2"/>
      <x:c r="P277" s="2"/>
      <x:c r="Q277" s="2"/>
      <x:c r="R277" s="2"/>
    </x:row>
    <x:row r="278" ht="22" customHeight="1">
      <x:c r="A278" s="2" t="n">
        <x:v>100272</x:v>
      </x:c>
      <x:c r="B278" s="10" t="n">
        <x:v>45508</x:v>
      </x:c>
      <x:c r="C278" s="2" t="str">
        <x:v>Colômbia</x:v>
      </x:c>
      <x:c r="D278" s="2" t="str">
        <x:v>Acessórios</x:v>
      </x:c>
      <x:c r="E278" s="11" t="n">
        <x:v>24</x:v>
      </x:c>
      <x:c r="F278" s="12" t="n">
        <x:v>41.44</x:v>
      </x:c>
      <x:c r="G278" s="12" t="n">
        <x:v>994.56</x:v>
      </x:c>
      <x:c r="H278" s="13" t="n">
        <x:v>235</x:v>
      </x:c>
      <x:c r="I278" s="13" t="n">
        <x:f>YEAR(B278)</x:f>
        <x:v>2024</x:v>
      </x:c>
      <x:c r="J278" s="13" t="n">
        <x:f>MONTH(B278)</x:f>
        <x:v>8</x:v>
      </x:c>
      <x:c r="K278" s="14" t="n">
        <x:f>ROUND(E278*F278-G278,10)</x:f>
        <x:v>0</x:v>
      </x:c>
      <x:c r="L278" s="2"/>
      <x:c r="M278" s="2"/>
      <x:c r="N278" s="2"/>
      <x:c r="O278" s="2"/>
      <x:c r="P278" s="2"/>
      <x:c r="Q278" s="2"/>
      <x:c r="R278" s="2"/>
    </x:row>
    <x:row r="279" ht="22" customHeight="1">
      <x:c r="A279" s="2" t="n">
        <x:v>100273</x:v>
      </x:c>
      <x:c r="B279" s="10" t="n">
        <x:v>45214</x:v>
      </x:c>
      <x:c r="C279" s="2" t="str">
        <x:v>Argentina</x:v>
      </x:c>
      <x:c r="D279" s="2" t="str">
        <x:v>Calçados</x:v>
      </x:c>
      <x:c r="E279" s="11" t="n">
        <x:v>11</x:v>
      </x:c>
      <x:c r="F279" s="12" t="n">
        <x:v>45.3</x:v>
      </x:c>
      <x:c r="G279" s="12" t="n">
        <x:v>498.3</x:v>
      </x:c>
      <x:c r="H279" s="13" t="n">
        <x:v>180</x:v>
      </x:c>
      <x:c r="I279" s="13" t="n">
        <x:f>YEAR(B279)</x:f>
        <x:v>2023</x:v>
      </x:c>
      <x:c r="J279" s="13" t="n">
        <x:f>MONTH(B279)</x:f>
        <x:v>10</x:v>
      </x:c>
      <x:c r="K279" s="14" t="n">
        <x:f>ROUND(E279*F279-G279,10)</x:f>
        <x:v>0</x:v>
      </x:c>
      <x:c r="L279" s="2"/>
      <x:c r="M279" s="2"/>
      <x:c r="N279" s="2"/>
      <x:c r="O279" s="2"/>
      <x:c r="P279" s="2"/>
      <x:c r="Q279" s="2"/>
      <x:c r="R279" s="2"/>
    </x:row>
    <x:row r="280" ht="22" customHeight="1">
      <x:c r="A280" s="2" t="n">
        <x:v>100274</x:v>
      </x:c>
      <x:c r="B280" s="10" t="n">
        <x:v>45383</x:v>
      </x:c>
      <x:c r="C280" s="2" t="str">
        <x:v>Brasil</x:v>
      </x:c>
      <x:c r="D280" s="2" t="str">
        <x:v>Acessórios</x:v>
      </x:c>
      <x:c r="E280" s="11" t="n">
        <x:v>46</x:v>
      </x:c>
      <x:c r="F280" s="12" t="n">
        <x:v>71.57</x:v>
      </x:c>
      <x:c r="G280" s="12" t="n">
        <x:v>3292.22</x:v>
      </x:c>
      <x:c r="H280" s="13" t="n">
        <x:v>340</x:v>
      </x:c>
      <x:c r="I280" s="13" t="n">
        <x:f>YEAR(B280)</x:f>
        <x:v>2024</x:v>
      </x:c>
      <x:c r="J280" s="13" t="n">
        <x:f>MONTH(B280)</x:f>
        <x:v>4</x:v>
      </x:c>
      <x:c r="K280" s="14" t="n">
        <x:f>ROUND(E280*F280-G280,10)</x:f>
        <x:v>0</x:v>
      </x:c>
      <x:c r="L280" s="2"/>
      <x:c r="M280" s="2"/>
      <x:c r="N280" s="2"/>
      <x:c r="O280" s="2"/>
      <x:c r="P280" s="2"/>
      <x:c r="Q280" s="2"/>
      <x:c r="R280" s="2"/>
    </x:row>
    <x:row r="281" ht="22" customHeight="1">
      <x:c r="A281" s="2" t="n">
        <x:v>100275</x:v>
      </x:c>
      <x:c r="B281" s="10" t="n">
        <x:v>45430</x:v>
      </x:c>
      <x:c r="C281" s="2" t="str">
        <x:v>Colômbia</x:v>
      </x:c>
      <x:c r="D281" s="2" t="str">
        <x:v>Acessórios</x:v>
      </x:c>
      <x:c r="E281" s="11" t="n">
        <x:v>34</x:v>
      </x:c>
      <x:c r="F281" s="12" t="n">
        <x:v>113.25</x:v>
      </x:c>
      <x:c r="G281" s="12" t="n">
        <x:v>3850.5</x:v>
      </x:c>
      <x:c r="H281" s="13" t="n">
        <x:v>326</x:v>
      </x:c>
      <x:c r="I281" s="13" t="n">
        <x:f>YEAR(B281)</x:f>
        <x:v>2024</x:v>
      </x:c>
      <x:c r="J281" s="13" t="n">
        <x:f>MONTH(B281)</x:f>
        <x:v>5</x:v>
      </x:c>
      <x:c r="K281" s="14" t="n">
        <x:f>ROUND(E281*F281-G281,10)</x:f>
        <x:v>0</x:v>
      </x:c>
      <x:c r="L281" s="2"/>
      <x:c r="M281" s="2"/>
      <x:c r="N281" s="2"/>
      <x:c r="O281" s="2"/>
      <x:c r="P281" s="2"/>
      <x:c r="Q281" s="2"/>
      <x:c r="R281" s="2"/>
    </x:row>
    <x:row r="282" ht="22" customHeight="1">
      <x:c r="A282" s="2" t="n">
        <x:v>100276</x:v>
      </x:c>
      <x:c r="B282" s="10" t="n">
        <x:v>45372</x:v>
      </x:c>
      <x:c r="C282" s="2" t="str">
        <x:v>Colômbia</x:v>
      </x:c>
      <x:c r="D282" s="2" t="str">
        <x:v>Acessórios</x:v>
      </x:c>
      <x:c r="E282" s="11" t="n">
        <x:v>28</x:v>
      </x:c>
      <x:c r="F282" s="12" t="n">
        <x:v>154.64</x:v>
      </x:c>
      <x:c r="G282" s="12" t="n">
        <x:v>4329.92</x:v>
      </x:c>
      <x:c r="H282" s="13" t="n">
        <x:v>369</x:v>
      </x:c>
      <x:c r="I282" s="13" t="n">
        <x:f>YEAR(B282)</x:f>
        <x:v>2024</x:v>
      </x:c>
      <x:c r="J282" s="13" t="n">
        <x:f>MONTH(B282)</x:f>
        <x:v>3</x:v>
      </x:c>
      <x:c r="K282" s="14" t="n">
        <x:f>ROUND(E282*F282-G282,10)</x:f>
        <x:v>0</x:v>
      </x:c>
      <x:c r="L282" s="2"/>
      <x:c r="M282" s="2"/>
      <x:c r="N282" s="2"/>
      <x:c r="O282" s="2"/>
      <x:c r="P282" s="2"/>
      <x:c r="Q282" s="2"/>
      <x:c r="R282" s="2"/>
    </x:row>
    <x:row r="283" ht="22" customHeight="1">
      <x:c r="A283" s="2" t="n">
        <x:v>100277</x:v>
      </x:c>
      <x:c r="B283" s="10" t="n">
        <x:v>45021</x:v>
      </x:c>
      <x:c r="C283" s="2" t="str">
        <x:v>Brasil</x:v>
      </x:c>
      <x:c r="D283" s="2" t="str">
        <x:v>Calçados</x:v>
      </x:c>
      <x:c r="E283" s="11" t="n">
        <x:v>5</x:v>
      </x:c>
      <x:c r="F283" s="12" t="n">
        <x:v>170.58</x:v>
      </x:c>
      <x:c r="G283" s="12" t="n">
        <x:v>852.9000000000001</x:v>
      </x:c>
      <x:c r="H283" s="13" t="n">
        <x:v>400</x:v>
      </x:c>
      <x:c r="I283" s="13" t="n">
        <x:f>YEAR(B283)</x:f>
        <x:v>2023</x:v>
      </x:c>
      <x:c r="J283" s="13" t="n">
        <x:f>MONTH(B283)</x:f>
        <x:v>4</x:v>
      </x:c>
      <x:c r="K283" s="14" t="n">
        <x:f>ROUND(E283*F283-G283,10)</x:f>
        <x:v>0</x:v>
      </x:c>
      <x:c r="L283" s="2"/>
      <x:c r="M283" s="2"/>
      <x:c r="N283" s="2"/>
      <x:c r="O283" s="2"/>
      <x:c r="P283" s="2"/>
      <x:c r="Q283" s="2"/>
      <x:c r="R283" s="2"/>
    </x:row>
    <x:row r="284" ht="22" customHeight="1">
      <x:c r="A284" s="2" t="n">
        <x:v>100278</x:v>
      </x:c>
      <x:c r="B284" s="10" t="n">
        <x:v>45469</x:v>
      </x:c>
      <x:c r="C284" s="2" t="str">
        <x:v>Argentina</x:v>
      </x:c>
      <x:c r="D284" s="2" t="str">
        <x:v>Acessórios</x:v>
      </x:c>
      <x:c r="E284" s="11" t="n">
        <x:v>5</x:v>
      </x:c>
      <x:c r="F284" s="12" t="n">
        <x:v>146.78</x:v>
      </x:c>
      <x:c r="G284" s="12" t="n">
        <x:v>733.9</x:v>
      </x:c>
      <x:c r="H284" s="13" t="n">
        <x:v>229</x:v>
      </x:c>
      <x:c r="I284" s="13" t="n">
        <x:f>YEAR(B284)</x:f>
        <x:v>2024</x:v>
      </x:c>
      <x:c r="J284" s="13" t="n">
        <x:f>MONTH(B284)</x:f>
        <x:v>6</x:v>
      </x:c>
      <x:c r="K284" s="14" t="n">
        <x:f>ROUND(E284*F284-G284,10)</x:f>
        <x:v>0</x:v>
      </x:c>
      <x:c r="L284" s="2"/>
      <x:c r="M284" s="2"/>
      <x:c r="N284" s="2"/>
      <x:c r="O284" s="2"/>
      <x:c r="P284" s="2"/>
      <x:c r="Q284" s="2"/>
      <x:c r="R284" s="2"/>
    </x:row>
    <x:row r="285" ht="22" customHeight="1">
      <x:c r="A285" s="2" t="n">
        <x:v>100279</x:v>
      </x:c>
      <x:c r="B285" s="10" t="n">
        <x:v>45064</x:v>
      </x:c>
      <x:c r="C285" s="2" t="str">
        <x:v>Brasil</x:v>
      </x:c>
      <x:c r="D285" s="2" t="str">
        <x:v>Moda Masculina</x:v>
      </x:c>
      <x:c r="E285" s="11" t="n">
        <x:v>21</x:v>
      </x:c>
      <x:c r="F285" s="12" t="n">
        <x:v>187.15</x:v>
      </x:c>
      <x:c r="G285" s="12" t="n">
        <x:v>3930.15</x:v>
      </x:c>
      <x:c r="H285" s="13" t="n">
        <x:v>339</x:v>
      </x:c>
      <x:c r="I285" s="13" t="n">
        <x:f>YEAR(B285)</x:f>
        <x:v>2023</x:v>
      </x:c>
      <x:c r="J285" s="13" t="n">
        <x:f>MONTH(B285)</x:f>
        <x:v>5</x:v>
      </x:c>
      <x:c r="K285" s="14" t="n">
        <x:f>ROUND(E285*F285-G285,10)</x:f>
        <x:v>0</x:v>
      </x:c>
      <x:c r="L285" s="2"/>
      <x:c r="M285" s="2"/>
      <x:c r="N285" s="2"/>
      <x:c r="O285" s="2"/>
      <x:c r="P285" s="2"/>
      <x:c r="Q285" s="2"/>
      <x:c r="R285" s="2"/>
    </x:row>
    <x:row r="286" ht="22" customHeight="1">
      <x:c r="A286" s="2" t="n">
        <x:v>100280</x:v>
      </x:c>
      <x:c r="B286" s="10" t="n">
        <x:v>45044</x:v>
      </x:c>
      <x:c r="C286" s="2" t="str">
        <x:v>Peru</x:v>
      </x:c>
      <x:c r="D286" s="2" t="str">
        <x:v>Calçados</x:v>
      </x:c>
      <x:c r="E286" s="11" t="n">
        <x:v>12</x:v>
      </x:c>
      <x:c r="F286" s="12" t="n">
        <x:v>152.97</x:v>
      </x:c>
      <x:c r="G286" s="12" t="n">
        <x:v>1835.64</x:v>
      </x:c>
      <x:c r="H286" s="13" t="n">
        <x:v>426</x:v>
      </x:c>
      <x:c r="I286" s="13" t="n">
        <x:f>YEAR(B286)</x:f>
        <x:v>2023</x:v>
      </x:c>
      <x:c r="J286" s="13" t="n">
        <x:f>MONTH(B286)</x:f>
        <x:v>4</x:v>
      </x:c>
      <x:c r="K286" s="14" t="n">
        <x:f>ROUND(E286*F286-G286,10)</x:f>
        <x:v>0</x:v>
      </x:c>
      <x:c r="L286" s="2"/>
      <x:c r="M286" s="2"/>
      <x:c r="N286" s="2"/>
      <x:c r="O286" s="2"/>
      <x:c r="P286" s="2"/>
      <x:c r="Q286" s="2"/>
      <x:c r="R286" s="2"/>
    </x:row>
    <x:row r="287" ht="22" customHeight="1">
      <x:c r="A287" s="2" t="n">
        <x:v>100281</x:v>
      </x:c>
      <x:c r="B287" s="10" t="n">
        <x:v>45000</x:v>
      </x:c>
      <x:c r="C287" s="2" t="str">
        <x:v>Colômbia</x:v>
      </x:c>
      <x:c r="D287" s="2" t="str">
        <x:v>Acessórios</x:v>
      </x:c>
      <x:c r="E287" s="11" t="n">
        <x:v>4</x:v>
      </x:c>
      <x:c r="F287" s="12" t="n">
        <x:v>75.13</x:v>
      </x:c>
      <x:c r="G287" s="12" t="n">
        <x:v>300.52</x:v>
      </x:c>
      <x:c r="H287" s="13" t="n">
        <x:v>212</x:v>
      </x:c>
      <x:c r="I287" s="13" t="n">
        <x:f>YEAR(B287)</x:f>
        <x:v>2023</x:v>
      </x:c>
      <x:c r="J287" s="13" t="n">
        <x:f>MONTH(B287)</x:f>
        <x:v>3</x:v>
      </x:c>
      <x:c r="K287" s="14" t="n">
        <x:f>ROUND(E287*F287-G287,10)</x:f>
        <x:v>0</x:v>
      </x:c>
      <x:c r="L287" s="2"/>
      <x:c r="M287" s="2"/>
      <x:c r="N287" s="2"/>
      <x:c r="O287" s="2"/>
      <x:c r="P287" s="2"/>
      <x:c r="Q287" s="2"/>
      <x:c r="R287" s="2"/>
    </x:row>
    <x:row r="288" ht="22" customHeight="1">
      <x:c r="A288" s="2" t="n">
        <x:v>100282</x:v>
      </x:c>
      <x:c r="B288" s="10" t="n">
        <x:v>45418</x:v>
      </x:c>
      <x:c r="C288" s="2" t="str">
        <x:v>México</x:v>
      </x:c>
      <x:c r="D288" s="2" t="str">
        <x:v>Calçados</x:v>
      </x:c>
      <x:c r="E288" s="11" t="n">
        <x:v>49</x:v>
      </x:c>
      <x:c r="F288" s="12" t="n">
        <x:v>67.71</x:v>
      </x:c>
      <x:c r="G288" s="12" t="n">
        <x:v>3317.79</x:v>
      </x:c>
      <x:c r="H288" s="13" t="n">
        <x:v>320</x:v>
      </x:c>
      <x:c r="I288" s="13" t="n">
        <x:f>YEAR(B288)</x:f>
        <x:v>2024</x:v>
      </x:c>
      <x:c r="J288" s="13" t="n">
        <x:f>MONTH(B288)</x:f>
        <x:v>5</x:v>
      </x:c>
      <x:c r="K288" s="14" t="n">
        <x:f>ROUND(E288*F288-G288,10)</x:f>
        <x:v>0</x:v>
      </x:c>
      <x:c r="L288" s="2"/>
      <x:c r="M288" s="2"/>
      <x:c r="N288" s="2"/>
      <x:c r="O288" s="2"/>
      <x:c r="P288" s="2"/>
      <x:c r="Q288" s="2"/>
      <x:c r="R288" s="2"/>
    </x:row>
    <x:row r="289" ht="22" customHeight="1">
      <x:c r="A289" s="2" t="n">
        <x:v>100283</x:v>
      </x:c>
      <x:c r="B289" s="10" t="n">
        <x:v>45132</x:v>
      </x:c>
      <x:c r="C289" s="2" t="str">
        <x:v>México</x:v>
      </x:c>
      <x:c r="D289" s="2" t="str">
        <x:v>Moda Infantil</x:v>
      </x:c>
      <x:c r="E289" s="11" t="n">
        <x:v>42</x:v>
      </x:c>
      <x:c r="F289" s="12" t="n">
        <x:v>145.31</x:v>
      </x:c>
      <x:c r="G289" s="12" t="n">
        <x:v>6103.02</x:v>
      </x:c>
      <x:c r="H289" s="13" t="n">
        <x:v>425</x:v>
      </x:c>
      <x:c r="I289" s="13" t="n">
        <x:f>YEAR(B289)</x:f>
        <x:v>2023</x:v>
      </x:c>
      <x:c r="J289" s="13" t="n">
        <x:f>MONTH(B289)</x:f>
        <x:v>7</x:v>
      </x:c>
      <x:c r="K289" s="14" t="n">
        <x:f>ROUND(E289*F289-G289,10)</x:f>
        <x:v>0</x:v>
      </x:c>
      <x:c r="L289" s="2"/>
      <x:c r="M289" s="2"/>
      <x:c r="N289" s="2"/>
      <x:c r="O289" s="2"/>
      <x:c r="P289" s="2"/>
      <x:c r="Q289" s="2"/>
      <x:c r="R289" s="2"/>
    </x:row>
    <x:row r="290" ht="22" customHeight="1">
      <x:c r="A290" s="2" t="n">
        <x:v>100284</x:v>
      </x:c>
      <x:c r="B290" s="10" t="n">
        <x:v>45537</x:v>
      </x:c>
      <x:c r="C290" s="2" t="str">
        <x:v>Chile</x:v>
      </x:c>
      <x:c r="D290" s="2" t="str">
        <x:v>Moda Masculina</x:v>
      </x:c>
      <x:c r="E290" s="11" t="n">
        <x:v>20</x:v>
      </x:c>
      <x:c r="F290" s="12" t="n">
        <x:v>54.72</x:v>
      </x:c>
      <x:c r="G290" s="12" t="n">
        <x:v>1094.4</x:v>
      </x:c>
      <x:c r="H290" s="13" t="n">
        <x:v>145</x:v>
      </x:c>
      <x:c r="I290" s="13" t="n">
        <x:f>YEAR(B290)</x:f>
        <x:v>2024</x:v>
      </x:c>
      <x:c r="J290" s="13" t="n">
        <x:f>MONTH(B290)</x:f>
        <x:v>9</x:v>
      </x:c>
      <x:c r="K290" s="14" t="n">
        <x:f>ROUND(E290*F290-G290,10)</x:f>
        <x:v>0</x:v>
      </x:c>
      <x:c r="L290" s="2"/>
      <x:c r="M290" s="2"/>
      <x:c r="N290" s="2"/>
      <x:c r="O290" s="2"/>
      <x:c r="P290" s="2"/>
      <x:c r="Q290" s="2"/>
      <x:c r="R290" s="2"/>
    </x:row>
    <x:row r="291" ht="22" customHeight="1">
      <x:c r="A291" s="2" t="n">
        <x:v>100285</x:v>
      </x:c>
      <x:c r="B291" s="10" t="n">
        <x:v>45001</x:v>
      </x:c>
      <x:c r="C291" s="2" t="str">
        <x:v>Brasil</x:v>
      </x:c>
      <x:c r="D291" s="2" t="str">
        <x:v>Acessórios</x:v>
      </x:c>
      <x:c r="E291" s="11" t="n">
        <x:v>38</x:v>
      </x:c>
      <x:c r="F291" s="12" t="n">
        <x:v>36.69</x:v>
      </x:c>
      <x:c r="G291" s="12" t="n">
        <x:v>1394.22</x:v>
      </x:c>
      <x:c r="H291" s="13" t="n">
        <x:v>311</x:v>
      </x:c>
      <x:c r="I291" s="13" t="n">
        <x:f>YEAR(B291)</x:f>
        <x:v>2023</x:v>
      </x:c>
      <x:c r="J291" s="13" t="n">
        <x:f>MONTH(B291)</x:f>
        <x:v>3</x:v>
      </x:c>
      <x:c r="K291" s="14" t="n">
        <x:f>ROUND(E291*F291-G291,10)</x:f>
        <x:v>0</x:v>
      </x:c>
      <x:c r="L291" s="2"/>
      <x:c r="M291" s="2"/>
      <x:c r="N291" s="2"/>
      <x:c r="O291" s="2"/>
      <x:c r="P291" s="2"/>
      <x:c r="Q291" s="2"/>
      <x:c r="R291" s="2"/>
    </x:row>
    <x:row r="292" ht="22" customHeight="1">
      <x:c r="A292" s="2" t="n">
        <x:v>100286</x:v>
      </x:c>
      <x:c r="B292" s="10" t="n">
        <x:v>45110</x:v>
      </x:c>
      <x:c r="C292" s="2" t="str">
        <x:v>Brasil</x:v>
      </x:c>
      <x:c r="D292" s="2" t="str">
        <x:v>Moda Infantil</x:v>
      </x:c>
      <x:c r="E292" s="11" t="n">
        <x:v>25</x:v>
      </x:c>
      <x:c r="F292" s="12" t="n">
        <x:v>115.8</x:v>
      </x:c>
      <x:c r="G292" s="12" t="n">
        <x:v>2895</x:v>
      </x:c>
      <x:c r="H292" s="13" t="n">
        <x:v>414</x:v>
      </x:c>
      <x:c r="I292" s="13" t="n">
        <x:f>YEAR(B292)</x:f>
        <x:v>2023</x:v>
      </x:c>
      <x:c r="J292" s="13" t="n">
        <x:f>MONTH(B292)</x:f>
        <x:v>7</x:v>
      </x:c>
      <x:c r="K292" s="14" t="n">
        <x:f>ROUND(E292*F292-G292,10)</x:f>
        <x:v>0</x:v>
      </x:c>
      <x:c r="L292" s="2"/>
      <x:c r="M292" s="2"/>
      <x:c r="N292" s="2"/>
      <x:c r="O292" s="2"/>
      <x:c r="P292" s="2"/>
      <x:c r="Q292" s="2"/>
      <x:c r="R292" s="2"/>
    </x:row>
    <x:row r="293" ht="22" customHeight="1">
      <x:c r="A293" s="2" t="n">
        <x:v>100287</x:v>
      </x:c>
      <x:c r="B293" s="10" t="n">
        <x:v>45409</x:v>
      </x:c>
      <x:c r="C293" s="2" t="str">
        <x:v>Chile</x:v>
      </x:c>
      <x:c r="D293" s="2" t="str">
        <x:v>Moda Infantil</x:v>
      </x:c>
      <x:c r="E293" s="11" t="n">
        <x:v>14</x:v>
      </x:c>
      <x:c r="F293" s="12" t="n">
        <x:v>167.9</x:v>
      </x:c>
      <x:c r="G293" s="12" t="n">
        <x:v>2350.6</x:v>
      </x:c>
      <x:c r="H293" s="13" t="n">
        <x:v>402</x:v>
      </x:c>
      <x:c r="I293" s="13" t="n">
        <x:f>YEAR(B293)</x:f>
        <x:v>2024</x:v>
      </x:c>
      <x:c r="J293" s="13" t="n">
        <x:f>MONTH(B293)</x:f>
        <x:v>4</x:v>
      </x:c>
      <x:c r="K293" s="14" t="n">
        <x:f>ROUND(E293*F293-G293,10)</x:f>
        <x:v>0</x:v>
      </x:c>
      <x:c r="L293" s="2"/>
      <x:c r="M293" s="2"/>
      <x:c r="N293" s="2"/>
      <x:c r="O293" s="2"/>
      <x:c r="P293" s="2"/>
      <x:c r="Q293" s="2"/>
      <x:c r="R293" s="2"/>
    </x:row>
    <x:row r="294" ht="22" customHeight="1">
      <x:c r="A294" s="2" t="n">
        <x:v>100288</x:v>
      </x:c>
      <x:c r="B294" s="10" t="n">
        <x:v>45481</x:v>
      </x:c>
      <x:c r="C294" s="2" t="str">
        <x:v>Chile</x:v>
      </x:c>
      <x:c r="D294" s="2" t="str">
        <x:v>Calçados</x:v>
      </x:c>
      <x:c r="E294" s="11" t="n">
        <x:v>11</x:v>
      </x:c>
      <x:c r="F294" s="12" t="n">
        <x:v>38.25</x:v>
      </x:c>
      <x:c r="G294" s="12" t="n">
        <x:v>420.75</x:v>
      </x:c>
      <x:c r="H294" s="13" t="n">
        <x:v>337</x:v>
      </x:c>
      <x:c r="I294" s="13" t="n">
        <x:f>YEAR(B294)</x:f>
        <x:v>2024</x:v>
      </x:c>
      <x:c r="J294" s="13" t="n">
        <x:f>MONTH(B294)</x:f>
        <x:v>7</x:v>
      </x:c>
      <x:c r="K294" s="14" t="n">
        <x:f>ROUND(E294*F294-G294,10)</x:f>
        <x:v>0</x:v>
      </x:c>
      <x:c r="L294" s="2"/>
      <x:c r="M294" s="2"/>
      <x:c r="N294" s="2"/>
      <x:c r="O294" s="2"/>
      <x:c r="P294" s="2"/>
      <x:c r="Q294" s="2"/>
      <x:c r="R294" s="2"/>
    </x:row>
    <x:row r="295" ht="22" customHeight="1">
      <x:c r="A295" s="2" t="n">
        <x:v>100289</x:v>
      </x:c>
      <x:c r="B295" s="10" t="n">
        <x:v>45644</x:v>
      </x:c>
      <x:c r="C295" s="2" t="str">
        <x:v>Chile</x:v>
      </x:c>
      <x:c r="D295" s="2" t="str">
        <x:v>Moda Infantil</x:v>
      </x:c>
      <x:c r="E295" s="11" t="n">
        <x:v>32</x:v>
      </x:c>
      <x:c r="F295" s="12" t="n">
        <x:v>162.54</x:v>
      </x:c>
      <x:c r="G295" s="12" t="n">
        <x:v>5201.28</x:v>
      </x:c>
      <x:c r="H295" s="13" t="n">
        <x:v>485</x:v>
      </x:c>
      <x:c r="I295" s="13" t="n">
        <x:f>YEAR(B295)</x:f>
        <x:v>2024</x:v>
      </x:c>
      <x:c r="J295" s="13" t="n">
        <x:f>MONTH(B295)</x:f>
        <x:v>12</x:v>
      </x:c>
      <x:c r="K295" s="14" t="n">
        <x:f>ROUND(E295*F295-G295,10)</x:f>
        <x:v>0</x:v>
      </x:c>
      <x:c r="L295" s="2"/>
      <x:c r="M295" s="2"/>
      <x:c r="N295" s="2"/>
      <x:c r="O295" s="2"/>
      <x:c r="P295" s="2"/>
      <x:c r="Q295" s="2"/>
      <x:c r="R295" s="2"/>
    </x:row>
    <x:row r="296" ht="22" customHeight="1">
      <x:c r="A296" s="2" t="n">
        <x:v>100290</x:v>
      </x:c>
      <x:c r="B296" s="10" t="n">
        <x:v>45235</x:v>
      </x:c>
      <x:c r="C296" s="2" t="str">
        <x:v>Colômbia</x:v>
      </x:c>
      <x:c r="D296" s="2" t="str">
        <x:v>Moda Masculina</x:v>
      </x:c>
      <x:c r="E296" s="11" t="n">
        <x:v>11</x:v>
      </x:c>
      <x:c r="F296" s="12" t="n">
        <x:v>166.08</x:v>
      </x:c>
      <x:c r="G296" s="12" t="n">
        <x:v>1826.88</x:v>
      </x:c>
      <x:c r="H296" s="13" t="n">
        <x:v>132</x:v>
      </x:c>
      <x:c r="I296" s="13" t="n">
        <x:f>YEAR(B296)</x:f>
        <x:v>2023</x:v>
      </x:c>
      <x:c r="J296" s="13" t="n">
        <x:f>MONTH(B296)</x:f>
        <x:v>11</x:v>
      </x:c>
      <x:c r="K296" s="14" t="n">
        <x:f>ROUND(E296*F296-G296,10)</x:f>
        <x:v>0</x:v>
      </x:c>
      <x:c r="L296" s="2"/>
      <x:c r="M296" s="2"/>
      <x:c r="N296" s="2"/>
      <x:c r="O296" s="2"/>
      <x:c r="P296" s="2"/>
      <x:c r="Q296" s="2"/>
      <x:c r="R296" s="2"/>
    </x:row>
    <x:row r="297" ht="22" customHeight="1">
      <x:c r="A297" s="2" t="n">
        <x:v>100291</x:v>
      </x:c>
      <x:c r="B297" s="10" t="n">
        <x:v>45261</x:v>
      </x:c>
      <x:c r="C297" s="2" t="str">
        <x:v>Peru</x:v>
      </x:c>
      <x:c r="D297" s="2" t="str">
        <x:v>Moda Masculina</x:v>
      </x:c>
      <x:c r="E297" s="11" t="n">
        <x:v>18</x:v>
      </x:c>
      <x:c r="F297" s="12" t="n">
        <x:v>106.81</x:v>
      </x:c>
      <x:c r="G297" s="12" t="n">
        <x:v>1922.58</x:v>
      </x:c>
      <x:c r="H297" s="13" t="n">
        <x:v>274</x:v>
      </x:c>
      <x:c r="I297" s="13" t="n">
        <x:f>YEAR(B297)</x:f>
        <x:v>2023</x:v>
      </x:c>
      <x:c r="J297" s="13" t="n">
        <x:f>MONTH(B297)</x:f>
        <x:v>12</x:v>
      </x:c>
      <x:c r="K297" s="14" t="n">
        <x:f>ROUND(E297*F297-G297,10)</x:f>
        <x:v>0</x:v>
      </x:c>
      <x:c r="L297" s="2"/>
      <x:c r="M297" s="2"/>
      <x:c r="N297" s="2"/>
      <x:c r="O297" s="2"/>
      <x:c r="P297" s="2"/>
      <x:c r="Q297" s="2"/>
      <x:c r="R297" s="2"/>
    </x:row>
    <x:row r="298" ht="22" customHeight="1">
      <x:c r="A298" s="2" t="n">
        <x:v>100292</x:v>
      </x:c>
      <x:c r="B298" s="10" t="n">
        <x:v>45455</x:v>
      </x:c>
      <x:c r="C298" s="2" t="str">
        <x:v>Brasil</x:v>
      </x:c>
      <x:c r="D298" s="2" t="str">
        <x:v>Moda Feminina</x:v>
      </x:c>
      <x:c r="E298" s="11" t="n">
        <x:v>27</x:v>
      </x:c>
      <x:c r="F298" s="12" t="n">
        <x:v>30.32</x:v>
      </x:c>
      <x:c r="G298" s="12" t="n">
        <x:v>818.64</x:v>
      </x:c>
      <x:c r="H298" s="13" t="n">
        <x:v>461</x:v>
      </x:c>
      <x:c r="I298" s="13" t="n">
        <x:f>YEAR(B298)</x:f>
        <x:v>2024</x:v>
      </x:c>
      <x:c r="J298" s="13" t="n">
        <x:f>MONTH(B298)</x:f>
        <x:v>6</x:v>
      </x:c>
      <x:c r="K298" s="14" t="n">
        <x:f>ROUND(E298*F298-G298,10)</x:f>
        <x:v>0</x:v>
      </x:c>
      <x:c r="L298" s="2"/>
      <x:c r="M298" s="2"/>
      <x:c r="N298" s="2"/>
      <x:c r="O298" s="2"/>
      <x:c r="P298" s="2"/>
      <x:c r="Q298" s="2"/>
      <x:c r="R298" s="2"/>
    </x:row>
    <x:row r="299" ht="22" customHeight="1">
      <x:c r="A299" s="2" t="n">
        <x:v>100293</x:v>
      </x:c>
      <x:c r="B299" s="10" t="n">
        <x:v>45456</x:v>
      </x:c>
      <x:c r="C299" s="2" t="str">
        <x:v>Colômbia</x:v>
      </x:c>
      <x:c r="D299" s="2" t="str">
        <x:v>Moda Masculina</x:v>
      </x:c>
      <x:c r="E299" s="11" t="n">
        <x:v>18</x:v>
      </x:c>
      <x:c r="F299" s="12" t="n">
        <x:v>51.43</x:v>
      </x:c>
      <x:c r="G299" s="12" t="n">
        <x:v>925.74</x:v>
      </x:c>
      <x:c r="H299" s="13" t="n">
        <x:v>272</x:v>
      </x:c>
      <x:c r="I299" s="13" t="n">
        <x:f>YEAR(B299)</x:f>
        <x:v>2024</x:v>
      </x:c>
      <x:c r="J299" s="13" t="n">
        <x:f>MONTH(B299)</x:f>
        <x:v>6</x:v>
      </x:c>
      <x:c r="K299" s="14" t="n">
        <x:f>ROUND(E299*F299-G299,10)</x:f>
        <x:v>0</x:v>
      </x:c>
      <x:c r="L299" s="2"/>
      <x:c r="M299" s="2"/>
      <x:c r="N299" s="2"/>
      <x:c r="O299" s="2"/>
      <x:c r="P299" s="2"/>
      <x:c r="Q299" s="2"/>
      <x:c r="R299" s="2"/>
    </x:row>
    <x:row r="300" ht="22" customHeight="1">
      <x:c r="A300" s="2" t="n">
        <x:v>100294</x:v>
      </x:c>
      <x:c r="B300" s="10" t="n">
        <x:v>45635</x:v>
      </x:c>
      <x:c r="C300" s="2" t="str">
        <x:v>Chile</x:v>
      </x:c>
      <x:c r="D300" s="2" t="str">
        <x:v>Moda Infantil</x:v>
      </x:c>
      <x:c r="E300" s="11" t="n">
        <x:v>23</x:v>
      </x:c>
      <x:c r="F300" s="12" t="n">
        <x:v>147.34</x:v>
      </x:c>
      <x:c r="G300" s="12" t="n">
        <x:v>3388.82</x:v>
      </x:c>
      <x:c r="H300" s="13" t="n">
        <x:v>167</x:v>
      </x:c>
      <x:c r="I300" s="13" t="n">
        <x:f>YEAR(B300)</x:f>
        <x:v>2024</x:v>
      </x:c>
      <x:c r="J300" s="13" t="n">
        <x:f>MONTH(B300)</x:f>
        <x:v>12</x:v>
      </x:c>
      <x:c r="K300" s="14" t="n">
        <x:f>ROUND(E300*F300-G300,10)</x:f>
        <x:v>0</x:v>
      </x:c>
      <x:c r="L300" s="2"/>
      <x:c r="M300" s="2"/>
      <x:c r="N300" s="2"/>
      <x:c r="O300" s="2"/>
      <x:c r="P300" s="2"/>
      <x:c r="Q300" s="2"/>
      <x:c r="R300" s="2"/>
    </x:row>
    <x:row r="301" ht="22" customHeight="1">
      <x:c r="A301" s="2" t="n">
        <x:v>100295</x:v>
      </x:c>
      <x:c r="B301" s="10" t="n">
        <x:v>45184</x:v>
      </x:c>
      <x:c r="C301" s="2" t="str">
        <x:v>Brasil</x:v>
      </x:c>
      <x:c r="D301" s="2" t="str">
        <x:v>Moda Masculina</x:v>
      </x:c>
      <x:c r="E301" s="11" t="n">
        <x:v>11</x:v>
      </x:c>
      <x:c r="F301" s="12" t="n">
        <x:v>148.12</x:v>
      </x:c>
      <x:c r="G301" s="12" t="n">
        <x:v>1629.32</x:v>
      </x:c>
      <x:c r="H301" s="13" t="n">
        <x:v>241</x:v>
      </x:c>
      <x:c r="I301" s="13" t="n">
        <x:f>YEAR(B301)</x:f>
        <x:v>2023</x:v>
      </x:c>
      <x:c r="J301" s="13" t="n">
        <x:f>MONTH(B301)</x:f>
        <x:v>9</x:v>
      </x:c>
      <x:c r="K301" s="14" t="n">
        <x:f>ROUND(E301*F301-G301,10)</x:f>
        <x:v>0</x:v>
      </x:c>
      <x:c r="L301" s="2"/>
      <x:c r="M301" s="2"/>
      <x:c r="N301" s="2"/>
      <x:c r="O301" s="2"/>
      <x:c r="P301" s="2"/>
      <x:c r="Q301" s="2"/>
      <x:c r="R301" s="2"/>
    </x:row>
    <x:row r="302" ht="22" customHeight="1">
      <x:c r="A302" s="2" t="n">
        <x:v>100296</x:v>
      </x:c>
      <x:c r="B302" s="10" t="n">
        <x:v>45417</x:v>
      </x:c>
      <x:c r="C302" s="2" t="str">
        <x:v>Colômbia</x:v>
      </x:c>
      <x:c r="D302" s="2" t="str">
        <x:v>Calçados</x:v>
      </x:c>
      <x:c r="E302" s="11" t="n">
        <x:v>21</x:v>
      </x:c>
      <x:c r="F302" s="12" t="n">
        <x:v>181.7</x:v>
      </x:c>
      <x:c r="G302" s="12" t="n">
        <x:v>3815.7</x:v>
      </x:c>
      <x:c r="H302" s="13" t="n">
        <x:v>128</x:v>
      </x:c>
      <x:c r="I302" s="13" t="n">
        <x:f>YEAR(B302)</x:f>
        <x:v>2024</x:v>
      </x:c>
      <x:c r="J302" s="13" t="n">
        <x:f>MONTH(B302)</x:f>
        <x:v>5</x:v>
      </x:c>
      <x:c r="K302" s="14" t="n">
        <x:f>ROUND(E302*F302-G302,10)</x:f>
        <x:v>0</x:v>
      </x:c>
      <x:c r="L302" s="2"/>
      <x:c r="M302" s="2"/>
      <x:c r="N302" s="2"/>
      <x:c r="O302" s="2"/>
      <x:c r="P302" s="2"/>
      <x:c r="Q302" s="2"/>
      <x:c r="R302" s="2"/>
    </x:row>
    <x:row r="303" ht="22" customHeight="1">
      <x:c r="A303" s="2" t="n">
        <x:v>100297</x:v>
      </x:c>
      <x:c r="B303" s="10" t="n">
        <x:v>45453</x:v>
      </x:c>
      <x:c r="C303" s="2" t="str">
        <x:v>Peru</x:v>
      </x:c>
      <x:c r="D303" s="2" t="str">
        <x:v>Moda Feminina</x:v>
      </x:c>
      <x:c r="E303" s="11" t="n">
        <x:v>44</x:v>
      </x:c>
      <x:c r="F303" s="12" t="n">
        <x:v>124.88</x:v>
      </x:c>
      <x:c r="G303" s="12" t="n">
        <x:v>5494.719999999999</x:v>
      </x:c>
      <x:c r="H303" s="13" t="n">
        <x:v>127</x:v>
      </x:c>
      <x:c r="I303" s="13" t="n">
        <x:f>YEAR(B303)</x:f>
        <x:v>2024</x:v>
      </x:c>
      <x:c r="J303" s="13" t="n">
        <x:f>MONTH(B303)</x:f>
        <x:v>6</x:v>
      </x:c>
      <x:c r="K303" s="14" t="n">
        <x:f>ROUND(E303*F303-G303,10)</x:f>
        <x:v>0</x:v>
      </x:c>
      <x:c r="L303" s="2"/>
      <x:c r="M303" s="2"/>
      <x:c r="N303" s="2"/>
      <x:c r="O303" s="2"/>
      <x:c r="P303" s="2"/>
      <x:c r="Q303" s="2"/>
      <x:c r="R303" s="2"/>
    </x:row>
    <x:row r="304" ht="22" customHeight="1">
      <x:c r="A304" s="2" t="n">
        <x:v>100298</x:v>
      </x:c>
      <x:c r="B304" s="10" t="n">
        <x:v>45268</x:v>
      </x:c>
      <x:c r="C304" s="2" t="str">
        <x:v>Colômbia</x:v>
      </x:c>
      <x:c r="D304" s="2" t="str">
        <x:v>Moda Infantil</x:v>
      </x:c>
      <x:c r="E304" s="11" t="n">
        <x:v>5</x:v>
      </x:c>
      <x:c r="F304" s="12" t="n">
        <x:v>42.34</x:v>
      </x:c>
      <x:c r="G304" s="12" t="n">
        <x:v>211.7</x:v>
      </x:c>
      <x:c r="H304" s="13" t="n">
        <x:v>196</x:v>
      </x:c>
      <x:c r="I304" s="13" t="n">
        <x:f>YEAR(B304)</x:f>
        <x:v>2023</x:v>
      </x:c>
      <x:c r="J304" s="13" t="n">
        <x:f>MONTH(B304)</x:f>
        <x:v>12</x:v>
      </x:c>
      <x:c r="K304" s="14" t="n">
        <x:f>ROUND(E304*F304-G304,10)</x:f>
        <x:v>0</x:v>
      </x:c>
      <x:c r="L304" s="2"/>
      <x:c r="M304" s="2"/>
      <x:c r="N304" s="2"/>
      <x:c r="O304" s="2"/>
      <x:c r="P304" s="2"/>
      <x:c r="Q304" s="2"/>
      <x:c r="R304" s="2"/>
    </x:row>
    <x:row r="305" ht="22" customHeight="1">
      <x:c r="A305" s="2" t="n">
        <x:v>100299</x:v>
      </x:c>
      <x:c r="B305" s="10" t="n">
        <x:v>45050</x:v>
      </x:c>
      <x:c r="C305" s="2" t="str">
        <x:v>Peru</x:v>
      </x:c>
      <x:c r="D305" s="2" t="str">
        <x:v>Moda Feminina</x:v>
      </x:c>
      <x:c r="E305" s="11" t="n">
        <x:v>23</x:v>
      </x:c>
      <x:c r="F305" s="12" t="n">
        <x:v>41.85</x:v>
      </x:c>
      <x:c r="G305" s="12" t="n">
        <x:v>962.5500000000001</x:v>
      </x:c>
      <x:c r="H305" s="13" t="n">
        <x:v>156</x:v>
      </x:c>
      <x:c r="I305" s="13" t="n">
        <x:f>YEAR(B305)</x:f>
        <x:v>2023</x:v>
      </x:c>
      <x:c r="J305" s="13" t="n">
        <x:f>MONTH(B305)</x:f>
        <x:v>5</x:v>
      </x:c>
      <x:c r="K305" s="14" t="n">
        <x:f>ROUND(E305*F305-G305,10)</x:f>
        <x:v>0</x:v>
      </x:c>
      <x:c r="L305" s="2"/>
      <x:c r="M305" s="2"/>
      <x:c r="N305" s="2"/>
      <x:c r="O305" s="2"/>
      <x:c r="P305" s="2"/>
      <x:c r="Q305" s="2"/>
      <x:c r="R305" s="2"/>
    </x:row>
    <x:row r="306" ht="22" customHeight="1">
      <x:c r="A306" s="2" t="n">
        <x:v>100300</x:v>
      </x:c>
      <x:c r="B306" s="10" t="n">
        <x:v>45149</x:v>
      </x:c>
      <x:c r="C306" s="2" t="str">
        <x:v>Chile</x:v>
      </x:c>
      <x:c r="D306" s="2" t="str">
        <x:v>Moda Infantil</x:v>
      </x:c>
      <x:c r="E306" s="11" t="n">
        <x:v>41</x:v>
      </x:c>
      <x:c r="F306" s="12" t="n">
        <x:v>149.8</x:v>
      </x:c>
      <x:c r="G306" s="12" t="n">
        <x:v>6141.8</x:v>
      </x:c>
      <x:c r="H306" s="13" t="n">
        <x:v>431</x:v>
      </x:c>
      <x:c r="I306" s="13" t="n">
        <x:f>YEAR(B306)</x:f>
        <x:v>2023</x:v>
      </x:c>
      <x:c r="J306" s="13" t="n">
        <x:f>MONTH(B306)</x:f>
        <x:v>8</x:v>
      </x:c>
      <x:c r="K306" s="14" t="n">
        <x:f>ROUND(E306*F306-G306,10)</x:f>
        <x:v>0</x:v>
      </x:c>
      <x:c r="L306" s="2"/>
      <x:c r="M306" s="2"/>
      <x:c r="N306" s="2"/>
      <x:c r="O306" s="2"/>
      <x:c r="P306" s="2"/>
      <x:c r="Q306" s="2"/>
      <x:c r="R306" s="2"/>
    </x:row>
    <x:row r="307" ht="22" customHeight="1">
      <x:c r="A307" s="2" t="n">
        <x:v>100301</x:v>
      </x:c>
      <x:c r="B307" s="10" t="n">
        <x:v>45008</x:v>
      </x:c>
      <x:c r="C307" s="2" t="str">
        <x:v>Peru</x:v>
      </x:c>
      <x:c r="D307" s="2" t="str">
        <x:v>Calçados</x:v>
      </x:c>
      <x:c r="E307" s="11" t="n">
        <x:v>25</x:v>
      </x:c>
      <x:c r="F307" s="12" t="n">
        <x:v>53.08</x:v>
      </x:c>
      <x:c r="G307" s="12" t="n">
        <x:v>1327</x:v>
      </x:c>
      <x:c r="H307" s="13" t="n">
        <x:v>320</x:v>
      </x:c>
      <x:c r="I307" s="13" t="n">
        <x:f>YEAR(B307)</x:f>
        <x:v>2023</x:v>
      </x:c>
      <x:c r="J307" s="13" t="n">
        <x:f>MONTH(B307)</x:f>
        <x:v>3</x:v>
      </x:c>
      <x:c r="K307" s="14" t="n">
        <x:f>ROUND(E307*F307-G307,10)</x:f>
        <x:v>0</x:v>
      </x:c>
      <x:c r="L307" s="2"/>
      <x:c r="M307" s="2"/>
      <x:c r="N307" s="2"/>
      <x:c r="O307" s="2"/>
      <x:c r="P307" s="2"/>
      <x:c r="Q307" s="2"/>
      <x:c r="R307" s="2"/>
    </x:row>
    <x:row r="308" ht="22" customHeight="1">
      <x:c r="A308" s="2" t="n">
        <x:v>100302</x:v>
      </x:c>
      <x:c r="B308" s="10" t="n">
        <x:v>45188</x:v>
      </x:c>
      <x:c r="C308" s="2" t="str">
        <x:v>Brasil</x:v>
      </x:c>
      <x:c r="D308" s="2" t="str">
        <x:v>Moda Feminina</x:v>
      </x:c>
      <x:c r="E308" s="11" t="n">
        <x:v>41</x:v>
      </x:c>
      <x:c r="F308" s="12" t="n">
        <x:v>79.11</x:v>
      </x:c>
      <x:c r="G308" s="12" t="n">
        <x:v>3243.51</x:v>
      </x:c>
      <x:c r="H308" s="13" t="n">
        <x:v>439</x:v>
      </x:c>
      <x:c r="I308" s="13" t="n">
        <x:f>YEAR(B308)</x:f>
        <x:v>2023</x:v>
      </x:c>
      <x:c r="J308" s="13" t="n">
        <x:f>MONTH(B308)</x:f>
        <x:v>9</x:v>
      </x:c>
      <x:c r="K308" s="14" t="n">
        <x:f>ROUND(E308*F308-G308,10)</x:f>
        <x:v>0</x:v>
      </x:c>
      <x:c r="L308" s="2"/>
      <x:c r="M308" s="2"/>
      <x:c r="N308" s="2"/>
      <x:c r="O308" s="2"/>
      <x:c r="P308" s="2"/>
      <x:c r="Q308" s="2"/>
      <x:c r="R308" s="2"/>
    </x:row>
    <x:row r="309" ht="22" customHeight="1">
      <x:c r="A309" s="2" t="n">
        <x:v>100303</x:v>
      </x:c>
      <x:c r="B309" s="10" t="n">
        <x:v>45540</x:v>
      </x:c>
      <x:c r="C309" s="2" t="str">
        <x:v>Chile</x:v>
      </x:c>
      <x:c r="D309" s="2" t="str">
        <x:v>Acessórios</x:v>
      </x:c>
      <x:c r="E309" s="11" t="n">
        <x:v>10</x:v>
      </x:c>
      <x:c r="F309" s="12" t="n">
        <x:v>107.7</x:v>
      </x:c>
      <x:c r="G309" s="12" t="n">
        <x:v>1077</x:v>
      </x:c>
      <x:c r="H309" s="13" t="n">
        <x:v>293</x:v>
      </x:c>
      <x:c r="I309" s="13" t="n">
        <x:f>YEAR(B309)</x:f>
        <x:v>2024</x:v>
      </x:c>
      <x:c r="J309" s="13" t="n">
        <x:f>MONTH(B309)</x:f>
        <x:v>9</x:v>
      </x:c>
      <x:c r="K309" s="14" t="n">
        <x:f>ROUND(E309*F309-G309,10)</x:f>
        <x:v>0</x:v>
      </x:c>
      <x:c r="L309" s="2"/>
      <x:c r="M309" s="2"/>
      <x:c r="N309" s="2"/>
      <x:c r="O309" s="2"/>
      <x:c r="P309" s="2"/>
      <x:c r="Q309" s="2"/>
      <x:c r="R309" s="2"/>
    </x:row>
    <x:row r="310" ht="22" customHeight="1">
      <x:c r="A310" s="2" t="n">
        <x:v>100304</x:v>
      </x:c>
      <x:c r="B310" s="10" t="n">
        <x:v>44979</x:v>
      </x:c>
      <x:c r="C310" s="2" t="str">
        <x:v>Brasil</x:v>
      </x:c>
      <x:c r="D310" s="2" t="str">
        <x:v>Moda Infantil</x:v>
      </x:c>
      <x:c r="E310" s="11" t="n">
        <x:v>22</x:v>
      </x:c>
      <x:c r="F310" s="12" t="n">
        <x:v>24.46</x:v>
      </x:c>
      <x:c r="G310" s="12" t="n">
        <x:v>538.12</x:v>
      </x:c>
      <x:c r="H310" s="13" t="n">
        <x:v>122</x:v>
      </x:c>
      <x:c r="I310" s="13" t="n">
        <x:f>YEAR(B310)</x:f>
        <x:v>2023</x:v>
      </x:c>
      <x:c r="J310" s="13" t="n">
        <x:f>MONTH(B310)</x:f>
        <x:v>2</x:v>
      </x:c>
      <x:c r="K310" s="14" t="n">
        <x:f>ROUND(E310*F310-G310,10)</x:f>
        <x:v>0</x:v>
      </x:c>
      <x:c r="L310" s="2"/>
      <x:c r="M310" s="2"/>
      <x:c r="N310" s="2"/>
      <x:c r="O310" s="2"/>
      <x:c r="P310" s="2"/>
      <x:c r="Q310" s="2"/>
      <x:c r="R310" s="2"/>
    </x:row>
    <x:row r="311" ht="22" customHeight="1">
      <x:c r="A311" s="2" t="n">
        <x:v>100305</x:v>
      </x:c>
      <x:c r="B311" s="10" t="n">
        <x:v>45477</x:v>
      </x:c>
      <x:c r="C311" s="2" t="str">
        <x:v>México</x:v>
      </x:c>
      <x:c r="D311" s="2" t="str">
        <x:v>Acessórios</x:v>
      </x:c>
      <x:c r="E311" s="11" t="n">
        <x:v>19</x:v>
      </x:c>
      <x:c r="F311" s="12" t="n">
        <x:v>64.79</x:v>
      </x:c>
      <x:c r="G311" s="12" t="n">
        <x:v>1231.01</x:v>
      </x:c>
      <x:c r="H311" s="13" t="n">
        <x:v>406</x:v>
      </x:c>
      <x:c r="I311" s="13" t="n">
        <x:f>YEAR(B311)</x:f>
        <x:v>2024</x:v>
      </x:c>
      <x:c r="J311" s="13" t="n">
        <x:f>MONTH(B311)</x:f>
        <x:v>7</x:v>
      </x:c>
      <x:c r="K311" s="14" t="n">
        <x:f>ROUND(E311*F311-G311,10)</x:f>
        <x:v>0</x:v>
      </x:c>
      <x:c r="L311" s="2"/>
      <x:c r="M311" s="2"/>
      <x:c r="N311" s="2"/>
      <x:c r="O311" s="2"/>
      <x:c r="P311" s="2"/>
      <x:c r="Q311" s="2"/>
      <x:c r="R311" s="2"/>
    </x:row>
    <x:row r="312" ht="22" customHeight="1">
      <x:c r="A312" s="2" t="n">
        <x:v>100306</x:v>
      </x:c>
      <x:c r="B312" s="10" t="n">
        <x:v>45216</x:v>
      </x:c>
      <x:c r="C312" s="2" t="str">
        <x:v>Argentina</x:v>
      </x:c>
      <x:c r="D312" s="2" t="str">
        <x:v>Moda Feminina</x:v>
      </x:c>
      <x:c r="E312" s="11" t="n">
        <x:v>1</x:v>
      </x:c>
      <x:c r="F312" s="12" t="n">
        <x:v>93.42</x:v>
      </x:c>
      <x:c r="G312" s="12" t="n">
        <x:v>93.42</x:v>
      </x:c>
      <x:c r="H312" s="13" t="n">
        <x:v>403</x:v>
      </x:c>
      <x:c r="I312" s="13" t="n">
        <x:f>YEAR(B312)</x:f>
        <x:v>2023</x:v>
      </x:c>
      <x:c r="J312" s="13" t="n">
        <x:f>MONTH(B312)</x:f>
        <x:v>10</x:v>
      </x:c>
      <x:c r="K312" s="14" t="n">
        <x:f>ROUND(E312*F312-G312,10)</x:f>
        <x:v>0</x:v>
      </x:c>
      <x:c r="L312" s="2"/>
      <x:c r="M312" s="2"/>
      <x:c r="N312" s="2"/>
      <x:c r="O312" s="2"/>
      <x:c r="P312" s="2"/>
      <x:c r="Q312" s="2"/>
      <x:c r="R312" s="2"/>
    </x:row>
    <x:row r="313" ht="22" customHeight="1">
      <x:c r="A313" s="2" t="n">
        <x:v>100307</x:v>
      </x:c>
      <x:c r="B313" s="10" t="n">
        <x:v>45621</x:v>
      </x:c>
      <x:c r="C313" s="2" t="str">
        <x:v>Peru</x:v>
      </x:c>
      <x:c r="D313" s="2" t="str">
        <x:v>Acessórios</x:v>
      </x:c>
      <x:c r="E313" s="11" t="n">
        <x:v>7</x:v>
      </x:c>
      <x:c r="F313" s="12" t="n">
        <x:v>70.33</x:v>
      </x:c>
      <x:c r="G313" s="12" t="n">
        <x:v>492.31</x:v>
      </x:c>
      <x:c r="H313" s="13" t="n">
        <x:v>471</x:v>
      </x:c>
      <x:c r="I313" s="13" t="n">
        <x:f>YEAR(B313)</x:f>
        <x:v>2024</x:v>
      </x:c>
      <x:c r="J313" s="13" t="n">
        <x:f>MONTH(B313)</x:f>
        <x:v>11</x:v>
      </x:c>
      <x:c r="K313" s="14" t="n">
        <x:f>ROUND(E313*F313-G313,10)</x:f>
        <x:v>0</x:v>
      </x:c>
      <x:c r="L313" s="2"/>
      <x:c r="M313" s="2"/>
      <x:c r="N313" s="2"/>
      <x:c r="O313" s="2"/>
      <x:c r="P313" s="2"/>
      <x:c r="Q313" s="2"/>
      <x:c r="R313" s="2"/>
    </x:row>
    <x:row r="314" ht="22" customHeight="1">
      <x:c r="A314" s="2" t="n">
        <x:v>100308</x:v>
      </x:c>
      <x:c r="B314" s="10" t="n">
        <x:v>45524</x:v>
      </x:c>
      <x:c r="C314" s="2" t="str">
        <x:v>Argentina</x:v>
      </x:c>
      <x:c r="D314" s="2" t="str">
        <x:v>Acessórios</x:v>
      </x:c>
      <x:c r="E314" s="11" t="n">
        <x:v>4</x:v>
      </x:c>
      <x:c r="F314" s="12" t="n">
        <x:v>44.55</x:v>
      </x:c>
      <x:c r="G314" s="12" t="n">
        <x:v>178.2</x:v>
      </x:c>
      <x:c r="H314" s="13" t="n">
        <x:v>75</x:v>
      </x:c>
      <x:c r="I314" s="13" t="n">
        <x:f>YEAR(B314)</x:f>
        <x:v>2024</x:v>
      </x:c>
      <x:c r="J314" s="13" t="n">
        <x:f>MONTH(B314)</x:f>
        <x:v>8</x:v>
      </x:c>
      <x:c r="K314" s="14" t="n">
        <x:f>ROUND(E314*F314-G314,10)</x:f>
        <x:v>0</x:v>
      </x:c>
      <x:c r="L314" s="2"/>
      <x:c r="M314" s="2"/>
      <x:c r="N314" s="2"/>
      <x:c r="O314" s="2"/>
      <x:c r="P314" s="2"/>
      <x:c r="Q314" s="2"/>
      <x:c r="R314" s="2"/>
    </x:row>
    <x:row r="315" ht="22" customHeight="1">
      <x:c r="A315" s="2" t="n">
        <x:v>100309</x:v>
      </x:c>
      <x:c r="B315" s="10" t="n">
        <x:v>44959</x:v>
      </x:c>
      <x:c r="C315" s="2" t="str">
        <x:v>Argentina</x:v>
      </x:c>
      <x:c r="D315" s="2" t="str">
        <x:v>Moda Feminina</x:v>
      </x:c>
      <x:c r="E315" s="11" t="n">
        <x:v>1</x:v>
      </x:c>
      <x:c r="F315" s="12" t="n">
        <x:v>151.04</x:v>
      </x:c>
      <x:c r="G315" s="12" t="n">
        <x:v>151.04</x:v>
      </x:c>
      <x:c r="H315" s="13" t="n">
        <x:v>259</x:v>
      </x:c>
      <x:c r="I315" s="13" t="n">
        <x:f>YEAR(B315)</x:f>
        <x:v>2023</x:v>
      </x:c>
      <x:c r="J315" s="13" t="n">
        <x:f>MONTH(B315)</x:f>
        <x:v>2</x:v>
      </x:c>
      <x:c r="K315" s="14" t="n">
        <x:f>ROUND(E315*F315-G315,10)</x:f>
        <x:v>0</x:v>
      </x:c>
      <x:c r="L315" s="2"/>
      <x:c r="M315" s="2"/>
      <x:c r="N315" s="2"/>
      <x:c r="O315" s="2"/>
      <x:c r="P315" s="2"/>
      <x:c r="Q315" s="2"/>
      <x:c r="R315" s="2"/>
    </x:row>
    <x:row r="316" ht="22" customHeight="1">
      <x:c r="A316" s="2" t="n">
        <x:v>100310</x:v>
      </x:c>
      <x:c r="B316" s="10" t="n">
        <x:v>45587</x:v>
      </x:c>
      <x:c r="C316" s="2" t="str">
        <x:v>Peru</x:v>
      </x:c>
      <x:c r="D316" s="2" t="str">
        <x:v>Calçados</x:v>
      </x:c>
      <x:c r="E316" s="11" t="n">
        <x:v>15</x:v>
      </x:c>
      <x:c r="F316" s="12" t="n">
        <x:v>166.37</x:v>
      </x:c>
      <x:c r="G316" s="12" t="n">
        <x:v>2495.55</x:v>
      </x:c>
      <x:c r="H316" s="13" t="n">
        <x:v>141</x:v>
      </x:c>
      <x:c r="I316" s="13" t="n">
        <x:f>YEAR(B316)</x:f>
        <x:v>2024</x:v>
      </x:c>
      <x:c r="J316" s="13" t="n">
        <x:f>MONTH(B316)</x:f>
        <x:v>10</x:v>
      </x:c>
      <x:c r="K316" s="14" t="n">
        <x:f>ROUND(E316*F316-G316,10)</x:f>
        <x:v>0</x:v>
      </x:c>
      <x:c r="L316" s="2"/>
      <x:c r="M316" s="2"/>
      <x:c r="N316" s="2"/>
      <x:c r="O316" s="2"/>
      <x:c r="P316" s="2"/>
      <x:c r="Q316" s="2"/>
      <x:c r="R316" s="2"/>
    </x:row>
    <x:row r="317" ht="22" customHeight="1">
      <x:c r="A317" s="2" t="n">
        <x:v>100311</x:v>
      </x:c>
      <x:c r="B317" s="10" t="n">
        <x:v>45212</x:v>
      </x:c>
      <x:c r="C317" s="2" t="str">
        <x:v>Chile</x:v>
      </x:c>
      <x:c r="D317" s="2" t="str">
        <x:v>Acessórios</x:v>
      </x:c>
      <x:c r="E317" s="11" t="n">
        <x:v>40</x:v>
      </x:c>
      <x:c r="F317" s="12" t="n">
        <x:v>66.35</x:v>
      </x:c>
      <x:c r="G317" s="12" t="n">
        <x:v>2654</x:v>
      </x:c>
      <x:c r="H317" s="13" t="n">
        <x:v>174</x:v>
      </x:c>
      <x:c r="I317" s="13" t="n">
        <x:f>YEAR(B317)</x:f>
        <x:v>2023</x:v>
      </x:c>
      <x:c r="J317" s="13" t="n">
        <x:f>MONTH(B317)</x:f>
        <x:v>10</x:v>
      </x:c>
      <x:c r="K317" s="14" t="n">
        <x:f>ROUND(E317*F317-G317,10)</x:f>
        <x:v>0</x:v>
      </x:c>
      <x:c r="L317" s="2"/>
      <x:c r="M317" s="2"/>
      <x:c r="N317" s="2"/>
      <x:c r="O317" s="2"/>
      <x:c r="P317" s="2"/>
      <x:c r="Q317" s="2"/>
      <x:c r="R317" s="2"/>
    </x:row>
    <x:row r="318" ht="22" customHeight="1">
      <x:c r="A318" s="2" t="n">
        <x:v>100312</x:v>
      </x:c>
      <x:c r="B318" s="10" t="n">
        <x:v>45507</x:v>
      </x:c>
      <x:c r="C318" s="2" t="str">
        <x:v>México</x:v>
      </x:c>
      <x:c r="D318" s="2" t="str">
        <x:v>Acessórios</x:v>
      </x:c>
      <x:c r="E318" s="11" t="n">
        <x:v>12</x:v>
      </x:c>
      <x:c r="F318" s="12" t="n">
        <x:v>159.4</x:v>
      </x:c>
      <x:c r="G318" s="12" t="n">
        <x:v>1912.8</x:v>
      </x:c>
      <x:c r="H318" s="13" t="n">
        <x:v>484</x:v>
      </x:c>
      <x:c r="I318" s="13" t="n">
        <x:f>YEAR(B318)</x:f>
        <x:v>2024</x:v>
      </x:c>
      <x:c r="J318" s="13" t="n">
        <x:f>MONTH(B318)</x:f>
        <x:v>8</x:v>
      </x:c>
      <x:c r="K318" s="14" t="n">
        <x:f>ROUND(E318*F318-G318,10)</x:f>
        <x:v>0</x:v>
      </x:c>
      <x:c r="L318" s="2"/>
      <x:c r="M318" s="2"/>
      <x:c r="N318" s="2"/>
      <x:c r="O318" s="2"/>
      <x:c r="P318" s="2"/>
      <x:c r="Q318" s="2"/>
      <x:c r="R318" s="2"/>
    </x:row>
    <x:row r="319" ht="22" customHeight="1">
      <x:c r="A319" s="2" t="n">
        <x:v>100313</x:v>
      </x:c>
      <x:c r="B319" s="10" t="n">
        <x:v>45255</x:v>
      </x:c>
      <x:c r="C319" s="2" t="str">
        <x:v>Brasil</x:v>
      </x:c>
      <x:c r="D319" s="2" t="str">
        <x:v>Calçados</x:v>
      </x:c>
      <x:c r="E319" s="11" t="n">
        <x:v>22</x:v>
      </x:c>
      <x:c r="F319" s="12" t="n">
        <x:v>89.4</x:v>
      </x:c>
      <x:c r="G319" s="12" t="n">
        <x:v>1966.8</x:v>
      </x:c>
      <x:c r="H319" s="13" t="n">
        <x:v>122</x:v>
      </x:c>
      <x:c r="I319" s="13" t="n">
        <x:f>YEAR(B319)</x:f>
        <x:v>2023</x:v>
      </x:c>
      <x:c r="J319" s="13" t="n">
        <x:f>MONTH(B319)</x:f>
        <x:v>11</x:v>
      </x:c>
      <x:c r="K319" s="14" t="n">
        <x:f>ROUND(E319*F319-G319,10)</x:f>
        <x:v>0</x:v>
      </x:c>
      <x:c r="L319" s="2"/>
      <x:c r="M319" s="2"/>
      <x:c r="N319" s="2"/>
      <x:c r="O319" s="2"/>
      <x:c r="P319" s="2"/>
      <x:c r="Q319" s="2"/>
      <x:c r="R319" s="2"/>
    </x:row>
    <x:row r="320" ht="22" customHeight="1">
      <x:c r="A320" s="2" t="n">
        <x:v>100314</x:v>
      </x:c>
      <x:c r="B320" s="10" t="n">
        <x:v>45352</x:v>
      </x:c>
      <x:c r="C320" s="2" t="str">
        <x:v>Colômbia</x:v>
      </x:c>
      <x:c r="D320" s="2" t="str">
        <x:v>Acessórios</x:v>
      </x:c>
      <x:c r="E320" s="11" t="n">
        <x:v>22</x:v>
      </x:c>
      <x:c r="F320" s="12" t="n">
        <x:v>111.2</x:v>
      </x:c>
      <x:c r="G320" s="12" t="n">
        <x:v>2446.4</x:v>
      </x:c>
      <x:c r="H320" s="13" t="n">
        <x:v>172</x:v>
      </x:c>
      <x:c r="I320" s="13" t="n">
        <x:f>YEAR(B320)</x:f>
        <x:v>2024</x:v>
      </x:c>
      <x:c r="J320" s="13" t="n">
        <x:f>MONTH(B320)</x:f>
        <x:v>3</x:v>
      </x:c>
      <x:c r="K320" s="14" t="n">
        <x:f>ROUND(E320*F320-G320,10)</x:f>
        <x:v>0</x:v>
      </x:c>
      <x:c r="L320" s="2"/>
      <x:c r="M320" s="2"/>
      <x:c r="N320" s="2"/>
      <x:c r="O320" s="2"/>
      <x:c r="P320" s="2"/>
      <x:c r="Q320" s="2"/>
      <x:c r="R320" s="2"/>
    </x:row>
    <x:row r="321" ht="22" customHeight="1">
      <x:c r="A321" s="2" t="n">
        <x:v>100315</x:v>
      </x:c>
      <x:c r="B321" s="10" t="n">
        <x:v>45618</x:v>
      </x:c>
      <x:c r="C321" s="2" t="str">
        <x:v>Brasil</x:v>
      </x:c>
      <x:c r="D321" s="2" t="str">
        <x:v>Acessórios</x:v>
      </x:c>
      <x:c r="E321" s="11" t="n">
        <x:v>47</x:v>
      </x:c>
      <x:c r="F321" s="12" t="n">
        <x:v>174.08</x:v>
      </x:c>
      <x:c r="G321" s="12" t="n">
        <x:v>8181.76</x:v>
      </x:c>
      <x:c r="H321" s="13" t="n">
        <x:v>358</x:v>
      </x:c>
      <x:c r="I321" s="13" t="n">
        <x:f>YEAR(B321)</x:f>
        <x:v>2024</x:v>
      </x:c>
      <x:c r="J321" s="13" t="n">
        <x:f>MONTH(B321)</x:f>
        <x:v>11</x:v>
      </x:c>
      <x:c r="K321" s="14" t="n">
        <x:f>ROUND(E321*F321-G321,10)</x:f>
        <x:v>0</x:v>
      </x:c>
      <x:c r="L321" s="2"/>
      <x:c r="M321" s="2"/>
      <x:c r="N321" s="2"/>
      <x:c r="O321" s="2"/>
      <x:c r="P321" s="2"/>
      <x:c r="Q321" s="2"/>
      <x:c r="R321" s="2"/>
    </x:row>
    <x:row r="322" ht="22" customHeight="1">
      <x:c r="A322" s="2" t="n">
        <x:v>100316</x:v>
      </x:c>
      <x:c r="B322" s="10" t="n">
        <x:v>45123</x:v>
      </x:c>
      <x:c r="C322" s="2" t="str">
        <x:v>Colômbia</x:v>
      </x:c>
      <x:c r="D322" s="2" t="str">
        <x:v>Acessórios</x:v>
      </x:c>
      <x:c r="E322" s="11" t="n">
        <x:v>17</x:v>
      </x:c>
      <x:c r="F322" s="12" t="n">
        <x:v>154.99</x:v>
      </x:c>
      <x:c r="G322" s="12" t="n">
        <x:v>2634.83</x:v>
      </x:c>
      <x:c r="H322" s="13" t="n">
        <x:v>233</x:v>
      </x:c>
      <x:c r="I322" s="13" t="n">
        <x:f>YEAR(B322)</x:f>
        <x:v>2023</x:v>
      </x:c>
      <x:c r="J322" s="13" t="n">
        <x:f>MONTH(B322)</x:f>
        <x:v>7</x:v>
      </x:c>
      <x:c r="K322" s="14" t="n">
        <x:f>ROUND(E322*F322-G322,10)</x:f>
        <x:v>0</x:v>
      </x:c>
      <x:c r="L322" s="2"/>
      <x:c r="M322" s="2"/>
      <x:c r="N322" s="2"/>
      <x:c r="O322" s="2"/>
      <x:c r="P322" s="2"/>
      <x:c r="Q322" s="2"/>
      <x:c r="R322" s="2"/>
    </x:row>
    <x:row r="323" ht="22" customHeight="1">
      <x:c r="A323" s="2" t="n">
        <x:v>100317</x:v>
      </x:c>
      <x:c r="B323" s="10" t="n">
        <x:v>45417</x:v>
      </x:c>
      <x:c r="C323" s="2" t="str">
        <x:v>Brasil</x:v>
      </x:c>
      <x:c r="D323" s="2" t="str">
        <x:v>Moda Masculina</x:v>
      </x:c>
      <x:c r="E323" s="11" t="n">
        <x:v>29</x:v>
      </x:c>
      <x:c r="F323" s="12" t="n">
        <x:v>164.92</x:v>
      </x:c>
      <x:c r="G323" s="12" t="n">
        <x:v>4782.679999999999</x:v>
      </x:c>
      <x:c r="H323" s="13" t="n">
        <x:v>236</x:v>
      </x:c>
      <x:c r="I323" s="13" t="n">
        <x:f>YEAR(B323)</x:f>
        <x:v>2024</x:v>
      </x:c>
      <x:c r="J323" s="13" t="n">
        <x:f>MONTH(B323)</x:f>
        <x:v>5</x:v>
      </x:c>
      <x:c r="K323" s="14" t="n">
        <x:f>ROUND(E323*F323-G323,10)</x:f>
        <x:v>0</x:v>
      </x:c>
      <x:c r="L323" s="2"/>
      <x:c r="M323" s="2"/>
      <x:c r="N323" s="2"/>
      <x:c r="O323" s="2"/>
      <x:c r="P323" s="2"/>
      <x:c r="Q323" s="2"/>
      <x:c r="R323" s="2"/>
    </x:row>
    <x:row r="324" ht="22" customHeight="1">
      <x:c r="A324" s="2" t="n">
        <x:v>100318</x:v>
      </x:c>
      <x:c r="B324" s="10" t="n">
        <x:v>45204</x:v>
      </x:c>
      <x:c r="C324" s="2" t="str">
        <x:v>Peru</x:v>
      </x:c>
      <x:c r="D324" s="2" t="str">
        <x:v>Calçados</x:v>
      </x:c>
      <x:c r="E324" s="11" t="n">
        <x:v>46</x:v>
      </x:c>
      <x:c r="F324" s="12" t="n">
        <x:v>44.63</x:v>
      </x:c>
      <x:c r="G324" s="12" t="n">
        <x:v>2052.98</x:v>
      </x:c>
      <x:c r="H324" s="13" t="n">
        <x:v>247</x:v>
      </x:c>
      <x:c r="I324" s="13" t="n">
        <x:f>YEAR(B324)</x:f>
        <x:v>2023</x:v>
      </x:c>
      <x:c r="J324" s="13" t="n">
        <x:f>MONTH(B324)</x:f>
        <x:v>10</x:v>
      </x:c>
      <x:c r="K324" s="14" t="n">
        <x:f>ROUND(E324*F324-G324,10)</x:f>
        <x:v>0</x:v>
      </x:c>
      <x:c r="L324" s="2"/>
      <x:c r="M324" s="2"/>
      <x:c r="N324" s="2"/>
      <x:c r="O324" s="2"/>
      <x:c r="P324" s="2"/>
      <x:c r="Q324" s="2"/>
      <x:c r="R324" s="2"/>
    </x:row>
    <x:row r="325" ht="22" customHeight="1">
      <x:c r="A325" s="2" t="n">
        <x:v>100319</x:v>
      </x:c>
      <x:c r="B325" s="10" t="n">
        <x:v>45530</x:v>
      </x:c>
      <x:c r="C325" s="2" t="str">
        <x:v>México</x:v>
      </x:c>
      <x:c r="D325" s="2" t="str">
        <x:v>Acessórios</x:v>
      </x:c>
      <x:c r="E325" s="11" t="n">
        <x:v>14</x:v>
      </x:c>
      <x:c r="F325" s="12" t="n">
        <x:v>32.55</x:v>
      </x:c>
      <x:c r="G325" s="12" t="n">
        <x:v>455.6999999999999</x:v>
      </x:c>
      <x:c r="H325" s="13" t="n">
        <x:v>127</x:v>
      </x:c>
      <x:c r="I325" s="13" t="n">
        <x:f>YEAR(B325)</x:f>
        <x:v>2024</x:v>
      </x:c>
      <x:c r="J325" s="13" t="n">
        <x:f>MONTH(B325)</x:f>
        <x:v>8</x:v>
      </x:c>
      <x:c r="K325" s="14" t="n">
        <x:f>ROUND(E325*F325-G325,10)</x:f>
        <x:v>0</x:v>
      </x:c>
      <x:c r="L325" s="2"/>
      <x:c r="M325" s="2"/>
      <x:c r="N325" s="2"/>
      <x:c r="O325" s="2"/>
      <x:c r="P325" s="2"/>
      <x:c r="Q325" s="2"/>
      <x:c r="R325" s="2"/>
    </x:row>
    <x:row r="326" ht="22" customHeight="1">
      <x:c r="A326" s="2" t="n">
        <x:v>100320</x:v>
      </x:c>
      <x:c r="B326" s="10" t="n">
        <x:v>45496</x:v>
      </x:c>
      <x:c r="C326" s="2" t="str">
        <x:v>Colômbia</x:v>
      </x:c>
      <x:c r="D326" s="2" t="str">
        <x:v>Calçados</x:v>
      </x:c>
      <x:c r="E326" s="11" t="n">
        <x:v>20</x:v>
      </x:c>
      <x:c r="F326" s="12" t="n">
        <x:v>180.81</x:v>
      </x:c>
      <x:c r="G326" s="12" t="n">
        <x:v>3616.2</x:v>
      </x:c>
      <x:c r="H326" s="13" t="n">
        <x:v>397</x:v>
      </x:c>
      <x:c r="I326" s="13" t="n">
        <x:f>YEAR(B326)</x:f>
        <x:v>2024</x:v>
      </x:c>
      <x:c r="J326" s="13" t="n">
        <x:f>MONTH(B326)</x:f>
        <x:v>7</x:v>
      </x:c>
      <x:c r="K326" s="14" t="n">
        <x:f>ROUND(E326*F326-G326,10)</x:f>
        <x:v>0</x:v>
      </x:c>
      <x:c r="L326" s="2"/>
      <x:c r="M326" s="2"/>
      <x:c r="N326" s="2"/>
      <x:c r="O326" s="2"/>
      <x:c r="P326" s="2"/>
      <x:c r="Q326" s="2"/>
      <x:c r="R326" s="2"/>
    </x:row>
    <x:row r="327" ht="22" customHeight="1">
      <x:c r="A327" s="2" t="n">
        <x:v>100321</x:v>
      </x:c>
      <x:c r="B327" s="10" t="n">
        <x:v>45270</x:v>
      </x:c>
      <x:c r="C327" s="2" t="str">
        <x:v>Chile</x:v>
      </x:c>
      <x:c r="D327" s="2" t="str">
        <x:v>Moda Infantil</x:v>
      </x:c>
      <x:c r="E327" s="11" t="n">
        <x:v>48</x:v>
      </x:c>
      <x:c r="F327" s="12" t="n">
        <x:v>89.81</x:v>
      </x:c>
      <x:c r="G327" s="12" t="n">
        <x:v>4310.88</x:v>
      </x:c>
      <x:c r="H327" s="13" t="n">
        <x:v>235</x:v>
      </x:c>
      <x:c r="I327" s="13" t="n">
        <x:f>YEAR(B327)</x:f>
        <x:v>2023</x:v>
      </x:c>
      <x:c r="J327" s="13" t="n">
        <x:f>MONTH(B327)</x:f>
        <x:v>12</x:v>
      </x:c>
      <x:c r="K327" s="14" t="n">
        <x:f>ROUND(E327*F327-G327,10)</x:f>
        <x:v>0</x:v>
      </x:c>
      <x:c r="L327" s="2"/>
      <x:c r="M327" s="2"/>
      <x:c r="N327" s="2"/>
      <x:c r="O327" s="2"/>
      <x:c r="P327" s="2"/>
      <x:c r="Q327" s="2"/>
      <x:c r="R327" s="2"/>
    </x:row>
    <x:row r="328" ht="22" customHeight="1">
      <x:c r="A328" s="2" t="n">
        <x:v>100322</x:v>
      </x:c>
      <x:c r="B328" s="10" t="n">
        <x:v>44960</x:v>
      </x:c>
      <x:c r="C328" s="2" t="str">
        <x:v>Brasil</x:v>
      </x:c>
      <x:c r="D328" s="2" t="str">
        <x:v>Moda Infantil</x:v>
      </x:c>
      <x:c r="E328" s="11" t="n">
        <x:v>33</x:v>
      </x:c>
      <x:c r="F328" s="12" t="n">
        <x:v>71.82</x:v>
      </x:c>
      <x:c r="G328" s="12" t="n">
        <x:v>2370.06</x:v>
      </x:c>
      <x:c r="H328" s="13" t="n">
        <x:v>393</x:v>
      </x:c>
      <x:c r="I328" s="13" t="n">
        <x:f>YEAR(B328)</x:f>
        <x:v>2023</x:v>
      </x:c>
      <x:c r="J328" s="13" t="n">
        <x:f>MONTH(B328)</x:f>
        <x:v>2</x:v>
      </x:c>
      <x:c r="K328" s="14" t="n">
        <x:f>ROUND(E328*F328-G328,10)</x:f>
        <x:v>0</x:v>
      </x:c>
      <x:c r="L328" s="2"/>
      <x:c r="M328" s="2"/>
      <x:c r="N328" s="2"/>
      <x:c r="O328" s="2"/>
      <x:c r="P328" s="2"/>
      <x:c r="Q328" s="2"/>
      <x:c r="R328" s="2"/>
    </x:row>
    <x:row r="329" ht="22" customHeight="1">
      <x:c r="A329" s="2" t="n">
        <x:v>100323</x:v>
      </x:c>
      <x:c r="B329" s="10" t="n">
        <x:v>45385</x:v>
      </x:c>
      <x:c r="C329" s="2" t="str">
        <x:v>Brasil</x:v>
      </x:c>
      <x:c r="D329" s="2" t="str">
        <x:v>Acessórios</x:v>
      </x:c>
      <x:c r="E329" s="11" t="n">
        <x:v>43</x:v>
      </x:c>
      <x:c r="F329" s="12" t="n">
        <x:v>150.45</x:v>
      </x:c>
      <x:c r="G329" s="12" t="n">
        <x:v>6469.349999999999</x:v>
      </x:c>
      <x:c r="H329" s="13" t="n">
        <x:v>302</x:v>
      </x:c>
      <x:c r="I329" s="13" t="n">
        <x:f>YEAR(B329)</x:f>
        <x:v>2024</x:v>
      </x:c>
      <x:c r="J329" s="13" t="n">
        <x:f>MONTH(B329)</x:f>
        <x:v>4</x:v>
      </x:c>
      <x:c r="K329" s="14" t="n">
        <x:f>ROUND(E329*F329-G329,10)</x:f>
        <x:v>0</x:v>
      </x:c>
      <x:c r="L329" s="2"/>
      <x:c r="M329" s="2"/>
      <x:c r="N329" s="2"/>
      <x:c r="O329" s="2"/>
      <x:c r="P329" s="2"/>
      <x:c r="Q329" s="2"/>
      <x:c r="R329" s="2"/>
    </x:row>
    <x:row r="330" ht="22" customHeight="1">
      <x:c r="A330" s="2" t="n">
        <x:v>100324</x:v>
      </x:c>
      <x:c r="B330" s="10" t="n">
        <x:v>45117</x:v>
      </x:c>
      <x:c r="C330" s="2" t="str">
        <x:v>Colômbia</x:v>
      </x:c>
      <x:c r="D330" s="2" t="str">
        <x:v>Calçados</x:v>
      </x:c>
      <x:c r="E330" s="11" t="n">
        <x:v>15</x:v>
      </x:c>
      <x:c r="F330" s="12" t="n">
        <x:v>170.55</x:v>
      </x:c>
      <x:c r="G330" s="12" t="n">
        <x:v>2558.25</x:v>
      </x:c>
      <x:c r="H330" s="13" t="n">
        <x:v>62</x:v>
      </x:c>
      <x:c r="I330" s="13" t="n">
        <x:f>YEAR(B330)</x:f>
        <x:v>2023</x:v>
      </x:c>
      <x:c r="J330" s="13" t="n">
        <x:f>MONTH(B330)</x:f>
        <x:v>7</x:v>
      </x:c>
      <x:c r="K330" s="14" t="n">
        <x:f>ROUND(E330*F330-G330,10)</x:f>
        <x:v>0</x:v>
      </x:c>
      <x:c r="L330" s="2"/>
      <x:c r="M330" s="2"/>
      <x:c r="N330" s="2"/>
      <x:c r="O330" s="2"/>
      <x:c r="P330" s="2"/>
      <x:c r="Q330" s="2"/>
      <x:c r="R330" s="2"/>
    </x:row>
    <x:row r="331" ht="22" customHeight="1">
      <x:c r="A331" s="2" t="n">
        <x:v>100325</x:v>
      </x:c>
      <x:c r="B331" s="10" t="n">
        <x:v>45498</x:v>
      </x:c>
      <x:c r="C331" s="2" t="str">
        <x:v>Chile</x:v>
      </x:c>
      <x:c r="D331" s="2" t="str">
        <x:v>Calçados</x:v>
      </x:c>
      <x:c r="E331" s="11" t="n">
        <x:v>12</x:v>
      </x:c>
      <x:c r="F331" s="12" t="n">
        <x:v>175.25</x:v>
      </x:c>
      <x:c r="G331" s="12" t="n">
        <x:v>2103</x:v>
      </x:c>
      <x:c r="H331" s="13" t="n">
        <x:v>348</x:v>
      </x:c>
      <x:c r="I331" s="13" t="n">
        <x:f>YEAR(B331)</x:f>
        <x:v>2024</x:v>
      </x:c>
      <x:c r="J331" s="13" t="n">
        <x:f>MONTH(B331)</x:f>
        <x:v>7</x:v>
      </x:c>
      <x:c r="K331" s="14" t="n">
        <x:f>ROUND(E331*F331-G331,10)</x:f>
        <x:v>0</x:v>
      </x:c>
      <x:c r="L331" s="2"/>
      <x:c r="M331" s="2"/>
      <x:c r="N331" s="2"/>
      <x:c r="O331" s="2"/>
      <x:c r="P331" s="2"/>
      <x:c r="Q331" s="2"/>
      <x:c r="R331" s="2"/>
    </x:row>
    <x:row r="332" ht="22" customHeight="1">
      <x:c r="A332" s="2" t="n">
        <x:v>100326</x:v>
      </x:c>
      <x:c r="B332" s="10" t="n">
        <x:v>45627</x:v>
      </x:c>
      <x:c r="C332" s="2" t="str">
        <x:v>Chile</x:v>
      </x:c>
      <x:c r="D332" s="2" t="str">
        <x:v>Calçados</x:v>
      </x:c>
      <x:c r="E332" s="11" t="n">
        <x:v>40</x:v>
      </x:c>
      <x:c r="F332" s="12" t="n">
        <x:v>76.88</x:v>
      </x:c>
      <x:c r="G332" s="12" t="n">
        <x:v>3075.2</x:v>
      </x:c>
      <x:c r="H332" s="13" t="n">
        <x:v>125</x:v>
      </x:c>
      <x:c r="I332" s="13" t="n">
        <x:f>YEAR(B332)</x:f>
        <x:v>2024</x:v>
      </x:c>
      <x:c r="J332" s="13" t="n">
        <x:f>MONTH(B332)</x:f>
        <x:v>12</x:v>
      </x:c>
      <x:c r="K332" s="14" t="n">
        <x:f>ROUND(E332*F332-G332,10)</x:f>
        <x:v>0</x:v>
      </x:c>
      <x:c r="L332" s="2"/>
      <x:c r="M332" s="2"/>
      <x:c r="N332" s="2"/>
      <x:c r="O332" s="2"/>
      <x:c r="P332" s="2"/>
      <x:c r="Q332" s="2"/>
      <x:c r="R332" s="2"/>
    </x:row>
    <x:row r="333" ht="22" customHeight="1">
      <x:c r="A333" s="2" t="n">
        <x:v>100327</x:v>
      </x:c>
      <x:c r="B333" s="10" t="n">
        <x:v>45329</x:v>
      </x:c>
      <x:c r="C333" s="2" t="str">
        <x:v>Peru</x:v>
      </x:c>
      <x:c r="D333" s="2" t="str">
        <x:v>Moda Masculina</x:v>
      </x:c>
      <x:c r="E333" s="11" t="n">
        <x:v>20</x:v>
      </x:c>
      <x:c r="F333" s="12" t="n">
        <x:v>173.4</x:v>
      </x:c>
      <x:c r="G333" s="12" t="n">
        <x:v>3468</x:v>
      </x:c>
      <x:c r="H333" s="13" t="n">
        <x:v>100</x:v>
      </x:c>
      <x:c r="I333" s="13" t="n">
        <x:f>YEAR(B333)</x:f>
        <x:v>2024</x:v>
      </x:c>
      <x:c r="J333" s="13" t="n">
        <x:f>MONTH(B333)</x:f>
        <x:v>2</x:v>
      </x:c>
      <x:c r="K333" s="14" t="n">
        <x:f>ROUND(E333*F333-G333,10)</x:f>
        <x:v>0</x:v>
      </x:c>
      <x:c r="L333" s="2"/>
      <x:c r="M333" s="2"/>
      <x:c r="N333" s="2"/>
      <x:c r="O333" s="2"/>
      <x:c r="P333" s="2"/>
      <x:c r="Q333" s="2"/>
      <x:c r="R333" s="2"/>
    </x:row>
    <x:row r="334" ht="22" customHeight="1">
      <x:c r="A334" s="2" t="n">
        <x:v>100328</x:v>
      </x:c>
      <x:c r="B334" s="10" t="n">
        <x:v>45164</x:v>
      </x:c>
      <x:c r="C334" s="2" t="str">
        <x:v>Peru</x:v>
      </x:c>
      <x:c r="D334" s="2" t="str">
        <x:v>Moda Infantil</x:v>
      </x:c>
      <x:c r="E334" s="11" t="n">
        <x:v>30</x:v>
      </x:c>
      <x:c r="F334" s="12" t="n">
        <x:v>27.37</x:v>
      </x:c>
      <x:c r="G334" s="12" t="n">
        <x:v>821.1</x:v>
      </x:c>
      <x:c r="H334" s="13" t="n">
        <x:v>324</x:v>
      </x:c>
      <x:c r="I334" s="13" t="n">
        <x:f>YEAR(B334)</x:f>
        <x:v>2023</x:v>
      </x:c>
      <x:c r="J334" s="13" t="n">
        <x:f>MONTH(B334)</x:f>
        <x:v>8</x:v>
      </x:c>
      <x:c r="K334" s="14" t="n">
        <x:f>ROUND(E334*F334-G334,10)</x:f>
        <x:v>0</x:v>
      </x:c>
      <x:c r="L334" s="2"/>
      <x:c r="M334" s="2"/>
      <x:c r="N334" s="2"/>
      <x:c r="O334" s="2"/>
      <x:c r="P334" s="2"/>
      <x:c r="Q334" s="2"/>
      <x:c r="R334" s="2"/>
    </x:row>
    <x:row r="335" ht="22" customHeight="1">
      <x:c r="A335" s="2" t="n">
        <x:v>100329</x:v>
      </x:c>
      <x:c r="B335" s="10" t="n">
        <x:v>45060</x:v>
      </x:c>
      <x:c r="C335" s="2" t="str">
        <x:v>Peru</x:v>
      </x:c>
      <x:c r="D335" s="2" t="str">
        <x:v>Calçados</x:v>
      </x:c>
      <x:c r="E335" s="11" t="n">
        <x:v>38</x:v>
      </x:c>
      <x:c r="F335" s="12" t="n">
        <x:v>28.94</x:v>
      </x:c>
      <x:c r="G335" s="12" t="n">
        <x:v>1099.72</x:v>
      </x:c>
      <x:c r="H335" s="13" t="n">
        <x:v>198</x:v>
      </x:c>
      <x:c r="I335" s="13" t="n">
        <x:f>YEAR(B335)</x:f>
        <x:v>2023</x:v>
      </x:c>
      <x:c r="J335" s="13" t="n">
        <x:f>MONTH(B335)</x:f>
        <x:v>5</x:v>
      </x:c>
      <x:c r="K335" s="14" t="n">
        <x:f>ROUND(E335*F335-G335,10)</x:f>
        <x:v>0</x:v>
      </x:c>
      <x:c r="L335" s="2"/>
      <x:c r="M335" s="2"/>
      <x:c r="N335" s="2"/>
      <x:c r="O335" s="2"/>
      <x:c r="P335" s="2"/>
      <x:c r="Q335" s="2"/>
      <x:c r="R335" s="2"/>
    </x:row>
    <x:row r="336" ht="22" customHeight="1">
      <x:c r="A336" s="2" t="n">
        <x:v>100330</x:v>
      </x:c>
      <x:c r="B336" s="10" t="n">
        <x:v>45173</x:v>
      </x:c>
      <x:c r="C336" s="2" t="str">
        <x:v>Peru</x:v>
      </x:c>
      <x:c r="D336" s="2" t="str">
        <x:v>Calçados</x:v>
      </x:c>
      <x:c r="E336" s="11" t="n">
        <x:v>3</x:v>
      </x:c>
      <x:c r="F336" s="12" t="n">
        <x:v>132.23</x:v>
      </x:c>
      <x:c r="G336" s="12" t="n">
        <x:v>396.6899999999999</x:v>
      </x:c>
      <x:c r="H336" s="13" t="n">
        <x:v>268</x:v>
      </x:c>
      <x:c r="I336" s="13" t="n">
        <x:f>YEAR(B336)</x:f>
        <x:v>2023</x:v>
      </x:c>
      <x:c r="J336" s="13" t="n">
        <x:f>MONTH(B336)</x:f>
        <x:v>9</x:v>
      </x:c>
      <x:c r="K336" s="14" t="n">
        <x:f>ROUND(E336*F336-G336,10)</x:f>
        <x:v>0</x:v>
      </x:c>
      <x:c r="L336" s="2"/>
      <x:c r="M336" s="2"/>
      <x:c r="N336" s="2"/>
      <x:c r="O336" s="2"/>
      <x:c r="P336" s="2"/>
      <x:c r="Q336" s="2"/>
      <x:c r="R336" s="2"/>
    </x:row>
    <x:row r="337" ht="22" customHeight="1">
      <x:c r="A337" s="2" t="n">
        <x:v>100331</x:v>
      </x:c>
      <x:c r="B337" s="10" t="n">
        <x:v>45295</x:v>
      </x:c>
      <x:c r="C337" s="2" t="str">
        <x:v>Peru</x:v>
      </x:c>
      <x:c r="D337" s="2" t="str">
        <x:v>Moda Masculina</x:v>
      </x:c>
      <x:c r="E337" s="11" t="n">
        <x:v>28</x:v>
      </x:c>
      <x:c r="F337" s="12" t="n">
        <x:v>31.36</x:v>
      </x:c>
      <x:c r="G337" s="12" t="n">
        <x:v>878.0799999999999</x:v>
      </x:c>
      <x:c r="H337" s="13" t="n">
        <x:v>171</x:v>
      </x:c>
      <x:c r="I337" s="13" t="n">
        <x:f>YEAR(B337)</x:f>
        <x:v>2024</x:v>
      </x:c>
      <x:c r="J337" s="13" t="n">
        <x:f>MONTH(B337)</x:f>
        <x:v>1</x:v>
      </x:c>
      <x:c r="K337" s="14" t="n">
        <x:f>ROUND(E337*F337-G337,10)</x:f>
        <x:v>0</x:v>
      </x:c>
      <x:c r="L337" s="2"/>
      <x:c r="M337" s="2"/>
      <x:c r="N337" s="2"/>
      <x:c r="O337" s="2"/>
      <x:c r="P337" s="2"/>
      <x:c r="Q337" s="2"/>
      <x:c r="R337" s="2"/>
    </x:row>
    <x:row r="338" ht="22" customHeight="1">
      <x:c r="A338" s="2" t="n">
        <x:v>100332</x:v>
      </x:c>
      <x:c r="B338" s="10" t="n">
        <x:v>45171</x:v>
      </x:c>
      <x:c r="C338" s="2" t="str">
        <x:v>Peru</x:v>
      </x:c>
      <x:c r="D338" s="2" t="str">
        <x:v>Moda Masculina</x:v>
      </x:c>
      <x:c r="E338" s="11" t="n">
        <x:v>26</x:v>
      </x:c>
      <x:c r="F338" s="12" t="n">
        <x:v>78.43</x:v>
      </x:c>
      <x:c r="G338" s="12" t="n">
        <x:v>2039.18</x:v>
      </x:c>
      <x:c r="H338" s="13" t="n">
        <x:v>260</x:v>
      </x:c>
      <x:c r="I338" s="13" t="n">
        <x:f>YEAR(B338)</x:f>
        <x:v>2023</x:v>
      </x:c>
      <x:c r="J338" s="13" t="n">
        <x:f>MONTH(B338)</x:f>
        <x:v>9</x:v>
      </x:c>
      <x:c r="K338" s="14" t="n">
        <x:f>ROUND(E338*F338-G338,10)</x:f>
        <x:v>0</x:v>
      </x:c>
      <x:c r="L338" s="2"/>
      <x:c r="M338" s="2"/>
      <x:c r="N338" s="2"/>
      <x:c r="O338" s="2"/>
      <x:c r="P338" s="2"/>
      <x:c r="Q338" s="2"/>
      <x:c r="R338" s="2"/>
    </x:row>
    <x:row r="339" ht="22" customHeight="1">
      <x:c r="A339" s="2" t="n">
        <x:v>100333</x:v>
      </x:c>
      <x:c r="B339" s="10" t="n">
        <x:v>45182</x:v>
      </x:c>
      <x:c r="C339" s="2" t="str">
        <x:v>México</x:v>
      </x:c>
      <x:c r="D339" s="2" t="str">
        <x:v>Calçados</x:v>
      </x:c>
      <x:c r="E339" s="11" t="n">
        <x:v>30</x:v>
      </x:c>
      <x:c r="F339" s="12" t="n">
        <x:v>141.1</x:v>
      </x:c>
      <x:c r="G339" s="12" t="n">
        <x:v>4233</x:v>
      </x:c>
      <x:c r="H339" s="13" t="n">
        <x:v>329</x:v>
      </x:c>
      <x:c r="I339" s="13" t="n">
        <x:f>YEAR(B339)</x:f>
        <x:v>2023</x:v>
      </x:c>
      <x:c r="J339" s="13" t="n">
        <x:f>MONTH(B339)</x:f>
        <x:v>9</x:v>
      </x:c>
      <x:c r="K339" s="14" t="n">
        <x:f>ROUND(E339*F339-G339,10)</x:f>
        <x:v>0</x:v>
      </x:c>
      <x:c r="L339" s="2"/>
      <x:c r="M339" s="2"/>
      <x:c r="N339" s="2"/>
      <x:c r="O339" s="2"/>
      <x:c r="P339" s="2"/>
      <x:c r="Q339" s="2"/>
      <x:c r="R339" s="2"/>
    </x:row>
    <x:row r="340" ht="22" customHeight="1">
      <x:c r="A340" s="2" t="n">
        <x:v>100334</x:v>
      </x:c>
      <x:c r="B340" s="10" t="n">
        <x:v>45088</x:v>
      </x:c>
      <x:c r="C340" s="2" t="str">
        <x:v>Chile</x:v>
      </x:c>
      <x:c r="D340" s="2" t="str">
        <x:v>Moda Feminina</x:v>
      </x:c>
      <x:c r="E340" s="11" t="n">
        <x:v>13</x:v>
      </x:c>
      <x:c r="F340" s="12" t="n">
        <x:v>80.71</x:v>
      </x:c>
      <x:c r="G340" s="12" t="n">
        <x:v>1049.23</x:v>
      </x:c>
      <x:c r="H340" s="13" t="n">
        <x:v>75</x:v>
      </x:c>
      <x:c r="I340" s="13" t="n">
        <x:f>YEAR(B340)</x:f>
        <x:v>2023</x:v>
      </x:c>
      <x:c r="J340" s="13" t="n">
        <x:f>MONTH(B340)</x:f>
        <x:v>6</x:v>
      </x:c>
      <x:c r="K340" s="14" t="n">
        <x:f>ROUND(E340*F340-G340,10)</x:f>
        <x:v>0</x:v>
      </x:c>
      <x:c r="L340" s="2"/>
      <x:c r="M340" s="2"/>
      <x:c r="N340" s="2"/>
      <x:c r="O340" s="2"/>
      <x:c r="P340" s="2"/>
      <x:c r="Q340" s="2"/>
      <x:c r="R340" s="2"/>
    </x:row>
    <x:row r="341" ht="22" customHeight="1">
      <x:c r="A341" s="2" t="n">
        <x:v>100335</x:v>
      </x:c>
      <x:c r="B341" s="10" t="n">
        <x:v>45627</x:v>
      </x:c>
      <x:c r="C341" s="2" t="str">
        <x:v>Peru</x:v>
      </x:c>
      <x:c r="D341" s="2" t="str">
        <x:v>Calçados</x:v>
      </x:c>
      <x:c r="E341" s="11" t="n">
        <x:v>13</x:v>
      </x:c>
      <x:c r="F341" s="12" t="n">
        <x:v>52.33</x:v>
      </x:c>
      <x:c r="G341" s="12" t="n">
        <x:v>680.29</x:v>
      </x:c>
      <x:c r="H341" s="13" t="n">
        <x:v>222</x:v>
      </x:c>
      <x:c r="I341" s="13" t="n">
        <x:f>YEAR(B341)</x:f>
        <x:v>2024</x:v>
      </x:c>
      <x:c r="J341" s="13" t="n">
        <x:f>MONTH(B341)</x:f>
        <x:v>12</x:v>
      </x:c>
      <x:c r="K341" s="14" t="n">
        <x:f>ROUND(E341*F341-G341,10)</x:f>
        <x:v>0</x:v>
      </x:c>
      <x:c r="L341" s="2"/>
      <x:c r="M341" s="2"/>
      <x:c r="N341" s="2"/>
      <x:c r="O341" s="2"/>
      <x:c r="P341" s="2"/>
      <x:c r="Q341" s="2"/>
      <x:c r="R341" s="2"/>
    </x:row>
    <x:row r="342" ht="22" customHeight="1">
      <x:c r="A342" s="2" t="n">
        <x:v>100336</x:v>
      </x:c>
      <x:c r="B342" s="10" t="n">
        <x:v>45330</x:v>
      </x:c>
      <x:c r="C342" s="2" t="str">
        <x:v>Chile</x:v>
      </x:c>
      <x:c r="D342" s="2" t="str">
        <x:v>Calçados</x:v>
      </x:c>
      <x:c r="E342" s="11" t="n">
        <x:v>2</x:v>
      </x:c>
      <x:c r="F342" s="12" t="n">
        <x:v>70.64</x:v>
      </x:c>
      <x:c r="G342" s="12" t="n">
        <x:v>141.28</x:v>
      </x:c>
      <x:c r="H342" s="13" t="n">
        <x:v>205</x:v>
      </x:c>
      <x:c r="I342" s="13" t="n">
        <x:f>YEAR(B342)</x:f>
        <x:v>2024</x:v>
      </x:c>
      <x:c r="J342" s="13" t="n">
        <x:f>MONTH(B342)</x:f>
        <x:v>2</x:v>
      </x:c>
      <x:c r="K342" s="14" t="n">
        <x:f>ROUND(E342*F342-G342,10)</x:f>
        <x:v>0</x:v>
      </x:c>
      <x:c r="L342" s="2"/>
      <x:c r="M342" s="2"/>
      <x:c r="N342" s="2"/>
      <x:c r="O342" s="2"/>
      <x:c r="P342" s="2"/>
      <x:c r="Q342" s="2"/>
      <x:c r="R342" s="2"/>
    </x:row>
    <x:row r="343" ht="22" customHeight="1">
      <x:c r="A343" s="2" t="n">
        <x:v>100337</x:v>
      </x:c>
      <x:c r="B343" s="10" t="n">
        <x:v>45395</x:v>
      </x:c>
      <x:c r="C343" s="2" t="str">
        <x:v>Chile</x:v>
      </x:c>
      <x:c r="D343" s="2" t="str">
        <x:v>Moda Masculina</x:v>
      </x:c>
      <x:c r="E343" s="11" t="n">
        <x:v>37</x:v>
      </x:c>
      <x:c r="F343" s="12" t="n">
        <x:v>102.36</x:v>
      </x:c>
      <x:c r="G343" s="12" t="n">
        <x:v>3787.32</x:v>
      </x:c>
      <x:c r="H343" s="13" t="n">
        <x:v>287</x:v>
      </x:c>
      <x:c r="I343" s="13" t="n">
        <x:f>YEAR(B343)</x:f>
        <x:v>2024</x:v>
      </x:c>
      <x:c r="J343" s="13" t="n">
        <x:f>MONTH(B343)</x:f>
        <x:v>4</x:v>
      </x:c>
      <x:c r="K343" s="14" t="n">
        <x:f>ROUND(E343*F343-G343,10)</x:f>
        <x:v>0</x:v>
      </x:c>
      <x:c r="L343" s="2"/>
      <x:c r="M343" s="2"/>
      <x:c r="N343" s="2"/>
      <x:c r="O343" s="2"/>
      <x:c r="P343" s="2"/>
      <x:c r="Q343" s="2"/>
      <x:c r="R343" s="2"/>
    </x:row>
    <x:row r="344" ht="22" customHeight="1">
      <x:c r="A344" s="2" t="n">
        <x:v>100338</x:v>
      </x:c>
      <x:c r="B344" s="10" t="n">
        <x:v>45180</x:v>
      </x:c>
      <x:c r="C344" s="2" t="str">
        <x:v>Argentina</x:v>
      </x:c>
      <x:c r="D344" s="2" t="str">
        <x:v>Moda Masculina</x:v>
      </x:c>
      <x:c r="E344" s="11" t="n">
        <x:v>49</x:v>
      </x:c>
      <x:c r="F344" s="12" t="n">
        <x:v>105.57</x:v>
      </x:c>
      <x:c r="G344" s="12" t="n">
        <x:v>5172.929999999999</x:v>
      </x:c>
      <x:c r="H344" s="13" t="n">
        <x:v>425</x:v>
      </x:c>
      <x:c r="I344" s="13" t="n">
        <x:f>YEAR(B344)</x:f>
        <x:v>2023</x:v>
      </x:c>
      <x:c r="J344" s="13" t="n">
        <x:f>MONTH(B344)</x:f>
        <x:v>9</x:v>
      </x:c>
      <x:c r="K344" s="14" t="n">
        <x:f>ROUND(E344*F344-G344,10)</x:f>
        <x:v>0</x:v>
      </x:c>
      <x:c r="L344" s="2"/>
      <x:c r="M344" s="2"/>
      <x:c r="N344" s="2"/>
      <x:c r="O344" s="2"/>
      <x:c r="P344" s="2"/>
      <x:c r="Q344" s="2"/>
      <x:c r="R344" s="2"/>
    </x:row>
    <x:row r="345" ht="22" customHeight="1">
      <x:c r="A345" s="2" t="n">
        <x:v>100339</x:v>
      </x:c>
      <x:c r="B345" s="10" t="n">
        <x:v>45156</x:v>
      </x:c>
      <x:c r="C345" s="2" t="str">
        <x:v>México</x:v>
      </x:c>
      <x:c r="D345" s="2" t="str">
        <x:v>Calçados</x:v>
      </x:c>
      <x:c r="E345" s="11" t="n">
        <x:v>38</x:v>
      </x:c>
      <x:c r="F345" s="12" t="n">
        <x:v>160.94</x:v>
      </x:c>
      <x:c r="G345" s="12" t="n">
        <x:v>6115.72</x:v>
      </x:c>
      <x:c r="H345" s="13" t="n">
        <x:v>131</x:v>
      </x:c>
      <x:c r="I345" s="13" t="n">
        <x:f>YEAR(B345)</x:f>
        <x:v>2023</x:v>
      </x:c>
      <x:c r="J345" s="13" t="n">
        <x:f>MONTH(B345)</x:f>
        <x:v>8</x:v>
      </x:c>
      <x:c r="K345" s="14" t="n">
        <x:f>ROUND(E345*F345-G345,10)</x:f>
        <x:v>0</x:v>
      </x:c>
      <x:c r="L345" s="2"/>
      <x:c r="M345" s="2"/>
      <x:c r="N345" s="2"/>
      <x:c r="O345" s="2"/>
      <x:c r="P345" s="2"/>
      <x:c r="Q345" s="2"/>
      <x:c r="R345" s="2"/>
    </x:row>
    <x:row r="346" ht="22" customHeight="1">
      <x:c r="A346" s="2" t="n">
        <x:v>100340</x:v>
      </x:c>
      <x:c r="B346" s="10" t="n">
        <x:v>44987</x:v>
      </x:c>
      <x:c r="C346" s="2" t="str">
        <x:v>Peru</x:v>
      </x:c>
      <x:c r="D346" s="2" t="str">
        <x:v>Calçados</x:v>
      </x:c>
      <x:c r="E346" s="11" t="n">
        <x:v>2</x:v>
      </x:c>
      <x:c r="F346" s="12" t="n">
        <x:v>155.03</x:v>
      </x:c>
      <x:c r="G346" s="12" t="n">
        <x:v>310.06</x:v>
      </x:c>
      <x:c r="H346" s="13" t="n">
        <x:v>405</x:v>
      </x:c>
      <x:c r="I346" s="13" t="n">
        <x:f>YEAR(B346)</x:f>
        <x:v>2023</x:v>
      </x:c>
      <x:c r="J346" s="13" t="n">
        <x:f>MONTH(B346)</x:f>
        <x:v>3</x:v>
      </x:c>
      <x:c r="K346" s="14" t="n">
        <x:f>ROUND(E346*F346-G346,10)</x:f>
        <x:v>0</x:v>
      </x:c>
      <x:c r="L346" s="2"/>
      <x:c r="M346" s="2"/>
      <x:c r="N346" s="2"/>
      <x:c r="O346" s="2"/>
      <x:c r="P346" s="2"/>
      <x:c r="Q346" s="2"/>
      <x:c r="R346" s="2"/>
    </x:row>
    <x:row r="347" ht="22" customHeight="1">
      <x:c r="A347" s="2" t="n">
        <x:v>100341</x:v>
      </x:c>
      <x:c r="B347" s="10" t="n">
        <x:v>45052</x:v>
      </x:c>
      <x:c r="C347" s="2" t="str">
        <x:v>Brasil</x:v>
      </x:c>
      <x:c r="D347" s="2" t="str">
        <x:v>Calçados</x:v>
      </x:c>
      <x:c r="E347" s="11" t="n">
        <x:v>36</x:v>
      </x:c>
      <x:c r="F347" s="12" t="n">
        <x:v>102.23</x:v>
      </x:c>
      <x:c r="G347" s="12" t="n">
        <x:v>3680.28</x:v>
      </x:c>
      <x:c r="H347" s="13" t="n">
        <x:v>462</x:v>
      </x:c>
      <x:c r="I347" s="13" t="n">
        <x:f>YEAR(B347)</x:f>
        <x:v>2023</x:v>
      </x:c>
      <x:c r="J347" s="13" t="n">
        <x:f>MONTH(B347)</x:f>
        <x:v>5</x:v>
      </x:c>
      <x:c r="K347" s="14" t="n">
        <x:f>ROUND(E347*F347-G347,10)</x:f>
        <x:v>0</x:v>
      </x:c>
      <x:c r="L347" s="2"/>
      <x:c r="M347" s="2"/>
      <x:c r="N347" s="2"/>
      <x:c r="O347" s="2"/>
      <x:c r="P347" s="2"/>
      <x:c r="Q347" s="2"/>
      <x:c r="R347" s="2"/>
    </x:row>
    <x:row r="348" ht="22" customHeight="1">
      <x:c r="A348" s="2" t="n">
        <x:v>100342</x:v>
      </x:c>
      <x:c r="B348" s="10" t="n">
        <x:v>45630</x:v>
      </x:c>
      <x:c r="C348" s="2" t="str">
        <x:v>Colômbia</x:v>
      </x:c>
      <x:c r="D348" s="2" t="str">
        <x:v>Moda Masculina</x:v>
      </x:c>
      <x:c r="E348" s="11" t="n">
        <x:v>26</x:v>
      </x:c>
      <x:c r="F348" s="12" t="n">
        <x:v>172.22</x:v>
      </x:c>
      <x:c r="G348" s="12" t="n">
        <x:v>4477.72</x:v>
      </x:c>
      <x:c r="H348" s="13" t="n">
        <x:v>322</x:v>
      </x:c>
      <x:c r="I348" s="13" t="n">
        <x:f>YEAR(B348)</x:f>
        <x:v>2024</x:v>
      </x:c>
      <x:c r="J348" s="13" t="n">
        <x:f>MONTH(B348)</x:f>
        <x:v>12</x:v>
      </x:c>
      <x:c r="K348" s="14" t="n">
        <x:f>ROUND(E348*F348-G348,10)</x:f>
        <x:v>0</x:v>
      </x:c>
      <x:c r="L348" s="2"/>
      <x:c r="M348" s="2"/>
      <x:c r="N348" s="2"/>
      <x:c r="O348" s="2"/>
      <x:c r="P348" s="2"/>
      <x:c r="Q348" s="2"/>
      <x:c r="R348" s="2"/>
    </x:row>
    <x:row r="349" ht="22" customHeight="1">
      <x:c r="A349" s="2" t="n">
        <x:v>100343</x:v>
      </x:c>
      <x:c r="B349" s="10" t="n">
        <x:v>45622</x:v>
      </x:c>
      <x:c r="C349" s="2" t="str">
        <x:v>Brasil</x:v>
      </x:c>
      <x:c r="D349" s="2" t="str">
        <x:v>Calçados</x:v>
      </x:c>
      <x:c r="E349" s="11" t="n">
        <x:v>11</x:v>
      </x:c>
      <x:c r="F349" s="12" t="n">
        <x:v>40.56</x:v>
      </x:c>
      <x:c r="G349" s="12" t="n">
        <x:v>446.16</x:v>
      </x:c>
      <x:c r="H349" s="13" t="n">
        <x:v>117</x:v>
      </x:c>
      <x:c r="I349" s="13" t="n">
        <x:f>YEAR(B349)</x:f>
        <x:v>2024</x:v>
      </x:c>
      <x:c r="J349" s="13" t="n">
        <x:f>MONTH(B349)</x:f>
        <x:v>11</x:v>
      </x:c>
      <x:c r="K349" s="14" t="n">
        <x:f>ROUND(E349*F349-G349,10)</x:f>
        <x:v>0</x:v>
      </x:c>
      <x:c r="L349" s="2"/>
      <x:c r="M349" s="2"/>
      <x:c r="N349" s="2"/>
      <x:c r="O349" s="2"/>
      <x:c r="P349" s="2"/>
      <x:c r="Q349" s="2"/>
      <x:c r="R349" s="2"/>
    </x:row>
    <x:row r="350" ht="22" customHeight="1">
      <x:c r="A350" s="2" t="n">
        <x:v>100344</x:v>
      </x:c>
      <x:c r="B350" s="10" t="n">
        <x:v>45427</x:v>
      </x:c>
      <x:c r="C350" s="2" t="str">
        <x:v>México</x:v>
      </x:c>
      <x:c r="D350" s="2" t="str">
        <x:v>Calçados</x:v>
      </x:c>
      <x:c r="E350" s="11" t="n">
        <x:v>8</x:v>
      </x:c>
      <x:c r="F350" s="12" t="n">
        <x:v>65.96</x:v>
      </x:c>
      <x:c r="G350" s="12" t="n">
        <x:v>527.68</x:v>
      </x:c>
      <x:c r="H350" s="13" t="n">
        <x:v>93</x:v>
      </x:c>
      <x:c r="I350" s="13" t="n">
        <x:f>YEAR(B350)</x:f>
        <x:v>2024</x:v>
      </x:c>
      <x:c r="J350" s="13" t="n">
        <x:f>MONTH(B350)</x:f>
        <x:v>5</x:v>
      </x:c>
      <x:c r="K350" s="14" t="n">
        <x:f>ROUND(E350*F350-G350,10)</x:f>
        <x:v>0</x:v>
      </x:c>
      <x:c r="L350" s="2"/>
      <x:c r="M350" s="2"/>
      <x:c r="N350" s="2"/>
      <x:c r="O350" s="2"/>
      <x:c r="P350" s="2"/>
      <x:c r="Q350" s="2"/>
      <x:c r="R350" s="2"/>
    </x:row>
    <x:row r="351" ht="22" customHeight="1">
      <x:c r="A351" s="2" t="n">
        <x:v>100345</x:v>
      </x:c>
      <x:c r="B351" s="10" t="n">
        <x:v>45422</x:v>
      </x:c>
      <x:c r="C351" s="2" t="str">
        <x:v>Colômbia</x:v>
      </x:c>
      <x:c r="D351" s="2" t="str">
        <x:v>Acessórios</x:v>
      </x:c>
      <x:c r="E351" s="11" t="n">
        <x:v>44</x:v>
      </x:c>
      <x:c r="F351" s="12" t="n">
        <x:v>169.04</x:v>
      </x:c>
      <x:c r="G351" s="12" t="n">
        <x:v>7437.759999999999</x:v>
      </x:c>
      <x:c r="H351" s="13" t="n">
        <x:v>110</x:v>
      </x:c>
      <x:c r="I351" s="13" t="n">
        <x:f>YEAR(B351)</x:f>
        <x:v>2024</x:v>
      </x:c>
      <x:c r="J351" s="13" t="n">
        <x:f>MONTH(B351)</x:f>
        <x:v>5</x:v>
      </x:c>
      <x:c r="K351" s="14" t="n">
        <x:f>ROUND(E351*F351-G351,10)</x:f>
        <x:v>0</x:v>
      </x:c>
      <x:c r="L351" s="2"/>
      <x:c r="M351" s="2"/>
      <x:c r="N351" s="2"/>
      <x:c r="O351" s="2"/>
      <x:c r="P351" s="2"/>
      <x:c r="Q351" s="2"/>
      <x:c r="R351" s="2"/>
    </x:row>
    <x:row r="352" ht="22" customHeight="1">
      <x:c r="A352" s="2" t="n">
        <x:v>100346</x:v>
      </x:c>
      <x:c r="B352" s="10" t="n">
        <x:v>45391</x:v>
      </x:c>
      <x:c r="C352" s="2" t="str">
        <x:v>México</x:v>
      </x:c>
      <x:c r="D352" s="2" t="str">
        <x:v>Moda Feminina</x:v>
      </x:c>
      <x:c r="E352" s="11" t="n">
        <x:v>40</x:v>
      </x:c>
      <x:c r="F352" s="12" t="n">
        <x:v>88.04</x:v>
      </x:c>
      <x:c r="G352" s="12" t="n">
        <x:v>3521.6</x:v>
      </x:c>
      <x:c r="H352" s="13" t="n">
        <x:v>172</x:v>
      </x:c>
      <x:c r="I352" s="13" t="n">
        <x:f>YEAR(B352)</x:f>
        <x:v>2024</x:v>
      </x:c>
      <x:c r="J352" s="13" t="n">
        <x:f>MONTH(B352)</x:f>
        <x:v>4</x:v>
      </x:c>
      <x:c r="K352" s="14" t="n">
        <x:f>ROUND(E352*F352-G352,10)</x:f>
        <x:v>0</x:v>
      </x:c>
      <x:c r="L352" s="2"/>
      <x:c r="M352" s="2"/>
      <x:c r="N352" s="2"/>
      <x:c r="O352" s="2"/>
      <x:c r="P352" s="2"/>
      <x:c r="Q352" s="2"/>
      <x:c r="R352" s="2"/>
    </x:row>
    <x:row r="353" ht="22" customHeight="1">
      <x:c r="A353" s="2" t="n">
        <x:v>100347</x:v>
      </x:c>
      <x:c r="B353" s="10" t="n">
        <x:v>45307</x:v>
      </x:c>
      <x:c r="C353" s="2" t="str">
        <x:v>Chile</x:v>
      </x:c>
      <x:c r="D353" s="2" t="str">
        <x:v>Moda Infantil</x:v>
      </x:c>
      <x:c r="E353" s="11" t="n">
        <x:v>43</x:v>
      </x:c>
      <x:c r="F353" s="12" t="n">
        <x:v>196.61</x:v>
      </x:c>
      <x:c r="G353" s="12" t="n">
        <x:v>8454.230000000001</x:v>
      </x:c>
      <x:c r="H353" s="13" t="n">
        <x:v>398</x:v>
      </x:c>
      <x:c r="I353" s="13" t="n">
        <x:f>YEAR(B353)</x:f>
        <x:v>2024</x:v>
      </x:c>
      <x:c r="J353" s="13" t="n">
        <x:f>MONTH(B353)</x:f>
        <x:v>1</x:v>
      </x:c>
      <x:c r="K353" s="14" t="n">
        <x:f>ROUND(E353*F353-G353,10)</x:f>
        <x:v>0</x:v>
      </x:c>
      <x:c r="L353" s="2"/>
      <x:c r="M353" s="2"/>
      <x:c r="N353" s="2"/>
      <x:c r="O353" s="2"/>
      <x:c r="P353" s="2"/>
      <x:c r="Q353" s="2"/>
      <x:c r="R353" s="2"/>
    </x:row>
    <x:row r="354" ht="22" customHeight="1">
      <x:c r="A354" s="2" t="n">
        <x:v>100348</x:v>
      </x:c>
      <x:c r="B354" s="10" t="n">
        <x:v>45416</x:v>
      </x:c>
      <x:c r="C354" s="2" t="str">
        <x:v>Colômbia</x:v>
      </x:c>
      <x:c r="D354" s="2" t="str">
        <x:v>Moda Feminina</x:v>
      </x:c>
      <x:c r="E354" s="11" t="n">
        <x:v>22</x:v>
      </x:c>
      <x:c r="F354" s="12" t="n">
        <x:v>103.93</x:v>
      </x:c>
      <x:c r="G354" s="12" t="n">
        <x:v>2286.46</x:v>
      </x:c>
      <x:c r="H354" s="13" t="n">
        <x:v>245</x:v>
      </x:c>
      <x:c r="I354" s="13" t="n">
        <x:f>YEAR(B354)</x:f>
        <x:v>2024</x:v>
      </x:c>
      <x:c r="J354" s="13" t="n">
        <x:f>MONTH(B354)</x:f>
        <x:v>5</x:v>
      </x:c>
      <x:c r="K354" s="14" t="n">
        <x:f>ROUND(E354*F354-G354,10)</x:f>
        <x:v>0</x:v>
      </x:c>
      <x:c r="L354" s="2"/>
      <x:c r="M354" s="2"/>
      <x:c r="N354" s="2"/>
      <x:c r="O354" s="2"/>
      <x:c r="P354" s="2"/>
      <x:c r="Q354" s="2"/>
      <x:c r="R354" s="2"/>
    </x:row>
    <x:row r="355" ht="22" customHeight="1">
      <x:c r="A355" s="2" t="n">
        <x:v>100349</x:v>
      </x:c>
      <x:c r="B355" s="10" t="n">
        <x:v>44958</x:v>
      </x:c>
      <x:c r="C355" s="2" t="str">
        <x:v>Chile</x:v>
      </x:c>
      <x:c r="D355" s="2" t="str">
        <x:v>Acessórios</x:v>
      </x:c>
      <x:c r="E355" s="11" t="n">
        <x:v>20</x:v>
      </x:c>
      <x:c r="F355" s="12" t="n">
        <x:v>162.55</x:v>
      </x:c>
      <x:c r="G355" s="12" t="n">
        <x:v>3251</x:v>
      </x:c>
      <x:c r="H355" s="13" t="n">
        <x:v>379</x:v>
      </x:c>
      <x:c r="I355" s="13" t="n">
        <x:f>YEAR(B355)</x:f>
        <x:v>2023</x:v>
      </x:c>
      <x:c r="J355" s="13" t="n">
        <x:f>MONTH(B355)</x:f>
        <x:v>2</x:v>
      </x:c>
      <x:c r="K355" s="14" t="n">
        <x:f>ROUND(E355*F355-G355,10)</x:f>
        <x:v>0</x:v>
      </x:c>
      <x:c r="L355" s="2"/>
      <x:c r="M355" s="2"/>
      <x:c r="N355" s="2"/>
      <x:c r="O355" s="2"/>
      <x:c r="P355" s="2"/>
      <x:c r="Q355" s="2"/>
      <x:c r="R355" s="2"/>
    </x:row>
    <x:row r="356" ht="22" customHeight="1">
      <x:c r="A356" s="2" t="n">
        <x:v>100350</x:v>
      </x:c>
      <x:c r="B356" s="10" t="n">
        <x:v>45378</x:v>
      </x:c>
      <x:c r="C356" s="2" t="str">
        <x:v>Brasil</x:v>
      </x:c>
      <x:c r="D356" s="2" t="str">
        <x:v>Moda Infantil</x:v>
      </x:c>
      <x:c r="E356" s="11" t="n">
        <x:v>8</x:v>
      </x:c>
      <x:c r="F356" s="12" t="n">
        <x:v>92.42</x:v>
      </x:c>
      <x:c r="G356" s="12" t="n">
        <x:v>739.36</x:v>
      </x:c>
      <x:c r="H356" s="13" t="n">
        <x:v>458</x:v>
      </x:c>
      <x:c r="I356" s="13" t="n">
        <x:f>YEAR(B356)</x:f>
        <x:v>2024</x:v>
      </x:c>
      <x:c r="J356" s="13" t="n">
        <x:f>MONTH(B356)</x:f>
        <x:v>3</x:v>
      </x:c>
      <x:c r="K356" s="14" t="n">
        <x:f>ROUND(E356*F356-G356,10)</x:f>
        <x:v>0</x:v>
      </x:c>
      <x:c r="L356" s="2"/>
      <x:c r="M356" s="2"/>
      <x:c r="N356" s="2"/>
      <x:c r="O356" s="2"/>
      <x:c r="P356" s="2"/>
      <x:c r="Q356" s="2"/>
      <x:c r="R356" s="2"/>
    </x:row>
    <x:row r="357" ht="22" customHeight="1">
      <x:c r="A357" s="2" t="n">
        <x:v>100351</x:v>
      </x:c>
      <x:c r="B357" s="10" t="n">
        <x:v>45099</x:v>
      </x:c>
      <x:c r="C357" s="2" t="str">
        <x:v>Brasil</x:v>
      </x:c>
      <x:c r="D357" s="2" t="str">
        <x:v>Calçados</x:v>
      </x:c>
      <x:c r="E357" s="11" t="n">
        <x:v>29</x:v>
      </x:c>
      <x:c r="F357" s="12" t="n">
        <x:v>96.49</x:v>
      </x:c>
      <x:c r="G357" s="12" t="n">
        <x:v>2798.21</x:v>
      </x:c>
      <x:c r="H357" s="13" t="n">
        <x:v>372</x:v>
      </x:c>
      <x:c r="I357" s="13" t="n">
        <x:f>YEAR(B357)</x:f>
        <x:v>2023</x:v>
      </x:c>
      <x:c r="J357" s="13" t="n">
        <x:f>MONTH(B357)</x:f>
        <x:v>6</x:v>
      </x:c>
      <x:c r="K357" s="14" t="n">
        <x:f>ROUND(E357*F357-G357,10)</x:f>
        <x:v>0</x:v>
      </x:c>
      <x:c r="L357" s="2"/>
      <x:c r="M357" s="2"/>
      <x:c r="N357" s="2"/>
      <x:c r="O357" s="2"/>
      <x:c r="P357" s="2"/>
      <x:c r="Q357" s="2"/>
      <x:c r="R357" s="2"/>
    </x:row>
    <x:row r="358" ht="22" customHeight="1">
      <x:c r="A358" s="2" t="n">
        <x:v>100352</x:v>
      </x:c>
      <x:c r="B358" s="10" t="n">
        <x:v>45451</x:v>
      </x:c>
      <x:c r="C358" s="2" t="str">
        <x:v>Colômbia</x:v>
      </x:c>
      <x:c r="D358" s="2" t="str">
        <x:v>Acessórios</x:v>
      </x:c>
      <x:c r="E358" s="11" t="n">
        <x:v>40</x:v>
      </x:c>
      <x:c r="F358" s="12" t="n">
        <x:v>88.92</x:v>
      </x:c>
      <x:c r="G358" s="12" t="n">
        <x:v>3556.8</x:v>
      </x:c>
      <x:c r="H358" s="13" t="n">
        <x:v>160</x:v>
      </x:c>
      <x:c r="I358" s="13" t="n">
        <x:f>YEAR(B358)</x:f>
        <x:v>2024</x:v>
      </x:c>
      <x:c r="J358" s="13" t="n">
        <x:f>MONTH(B358)</x:f>
        <x:v>6</x:v>
      </x:c>
      <x:c r="K358" s="14" t="n">
        <x:f>ROUND(E358*F358-G358,10)</x:f>
        <x:v>0</x:v>
      </x:c>
      <x:c r="L358" s="2"/>
      <x:c r="M358" s="2"/>
      <x:c r="N358" s="2"/>
      <x:c r="O358" s="2"/>
      <x:c r="P358" s="2"/>
      <x:c r="Q358" s="2"/>
      <x:c r="R358" s="2"/>
    </x:row>
    <x:row r="359" ht="22" customHeight="1">
      <x:c r="A359" s="2" t="n">
        <x:v>100353</x:v>
      </x:c>
      <x:c r="B359" s="10" t="n">
        <x:v>45547</x:v>
      </x:c>
      <x:c r="C359" s="2" t="str">
        <x:v>Colômbia</x:v>
      </x:c>
      <x:c r="D359" s="2" t="str">
        <x:v>Calçados</x:v>
      </x:c>
      <x:c r="E359" s="11" t="n">
        <x:v>26</x:v>
      </x:c>
      <x:c r="F359" s="12" t="n">
        <x:v>149.43</x:v>
      </x:c>
      <x:c r="G359" s="12" t="n">
        <x:v>3885.18</x:v>
      </x:c>
      <x:c r="H359" s="13" t="n">
        <x:v>307</x:v>
      </x:c>
      <x:c r="I359" s="13" t="n">
        <x:f>YEAR(B359)</x:f>
        <x:v>2024</x:v>
      </x:c>
      <x:c r="J359" s="13" t="n">
        <x:f>MONTH(B359)</x:f>
        <x:v>9</x:v>
      </x:c>
      <x:c r="K359" s="14" t="n">
        <x:f>ROUND(E359*F359-G359,10)</x:f>
        <x:v>0</x:v>
      </x:c>
      <x:c r="L359" s="2"/>
      <x:c r="M359" s="2"/>
      <x:c r="N359" s="2"/>
      <x:c r="O359" s="2"/>
      <x:c r="P359" s="2"/>
      <x:c r="Q359" s="2"/>
      <x:c r="R359" s="2"/>
    </x:row>
    <x:row r="360" ht="22" customHeight="1">
      <x:c r="A360" s="2" t="n">
        <x:v>100354</x:v>
      </x:c>
      <x:c r="B360" s="10" t="n">
        <x:v>45028</x:v>
      </x:c>
      <x:c r="C360" s="2" t="str">
        <x:v>Peru</x:v>
      </x:c>
      <x:c r="D360" s="2" t="str">
        <x:v>Moda Masculina</x:v>
      </x:c>
      <x:c r="E360" s="11" t="n">
        <x:v>30</x:v>
      </x:c>
      <x:c r="F360" s="12" t="n">
        <x:v>118.55</x:v>
      </x:c>
      <x:c r="G360" s="12" t="n">
        <x:v>3556.5</x:v>
      </x:c>
      <x:c r="H360" s="13" t="n">
        <x:v>138</x:v>
      </x:c>
      <x:c r="I360" s="13" t="n">
        <x:f>YEAR(B360)</x:f>
        <x:v>2023</x:v>
      </x:c>
      <x:c r="J360" s="13" t="n">
        <x:f>MONTH(B360)</x:f>
        <x:v>4</x:v>
      </x:c>
      <x:c r="K360" s="14" t="n">
        <x:f>ROUND(E360*F360-G360,10)</x:f>
        <x:v>0</x:v>
      </x:c>
      <x:c r="L360" s="2"/>
      <x:c r="M360" s="2"/>
      <x:c r="N360" s="2"/>
      <x:c r="O360" s="2"/>
      <x:c r="P360" s="2"/>
      <x:c r="Q360" s="2"/>
      <x:c r="R360" s="2"/>
    </x:row>
    <x:row r="361" ht="22" customHeight="1">
      <x:c r="A361" s="2" t="n">
        <x:v>100355</x:v>
      </x:c>
      <x:c r="B361" s="10" t="n">
        <x:v>45620</x:v>
      </x:c>
      <x:c r="C361" s="2" t="str">
        <x:v>México</x:v>
      </x:c>
      <x:c r="D361" s="2" t="str">
        <x:v>Acessórios</x:v>
      </x:c>
      <x:c r="E361" s="11" t="n">
        <x:v>17</x:v>
      </x:c>
      <x:c r="F361" s="12" t="n">
        <x:v>189.88</x:v>
      </x:c>
      <x:c r="G361" s="12" t="n">
        <x:v>3227.96</x:v>
      </x:c>
      <x:c r="H361" s="13" t="n">
        <x:v>482</x:v>
      </x:c>
      <x:c r="I361" s="13" t="n">
        <x:f>YEAR(B361)</x:f>
        <x:v>2024</x:v>
      </x:c>
      <x:c r="J361" s="13" t="n">
        <x:f>MONTH(B361)</x:f>
        <x:v>11</x:v>
      </x:c>
      <x:c r="K361" s="14" t="n">
        <x:f>ROUND(E361*F361-G361,10)</x:f>
        <x:v>0</x:v>
      </x:c>
      <x:c r="L361" s="2"/>
      <x:c r="M361" s="2"/>
      <x:c r="N361" s="2"/>
      <x:c r="O361" s="2"/>
      <x:c r="P361" s="2"/>
      <x:c r="Q361" s="2"/>
      <x:c r="R361" s="2"/>
    </x:row>
    <x:row r="362" ht="22" customHeight="1">
      <x:c r="A362" s="2" t="n">
        <x:v>100356</x:v>
      </x:c>
      <x:c r="B362" s="10" t="n">
        <x:v>45120</x:v>
      </x:c>
      <x:c r="C362" s="2" t="str">
        <x:v>Peru</x:v>
      </x:c>
      <x:c r="D362" s="2" t="str">
        <x:v>Moda Masculina</x:v>
      </x:c>
      <x:c r="E362" s="11" t="n">
        <x:v>20</x:v>
      </x:c>
      <x:c r="F362" s="12" t="n">
        <x:v>65.16</x:v>
      </x:c>
      <x:c r="G362" s="12" t="n">
        <x:v>1303.2</x:v>
      </x:c>
      <x:c r="H362" s="13" t="n">
        <x:v>247</x:v>
      </x:c>
      <x:c r="I362" s="13" t="n">
        <x:f>YEAR(B362)</x:f>
        <x:v>2023</x:v>
      </x:c>
      <x:c r="J362" s="13" t="n">
        <x:f>MONTH(B362)</x:f>
        <x:v>7</x:v>
      </x:c>
      <x:c r="K362" s="14" t="n">
        <x:f>ROUND(E362*F362-G362,10)</x:f>
        <x:v>0</x:v>
      </x:c>
      <x:c r="L362" s="2"/>
      <x:c r="M362" s="2"/>
      <x:c r="N362" s="2"/>
      <x:c r="O362" s="2"/>
      <x:c r="P362" s="2"/>
      <x:c r="Q362" s="2"/>
      <x:c r="R362" s="2"/>
    </x:row>
    <x:row r="363" ht="22" customHeight="1">
      <x:c r="A363" s="2" t="n">
        <x:v>100357</x:v>
      </x:c>
      <x:c r="B363" s="10" t="n">
        <x:v>44948</x:v>
      </x:c>
      <x:c r="C363" s="2" t="str">
        <x:v>México</x:v>
      </x:c>
      <x:c r="D363" s="2" t="str">
        <x:v>Acessórios</x:v>
      </x:c>
      <x:c r="E363" s="11" t="n">
        <x:v>16</x:v>
      </x:c>
      <x:c r="F363" s="12" t="n">
        <x:v>38.1</x:v>
      </x:c>
      <x:c r="G363" s="12" t="n">
        <x:v>609.6</x:v>
      </x:c>
      <x:c r="H363" s="13" t="n">
        <x:v>331</x:v>
      </x:c>
      <x:c r="I363" s="13" t="n">
        <x:f>YEAR(B363)</x:f>
        <x:v>2023</x:v>
      </x:c>
      <x:c r="J363" s="13" t="n">
        <x:f>MONTH(B363)</x:f>
        <x:v>1</x:v>
      </x:c>
      <x:c r="K363" s="14" t="n">
        <x:f>ROUND(E363*F363-G363,10)</x:f>
        <x:v>0</x:v>
      </x:c>
      <x:c r="L363" s="2"/>
      <x:c r="M363" s="2"/>
      <x:c r="N363" s="2"/>
      <x:c r="O363" s="2"/>
      <x:c r="P363" s="2"/>
      <x:c r="Q363" s="2"/>
      <x:c r="R363" s="2"/>
    </x:row>
    <x:row r="364" ht="22" customHeight="1">
      <x:c r="A364" s="2" t="n">
        <x:v>100358</x:v>
      </x:c>
      <x:c r="B364" s="10" t="n">
        <x:v>45179</x:v>
      </x:c>
      <x:c r="C364" s="2" t="str">
        <x:v>Peru</x:v>
      </x:c>
      <x:c r="D364" s="2" t="str">
        <x:v>Acessórios</x:v>
      </x:c>
      <x:c r="E364" s="11" t="n">
        <x:v>46</x:v>
      </x:c>
      <x:c r="F364" s="12" t="n">
        <x:v>90.79</x:v>
      </x:c>
      <x:c r="G364" s="12" t="n">
        <x:v>4176.34</x:v>
      </x:c>
      <x:c r="H364" s="13" t="n">
        <x:v>249</x:v>
      </x:c>
      <x:c r="I364" s="13" t="n">
        <x:f>YEAR(B364)</x:f>
        <x:v>2023</x:v>
      </x:c>
      <x:c r="J364" s="13" t="n">
        <x:f>MONTH(B364)</x:f>
        <x:v>9</x:v>
      </x:c>
      <x:c r="K364" s="14" t="n">
        <x:f>ROUND(E364*F364-G364,10)</x:f>
        <x:v>0</x:v>
      </x:c>
      <x:c r="L364" s="2"/>
      <x:c r="M364" s="2"/>
      <x:c r="N364" s="2"/>
      <x:c r="O364" s="2"/>
      <x:c r="P364" s="2"/>
      <x:c r="Q364" s="2"/>
      <x:c r="R364" s="2"/>
    </x:row>
    <x:row r="365" ht="22" customHeight="1">
      <x:c r="A365" s="2" t="n">
        <x:v>100359</x:v>
      </x:c>
      <x:c r="B365" s="10" t="n">
        <x:v>45055</x:v>
      </x:c>
      <x:c r="C365" s="2" t="str">
        <x:v>Chile</x:v>
      </x:c>
      <x:c r="D365" s="2" t="str">
        <x:v>Moda Masculina</x:v>
      </x:c>
      <x:c r="E365" s="11" t="n">
        <x:v>43</x:v>
      </x:c>
      <x:c r="F365" s="12" t="n">
        <x:v>131.01</x:v>
      </x:c>
      <x:c r="G365" s="12" t="n">
        <x:v>5633.429999999999</x:v>
      </x:c>
      <x:c r="H365" s="13" t="n">
        <x:v>148</x:v>
      </x:c>
      <x:c r="I365" s="13" t="n">
        <x:f>YEAR(B365)</x:f>
        <x:v>2023</x:v>
      </x:c>
      <x:c r="J365" s="13" t="n">
        <x:f>MONTH(B365)</x:f>
        <x:v>5</x:v>
      </x:c>
      <x:c r="K365" s="14" t="n">
        <x:f>ROUND(E365*F365-G365,10)</x:f>
        <x:v>0</x:v>
      </x:c>
      <x:c r="L365" s="2"/>
      <x:c r="M365" s="2"/>
      <x:c r="N365" s="2"/>
      <x:c r="O365" s="2"/>
      <x:c r="P365" s="2"/>
      <x:c r="Q365" s="2"/>
      <x:c r="R365" s="2"/>
    </x:row>
    <x:row r="366" ht="22" customHeight="1">
      <x:c r="A366" s="2" t="n">
        <x:v>100360</x:v>
      </x:c>
      <x:c r="B366" s="10" t="n">
        <x:v>45031</x:v>
      </x:c>
      <x:c r="C366" s="2" t="str">
        <x:v>Colômbia</x:v>
      </x:c>
      <x:c r="D366" s="2" t="str">
        <x:v>Moda Infantil</x:v>
      </x:c>
      <x:c r="E366" s="11" t="n">
        <x:v>7</x:v>
      </x:c>
      <x:c r="F366" s="12" t="n">
        <x:v>174.94</x:v>
      </x:c>
      <x:c r="G366" s="12" t="n">
        <x:v>1224.58</x:v>
      </x:c>
      <x:c r="H366" s="13" t="n">
        <x:v>76</x:v>
      </x:c>
      <x:c r="I366" s="13" t="n">
        <x:f>YEAR(B366)</x:f>
        <x:v>2023</x:v>
      </x:c>
      <x:c r="J366" s="13" t="n">
        <x:f>MONTH(B366)</x:f>
        <x:v>4</x:v>
      </x:c>
      <x:c r="K366" s="14" t="n">
        <x:f>ROUND(E366*F366-G366,10)</x:f>
        <x:v>0</x:v>
      </x:c>
      <x:c r="L366" s="2"/>
      <x:c r="M366" s="2"/>
      <x:c r="N366" s="2"/>
      <x:c r="O366" s="2"/>
      <x:c r="P366" s="2"/>
      <x:c r="Q366" s="2"/>
      <x:c r="R366" s="2"/>
    </x:row>
    <x:row r="367" ht="22" customHeight="1">
      <x:c r="A367" s="2" t="n">
        <x:v>100361</x:v>
      </x:c>
      <x:c r="B367" s="10" t="n">
        <x:v>45203</x:v>
      </x:c>
      <x:c r="C367" s="2" t="str">
        <x:v>Brasil</x:v>
      </x:c>
      <x:c r="D367" s="2" t="str">
        <x:v>Moda Feminina</x:v>
      </x:c>
      <x:c r="E367" s="11" t="n">
        <x:v>16</x:v>
      </x:c>
      <x:c r="F367" s="12" t="n">
        <x:v>82.32</x:v>
      </x:c>
      <x:c r="G367" s="12" t="n">
        <x:v>1317.12</x:v>
      </x:c>
      <x:c r="H367" s="13" t="n">
        <x:v>138</x:v>
      </x:c>
      <x:c r="I367" s="13" t="n">
        <x:f>YEAR(B367)</x:f>
        <x:v>2023</x:v>
      </x:c>
      <x:c r="J367" s="13" t="n">
        <x:f>MONTH(B367)</x:f>
        <x:v>10</x:v>
      </x:c>
      <x:c r="K367" s="14" t="n">
        <x:f>ROUND(E367*F367-G367,10)</x:f>
        <x:v>0</x:v>
      </x:c>
      <x:c r="L367" s="2"/>
      <x:c r="M367" s="2"/>
      <x:c r="N367" s="2"/>
      <x:c r="O367" s="2"/>
      <x:c r="P367" s="2"/>
      <x:c r="Q367" s="2"/>
      <x:c r="R367" s="2"/>
    </x:row>
    <x:row r="368" ht="22" customHeight="1">
      <x:c r="A368" s="2" t="n">
        <x:v>100362</x:v>
      </x:c>
      <x:c r="B368" s="10" t="n">
        <x:v>45453</x:v>
      </x:c>
      <x:c r="C368" s="2" t="str">
        <x:v>México</x:v>
      </x:c>
      <x:c r="D368" s="2" t="str">
        <x:v>Calçados</x:v>
      </x:c>
      <x:c r="E368" s="11" t="n">
        <x:v>45</x:v>
      </x:c>
      <x:c r="F368" s="12" t="n">
        <x:v>137.68</x:v>
      </x:c>
      <x:c r="G368" s="12" t="n">
        <x:v>6195.6</x:v>
      </x:c>
      <x:c r="H368" s="13" t="n">
        <x:v>195</x:v>
      </x:c>
      <x:c r="I368" s="13" t="n">
        <x:f>YEAR(B368)</x:f>
        <x:v>2024</x:v>
      </x:c>
      <x:c r="J368" s="13" t="n">
        <x:f>MONTH(B368)</x:f>
        <x:v>6</x:v>
      </x:c>
      <x:c r="K368" s="14" t="n">
        <x:f>ROUND(E368*F368-G368,10)</x:f>
        <x:v>0</x:v>
      </x:c>
      <x:c r="L368" s="2"/>
      <x:c r="M368" s="2"/>
      <x:c r="N368" s="2"/>
      <x:c r="O368" s="2"/>
      <x:c r="P368" s="2"/>
      <x:c r="Q368" s="2"/>
      <x:c r="R368" s="2"/>
    </x:row>
    <x:row r="369" ht="22" customHeight="1">
      <x:c r="A369" s="2" t="n">
        <x:v>100363</x:v>
      </x:c>
      <x:c r="B369" s="10" t="n">
        <x:v>45545</x:v>
      </x:c>
      <x:c r="C369" s="2" t="str">
        <x:v>México</x:v>
      </x:c>
      <x:c r="D369" s="2" t="str">
        <x:v>Acessórios</x:v>
      </x:c>
      <x:c r="E369" s="11" t="n">
        <x:v>47</x:v>
      </x:c>
      <x:c r="F369" s="12" t="n">
        <x:v>83.04</x:v>
      </x:c>
      <x:c r="G369" s="12" t="n">
        <x:v>3902.88</x:v>
      </x:c>
      <x:c r="H369" s="13" t="n">
        <x:v>231</x:v>
      </x:c>
      <x:c r="I369" s="13" t="n">
        <x:f>YEAR(B369)</x:f>
        <x:v>2024</x:v>
      </x:c>
      <x:c r="J369" s="13" t="n">
        <x:f>MONTH(B369)</x:f>
        <x:v>9</x:v>
      </x:c>
      <x:c r="K369" s="14" t="n">
        <x:f>ROUND(E369*F369-G369,10)</x:f>
        <x:v>0</x:v>
      </x:c>
      <x:c r="L369" s="2"/>
      <x:c r="M369" s="2"/>
      <x:c r="N369" s="2"/>
      <x:c r="O369" s="2"/>
      <x:c r="P369" s="2"/>
      <x:c r="Q369" s="2"/>
      <x:c r="R369" s="2"/>
    </x:row>
    <x:row r="370" ht="22" customHeight="1">
      <x:c r="A370" s="2" t="n">
        <x:v>100364</x:v>
      </x:c>
      <x:c r="B370" s="10" t="n">
        <x:v>45133</x:v>
      </x:c>
      <x:c r="C370" s="2" t="str">
        <x:v>Brasil</x:v>
      </x:c>
      <x:c r="D370" s="2" t="str">
        <x:v>Calçados</x:v>
      </x:c>
      <x:c r="E370" s="11" t="n">
        <x:v>48</x:v>
      </x:c>
      <x:c r="F370" s="12" t="n">
        <x:v>131.1</x:v>
      </x:c>
      <x:c r="G370" s="12" t="n">
        <x:v>6292.799999999999</x:v>
      </x:c>
      <x:c r="H370" s="13" t="n">
        <x:v>306</x:v>
      </x:c>
      <x:c r="I370" s="13" t="n">
        <x:f>YEAR(B370)</x:f>
        <x:v>2023</x:v>
      </x:c>
      <x:c r="J370" s="13" t="n">
        <x:f>MONTH(B370)</x:f>
        <x:v>7</x:v>
      </x:c>
      <x:c r="K370" s="14" t="n">
        <x:f>ROUND(E370*F370-G370,10)</x:f>
        <x:v>0</x:v>
      </x:c>
      <x:c r="L370" s="2"/>
      <x:c r="M370" s="2"/>
      <x:c r="N370" s="2"/>
      <x:c r="O370" s="2"/>
      <x:c r="P370" s="2"/>
      <x:c r="Q370" s="2"/>
      <x:c r="R370" s="2"/>
    </x:row>
    <x:row r="371" ht="22" customHeight="1">
      <x:c r="A371" s="2" t="n">
        <x:v>100365</x:v>
      </x:c>
      <x:c r="B371" s="10" t="n">
        <x:v>45379</x:v>
      </x:c>
      <x:c r="C371" s="2" t="str">
        <x:v>Peru</x:v>
      </x:c>
      <x:c r="D371" s="2" t="str">
        <x:v>Moda Masculina</x:v>
      </x:c>
      <x:c r="E371" s="11" t="n">
        <x:v>27</x:v>
      </x:c>
      <x:c r="F371" s="12" t="n">
        <x:v>179.27</x:v>
      </x:c>
      <x:c r="G371" s="12" t="n">
        <x:v>4840.29</x:v>
      </x:c>
      <x:c r="H371" s="13" t="n">
        <x:v>238</x:v>
      </x:c>
      <x:c r="I371" s="13" t="n">
        <x:f>YEAR(B371)</x:f>
        <x:v>2024</x:v>
      </x:c>
      <x:c r="J371" s="13" t="n">
        <x:f>MONTH(B371)</x:f>
        <x:v>3</x:v>
      </x:c>
      <x:c r="K371" s="14" t="n">
        <x:f>ROUND(E371*F371-G371,10)</x:f>
        <x:v>0</x:v>
      </x:c>
      <x:c r="L371" s="2"/>
      <x:c r="M371" s="2"/>
      <x:c r="N371" s="2"/>
      <x:c r="O371" s="2"/>
      <x:c r="P371" s="2"/>
      <x:c r="Q371" s="2"/>
      <x:c r="R371" s="2"/>
    </x:row>
    <x:row r="372" ht="22" customHeight="1">
      <x:c r="A372" s="2" t="n">
        <x:v>100366</x:v>
      </x:c>
      <x:c r="B372" s="10" t="n">
        <x:v>45328</x:v>
      </x:c>
      <x:c r="C372" s="2" t="str">
        <x:v>México</x:v>
      </x:c>
      <x:c r="D372" s="2" t="str">
        <x:v>Calçados</x:v>
      </x:c>
      <x:c r="E372" s="11" t="n">
        <x:v>23</x:v>
      </x:c>
      <x:c r="F372" s="12" t="n">
        <x:v>61.64</x:v>
      </x:c>
      <x:c r="G372" s="12" t="n">
        <x:v>1417.72</x:v>
      </x:c>
      <x:c r="H372" s="13" t="n">
        <x:v>289</x:v>
      </x:c>
      <x:c r="I372" s="13" t="n">
        <x:f>YEAR(B372)</x:f>
        <x:v>2024</x:v>
      </x:c>
      <x:c r="J372" s="13" t="n">
        <x:f>MONTH(B372)</x:f>
        <x:v>2</x:v>
      </x:c>
      <x:c r="K372" s="14" t="n">
        <x:f>ROUND(E372*F372-G372,10)</x:f>
        <x:v>0</x:v>
      </x:c>
      <x:c r="L372" s="2"/>
      <x:c r="M372" s="2"/>
      <x:c r="N372" s="2"/>
      <x:c r="O372" s="2"/>
      <x:c r="P372" s="2"/>
      <x:c r="Q372" s="2"/>
      <x:c r="R372" s="2"/>
    </x:row>
    <x:row r="373" ht="22" customHeight="1">
      <x:c r="A373" s="2" t="n">
        <x:v>100367</x:v>
      </x:c>
      <x:c r="B373" s="10" t="n">
        <x:v>45516</x:v>
      </x:c>
      <x:c r="C373" s="2" t="str">
        <x:v>Chile</x:v>
      </x:c>
      <x:c r="D373" s="2" t="str">
        <x:v>Moda Masculina</x:v>
      </x:c>
      <x:c r="E373" s="11" t="n">
        <x:v>24</x:v>
      </x:c>
      <x:c r="F373" s="12" t="n">
        <x:v>92.76</x:v>
      </x:c>
      <x:c r="G373" s="12" t="n">
        <x:v>2226.24</x:v>
      </x:c>
      <x:c r="H373" s="13" t="n">
        <x:v>408</x:v>
      </x:c>
      <x:c r="I373" s="13" t="n">
        <x:f>YEAR(B373)</x:f>
        <x:v>2024</x:v>
      </x:c>
      <x:c r="J373" s="13" t="n">
        <x:f>MONTH(B373)</x:f>
        <x:v>8</x:v>
      </x:c>
      <x:c r="K373" s="14" t="n">
        <x:f>ROUND(E373*F373-G373,10)</x:f>
        <x:v>0</x:v>
      </x:c>
      <x:c r="L373" s="2"/>
      <x:c r="M373" s="2"/>
      <x:c r="N373" s="2"/>
      <x:c r="O373" s="2"/>
      <x:c r="P373" s="2"/>
      <x:c r="Q373" s="2"/>
      <x:c r="R373" s="2"/>
    </x:row>
    <x:row r="374" ht="22" customHeight="1">
      <x:c r="A374" s="2" t="n">
        <x:v>100368</x:v>
      </x:c>
      <x:c r="B374" s="10" t="n">
        <x:v>44938</x:v>
      </x:c>
      <x:c r="C374" s="2" t="str">
        <x:v>Colômbia</x:v>
      </x:c>
      <x:c r="D374" s="2" t="str">
        <x:v>Calçados</x:v>
      </x:c>
      <x:c r="E374" s="11" t="n">
        <x:v>9</x:v>
      </x:c>
      <x:c r="F374" s="12" t="n">
        <x:v>198.79</x:v>
      </x:c>
      <x:c r="G374" s="12" t="n">
        <x:v>1789.11</x:v>
      </x:c>
      <x:c r="H374" s="13" t="n">
        <x:v>436</x:v>
      </x:c>
      <x:c r="I374" s="13" t="n">
        <x:f>YEAR(B374)</x:f>
        <x:v>2023</x:v>
      </x:c>
      <x:c r="J374" s="13" t="n">
        <x:f>MONTH(B374)</x:f>
        <x:v>1</x:v>
      </x:c>
      <x:c r="K374" s="14" t="n">
        <x:f>ROUND(E374*F374-G374,10)</x:f>
        <x:v>0</x:v>
      </x:c>
      <x:c r="L374" s="2"/>
      <x:c r="M374" s="2"/>
      <x:c r="N374" s="2"/>
      <x:c r="O374" s="2"/>
      <x:c r="P374" s="2"/>
      <x:c r="Q374" s="2"/>
      <x:c r="R374" s="2"/>
    </x:row>
    <x:row r="375" ht="22" customHeight="1">
      <x:c r="A375" s="2" t="n">
        <x:v>100369</x:v>
      </x:c>
      <x:c r="B375" s="10" t="n">
        <x:v>45537</x:v>
      </x:c>
      <x:c r="C375" s="2" t="str">
        <x:v>Brasil</x:v>
      </x:c>
      <x:c r="D375" s="2" t="str">
        <x:v>Moda Feminina</x:v>
      </x:c>
      <x:c r="E375" s="11" t="n">
        <x:v>35</x:v>
      </x:c>
      <x:c r="F375" s="12" t="n">
        <x:v>176.34</x:v>
      </x:c>
      <x:c r="G375" s="12" t="n">
        <x:v>6171.900000000001</x:v>
      </x:c>
      <x:c r="H375" s="13" t="n">
        <x:v>245</x:v>
      </x:c>
      <x:c r="I375" s="13" t="n">
        <x:f>YEAR(B375)</x:f>
        <x:v>2024</x:v>
      </x:c>
      <x:c r="J375" s="13" t="n">
        <x:f>MONTH(B375)</x:f>
        <x:v>9</x:v>
      </x:c>
      <x:c r="K375" s="14" t="n">
        <x:f>ROUND(E375*F375-G375,10)</x:f>
        <x:v>0</x:v>
      </x:c>
      <x:c r="L375" s="2"/>
      <x:c r="M375" s="2"/>
      <x:c r="N375" s="2"/>
      <x:c r="O375" s="2"/>
      <x:c r="P375" s="2"/>
      <x:c r="Q375" s="2"/>
      <x:c r="R375" s="2"/>
    </x:row>
    <x:row r="376" ht="22" customHeight="1">
      <x:c r="A376" s="2" t="n">
        <x:v>100370</x:v>
      </x:c>
      <x:c r="B376" s="10" t="n">
        <x:v>45554</x:v>
      </x:c>
      <x:c r="C376" s="2" t="str">
        <x:v>Colômbia</x:v>
      </x:c>
      <x:c r="D376" s="2" t="str">
        <x:v>Moda Feminina</x:v>
      </x:c>
      <x:c r="E376" s="11" t="n">
        <x:v>20</x:v>
      </x:c>
      <x:c r="F376" s="12" t="n">
        <x:v>121.64</x:v>
      </x:c>
      <x:c r="G376" s="12" t="n">
        <x:v>2432.8</x:v>
      </x:c>
      <x:c r="H376" s="13" t="n">
        <x:v>346</x:v>
      </x:c>
      <x:c r="I376" s="13" t="n">
        <x:f>YEAR(B376)</x:f>
        <x:v>2024</x:v>
      </x:c>
      <x:c r="J376" s="13" t="n">
        <x:f>MONTH(B376)</x:f>
        <x:v>9</x:v>
      </x:c>
      <x:c r="K376" s="14" t="n">
        <x:f>ROUND(E376*F376-G376,10)</x:f>
        <x:v>0</x:v>
      </x:c>
      <x:c r="L376" s="2"/>
      <x:c r="M376" s="2"/>
      <x:c r="N376" s="2"/>
      <x:c r="O376" s="2"/>
      <x:c r="P376" s="2"/>
      <x:c r="Q376" s="2"/>
      <x:c r="R376" s="2"/>
    </x:row>
    <x:row r="377" ht="22" customHeight="1">
      <x:c r="A377" s="2" t="n">
        <x:v>100371</x:v>
      </x:c>
      <x:c r="B377" s="10" t="n">
        <x:v>45563</x:v>
      </x:c>
      <x:c r="C377" s="2" t="str">
        <x:v>México</x:v>
      </x:c>
      <x:c r="D377" s="2" t="str">
        <x:v>Moda Feminina</x:v>
      </x:c>
      <x:c r="E377" s="11" t="n">
        <x:v>37</x:v>
      </x:c>
      <x:c r="F377" s="12" t="n">
        <x:v>112.99</x:v>
      </x:c>
      <x:c r="G377" s="12" t="n">
        <x:v>4180.63</x:v>
      </x:c>
      <x:c r="H377" s="13" t="n">
        <x:v>214</x:v>
      </x:c>
      <x:c r="I377" s="13" t="n">
        <x:f>YEAR(B377)</x:f>
        <x:v>2024</x:v>
      </x:c>
      <x:c r="J377" s="13" t="n">
        <x:f>MONTH(B377)</x:f>
        <x:v>9</x:v>
      </x:c>
      <x:c r="K377" s="14" t="n">
        <x:f>ROUND(E377*F377-G377,10)</x:f>
        <x:v>0</x:v>
      </x:c>
      <x:c r="L377" s="2"/>
      <x:c r="M377" s="2"/>
      <x:c r="N377" s="2"/>
      <x:c r="O377" s="2"/>
      <x:c r="P377" s="2"/>
      <x:c r="Q377" s="2"/>
      <x:c r="R377" s="2"/>
    </x:row>
    <x:row r="378" ht="22" customHeight="1">
      <x:c r="A378" s="2" t="n">
        <x:v>100372</x:v>
      </x:c>
      <x:c r="B378" s="10" t="n">
        <x:v>45582</x:v>
      </x:c>
      <x:c r="C378" s="2" t="str">
        <x:v>México</x:v>
      </x:c>
      <x:c r="D378" s="2" t="str">
        <x:v>Moda Feminina</x:v>
      </x:c>
      <x:c r="E378" s="11" t="n">
        <x:v>42</x:v>
      </x:c>
      <x:c r="F378" s="12" t="n">
        <x:v>71.23</x:v>
      </x:c>
      <x:c r="G378" s="12" t="n">
        <x:v>2991.66</x:v>
      </x:c>
      <x:c r="H378" s="13" t="n">
        <x:v>356</x:v>
      </x:c>
      <x:c r="I378" s="13" t="n">
        <x:f>YEAR(B378)</x:f>
        <x:v>2024</x:v>
      </x:c>
      <x:c r="J378" s="13" t="n">
        <x:f>MONTH(B378)</x:f>
        <x:v>10</x:v>
      </x:c>
      <x:c r="K378" s="14" t="n">
        <x:f>ROUND(E378*F378-G378,10)</x:f>
        <x:v>0</x:v>
      </x:c>
      <x:c r="L378" s="2"/>
      <x:c r="M378" s="2"/>
      <x:c r="N378" s="2"/>
      <x:c r="O378" s="2"/>
      <x:c r="P378" s="2"/>
      <x:c r="Q378" s="2"/>
      <x:c r="R378" s="2"/>
    </x:row>
    <x:row r="379" ht="22" customHeight="1">
      <x:c r="A379" s="2" t="n">
        <x:v>100373</x:v>
      </x:c>
      <x:c r="B379" s="10" t="n">
        <x:v>45532</x:v>
      </x:c>
      <x:c r="C379" s="2" t="str">
        <x:v>Brasil</x:v>
      </x:c>
      <x:c r="D379" s="2" t="str">
        <x:v>Moda Feminina</x:v>
      </x:c>
      <x:c r="E379" s="11" t="n">
        <x:v>17</x:v>
      </x:c>
      <x:c r="F379" s="12" t="n">
        <x:v>113.1</x:v>
      </x:c>
      <x:c r="G379" s="12" t="n">
        <x:v>1922.7</x:v>
      </x:c>
      <x:c r="H379" s="13" t="n">
        <x:v>320</x:v>
      </x:c>
      <x:c r="I379" s="13" t="n">
        <x:f>YEAR(B379)</x:f>
        <x:v>2024</x:v>
      </x:c>
      <x:c r="J379" s="13" t="n">
        <x:f>MONTH(B379)</x:f>
        <x:v>8</x:v>
      </x:c>
      <x:c r="K379" s="14" t="n">
        <x:f>ROUND(E379*F379-G379,10)</x:f>
        <x:v>0</x:v>
      </x:c>
      <x:c r="L379" s="2"/>
      <x:c r="M379" s="2"/>
      <x:c r="N379" s="2"/>
      <x:c r="O379" s="2"/>
      <x:c r="P379" s="2"/>
      <x:c r="Q379" s="2"/>
      <x:c r="R379" s="2"/>
    </x:row>
    <x:row r="380" ht="22" customHeight="1">
      <x:c r="A380" s="2" t="n">
        <x:v>100374</x:v>
      </x:c>
      <x:c r="B380" s="10" t="n">
        <x:v>45624</x:v>
      </x:c>
      <x:c r="C380" s="2" t="str">
        <x:v>Chile</x:v>
      </x:c>
      <x:c r="D380" s="2" t="str">
        <x:v>Moda Feminina</x:v>
      </x:c>
      <x:c r="E380" s="11" t="n">
        <x:v>47</x:v>
      </x:c>
      <x:c r="F380" s="12" t="n">
        <x:v>172.67</x:v>
      </x:c>
      <x:c r="G380" s="12" t="n">
        <x:v>8115.49</x:v>
      </x:c>
      <x:c r="H380" s="13" t="n">
        <x:v>57</x:v>
      </x:c>
      <x:c r="I380" s="13" t="n">
        <x:f>YEAR(B380)</x:f>
        <x:v>2024</x:v>
      </x:c>
      <x:c r="J380" s="13" t="n">
        <x:f>MONTH(B380)</x:f>
        <x:v>11</x:v>
      </x:c>
      <x:c r="K380" s="14" t="n">
        <x:f>ROUND(E380*F380-G380,10)</x:f>
        <x:v>0</x:v>
      </x:c>
      <x:c r="L380" s="2"/>
      <x:c r="M380" s="2"/>
      <x:c r="N380" s="2"/>
      <x:c r="O380" s="2"/>
      <x:c r="P380" s="2"/>
      <x:c r="Q380" s="2"/>
      <x:c r="R380" s="2"/>
    </x:row>
    <x:row r="381" ht="22" customHeight="1">
      <x:c r="A381" s="2" t="n">
        <x:v>100375</x:v>
      </x:c>
      <x:c r="B381" s="10" t="n">
        <x:v>45630</x:v>
      </x:c>
      <x:c r="C381" s="2" t="str">
        <x:v>Argentina</x:v>
      </x:c>
      <x:c r="D381" s="2" t="str">
        <x:v>Moda Masculina</x:v>
      </x:c>
      <x:c r="E381" s="11" t="n">
        <x:v>31</x:v>
      </x:c>
      <x:c r="F381" s="12" t="n">
        <x:v>143.33</x:v>
      </x:c>
      <x:c r="G381" s="12" t="n">
        <x:v>4443.23</x:v>
      </x:c>
      <x:c r="H381" s="13" t="n">
        <x:v>87</x:v>
      </x:c>
      <x:c r="I381" s="13" t="n">
        <x:f>YEAR(B381)</x:f>
        <x:v>2024</x:v>
      </x:c>
      <x:c r="J381" s="13" t="n">
        <x:f>MONTH(B381)</x:f>
        <x:v>12</x:v>
      </x:c>
      <x:c r="K381" s="14" t="n">
        <x:f>ROUND(E381*F381-G381,10)</x:f>
        <x:v>0</x:v>
      </x:c>
      <x:c r="L381" s="2"/>
      <x:c r="M381" s="2"/>
      <x:c r="N381" s="2"/>
      <x:c r="O381" s="2"/>
      <x:c r="P381" s="2"/>
      <x:c r="Q381" s="2"/>
      <x:c r="R381" s="2"/>
    </x:row>
    <x:row r="382" ht="22" customHeight="1">
      <x:c r="A382" s="2" t="n">
        <x:v>100376</x:v>
      </x:c>
      <x:c r="B382" s="10" t="n">
        <x:v>45552</x:v>
      </x:c>
      <x:c r="C382" s="2" t="str">
        <x:v>Brasil</x:v>
      </x:c>
      <x:c r="D382" s="2" t="str">
        <x:v>Acessórios</x:v>
      </x:c>
      <x:c r="E382" s="11" t="n">
        <x:v>8</x:v>
      </x:c>
      <x:c r="F382" s="12" t="n">
        <x:v>72.21</x:v>
      </x:c>
      <x:c r="G382" s="12" t="n">
        <x:v>577.68</x:v>
      </x:c>
      <x:c r="H382" s="13" t="n">
        <x:v>163</x:v>
      </x:c>
      <x:c r="I382" s="13" t="n">
        <x:f>YEAR(B382)</x:f>
        <x:v>2024</x:v>
      </x:c>
      <x:c r="J382" s="13" t="n">
        <x:f>MONTH(B382)</x:f>
        <x:v>9</x:v>
      </x:c>
      <x:c r="K382" s="14" t="n">
        <x:f>ROUND(E382*F382-G382,10)</x:f>
        <x:v>0</x:v>
      </x:c>
      <x:c r="L382" s="2"/>
      <x:c r="M382" s="2"/>
      <x:c r="N382" s="2"/>
      <x:c r="O382" s="2"/>
      <x:c r="P382" s="2"/>
      <x:c r="Q382" s="2"/>
      <x:c r="R382" s="2"/>
    </x:row>
    <x:row r="383" ht="22" customHeight="1">
      <x:c r="A383" s="2" t="n">
        <x:v>100377</x:v>
      </x:c>
      <x:c r="B383" s="10" t="n">
        <x:v>45304</x:v>
      </x:c>
      <x:c r="C383" s="2" t="str">
        <x:v>Argentina</x:v>
      </x:c>
      <x:c r="D383" s="2" t="str">
        <x:v>Calçados</x:v>
      </x:c>
      <x:c r="E383" s="11" t="n">
        <x:v>15</x:v>
      </x:c>
      <x:c r="F383" s="12" t="n">
        <x:v>56.26</x:v>
      </x:c>
      <x:c r="G383" s="12" t="n">
        <x:v>843.9</x:v>
      </x:c>
      <x:c r="H383" s="13" t="n">
        <x:v>388</x:v>
      </x:c>
      <x:c r="I383" s="13" t="n">
        <x:f>YEAR(B383)</x:f>
        <x:v>2024</x:v>
      </x:c>
      <x:c r="J383" s="13" t="n">
        <x:f>MONTH(B383)</x:f>
        <x:v>1</x:v>
      </x:c>
      <x:c r="K383" s="14" t="n">
        <x:f>ROUND(E383*F383-G383,10)</x:f>
        <x:v>0</x:v>
      </x:c>
      <x:c r="L383" s="2"/>
      <x:c r="M383" s="2"/>
      <x:c r="N383" s="2"/>
      <x:c r="O383" s="2"/>
      <x:c r="P383" s="2"/>
      <x:c r="Q383" s="2"/>
      <x:c r="R383" s="2"/>
    </x:row>
    <x:row r="384" ht="22" customHeight="1">
      <x:c r="A384" s="2" t="n">
        <x:v>100378</x:v>
      </x:c>
      <x:c r="B384" s="10" t="n">
        <x:v>45537</x:v>
      </x:c>
      <x:c r="C384" s="2" t="str">
        <x:v>Peru</x:v>
      </x:c>
      <x:c r="D384" s="2" t="str">
        <x:v>Moda Feminina</x:v>
      </x:c>
      <x:c r="E384" s="11" t="n">
        <x:v>31</x:v>
      </x:c>
      <x:c r="F384" s="12" t="n">
        <x:v>67.74</x:v>
      </x:c>
      <x:c r="G384" s="12" t="n">
        <x:v>2099.94</x:v>
      </x:c>
      <x:c r="H384" s="13" t="n">
        <x:v>105</x:v>
      </x:c>
      <x:c r="I384" s="13" t="n">
        <x:f>YEAR(B384)</x:f>
        <x:v>2024</x:v>
      </x:c>
      <x:c r="J384" s="13" t="n">
        <x:f>MONTH(B384)</x:f>
        <x:v>9</x:v>
      </x:c>
      <x:c r="K384" s="14" t="n">
        <x:f>ROUND(E384*F384-G384,10)</x:f>
        <x:v>0</x:v>
      </x:c>
      <x:c r="L384" s="2"/>
      <x:c r="M384" s="2"/>
      <x:c r="N384" s="2"/>
      <x:c r="O384" s="2"/>
      <x:c r="P384" s="2"/>
      <x:c r="Q384" s="2"/>
      <x:c r="R384" s="2"/>
    </x:row>
    <x:row r="385" ht="22" customHeight="1">
      <x:c r="A385" s="2" t="n">
        <x:v>100379</x:v>
      </x:c>
      <x:c r="B385" s="10" t="n">
        <x:v>45367</x:v>
      </x:c>
      <x:c r="C385" s="2" t="str">
        <x:v>Argentina</x:v>
      </x:c>
      <x:c r="D385" s="2" t="str">
        <x:v>Moda Masculina</x:v>
      </x:c>
      <x:c r="E385" s="11" t="n">
        <x:v>30</x:v>
      </x:c>
      <x:c r="F385" s="12" t="n">
        <x:v>50.56</x:v>
      </x:c>
      <x:c r="G385" s="12" t="n">
        <x:v>1516.8</x:v>
      </x:c>
      <x:c r="H385" s="13" t="n">
        <x:v>480</x:v>
      </x:c>
      <x:c r="I385" s="13" t="n">
        <x:f>YEAR(B385)</x:f>
        <x:v>2024</x:v>
      </x:c>
      <x:c r="J385" s="13" t="n">
        <x:f>MONTH(B385)</x:f>
        <x:v>3</x:v>
      </x:c>
      <x:c r="K385" s="14" t="n">
        <x:f>ROUND(E385*F385-G385,10)</x:f>
        <x:v>0</x:v>
      </x:c>
      <x:c r="L385" s="2"/>
      <x:c r="M385" s="2"/>
      <x:c r="N385" s="2"/>
      <x:c r="O385" s="2"/>
      <x:c r="P385" s="2"/>
      <x:c r="Q385" s="2"/>
      <x:c r="R385" s="2"/>
    </x:row>
    <x:row r="386" ht="22" customHeight="1">
      <x:c r="A386" s="2" t="n">
        <x:v>100380</x:v>
      </x:c>
      <x:c r="B386" s="10" t="n">
        <x:v>45408</x:v>
      </x:c>
      <x:c r="C386" s="2" t="str">
        <x:v>Chile</x:v>
      </x:c>
      <x:c r="D386" s="2" t="str">
        <x:v>Moda Masculina</x:v>
      </x:c>
      <x:c r="E386" s="11" t="n">
        <x:v>46</x:v>
      </x:c>
      <x:c r="F386" s="12" t="n">
        <x:v>37.22</x:v>
      </x:c>
      <x:c r="G386" s="12" t="n">
        <x:v>1712.12</x:v>
      </x:c>
      <x:c r="H386" s="13" t="n">
        <x:v>408</x:v>
      </x:c>
      <x:c r="I386" s="13" t="n">
        <x:f>YEAR(B386)</x:f>
        <x:v>2024</x:v>
      </x:c>
      <x:c r="J386" s="13" t="n">
        <x:f>MONTH(B386)</x:f>
        <x:v>4</x:v>
      </x:c>
      <x:c r="K386" s="14" t="n">
        <x:f>ROUND(E386*F386-G386,10)</x:f>
        <x:v>0</x:v>
      </x:c>
      <x:c r="L386" s="2"/>
      <x:c r="M386" s="2"/>
      <x:c r="N386" s="2"/>
      <x:c r="O386" s="2"/>
      <x:c r="P386" s="2"/>
      <x:c r="Q386" s="2"/>
      <x:c r="R386" s="2"/>
    </x:row>
    <x:row r="387" ht="22" customHeight="1">
      <x:c r="A387" s="2" t="n">
        <x:v>100381</x:v>
      </x:c>
      <x:c r="B387" s="10" t="n">
        <x:v>45031</x:v>
      </x:c>
      <x:c r="C387" s="2" t="str">
        <x:v>Peru</x:v>
      </x:c>
      <x:c r="D387" s="2" t="str">
        <x:v>Moda Masculina</x:v>
      </x:c>
      <x:c r="E387" s="11" t="n">
        <x:v>20</x:v>
      </x:c>
      <x:c r="F387" s="12" t="n">
        <x:v>95.44</x:v>
      </x:c>
      <x:c r="G387" s="12" t="n">
        <x:v>1908.8</x:v>
      </x:c>
      <x:c r="H387" s="13" t="n">
        <x:v>187</x:v>
      </x:c>
      <x:c r="I387" s="13" t="n">
        <x:f>YEAR(B387)</x:f>
        <x:v>2023</x:v>
      </x:c>
      <x:c r="J387" s="13" t="n">
        <x:f>MONTH(B387)</x:f>
        <x:v>4</x:v>
      </x:c>
      <x:c r="K387" s="14" t="n">
        <x:f>ROUND(E387*F387-G387,10)</x:f>
        <x:v>0</x:v>
      </x:c>
      <x:c r="L387" s="2"/>
      <x:c r="M387" s="2"/>
      <x:c r="N387" s="2"/>
      <x:c r="O387" s="2"/>
      <x:c r="P387" s="2"/>
      <x:c r="Q387" s="2"/>
      <x:c r="R387" s="2"/>
    </x:row>
    <x:row r="388" ht="22" customHeight="1">
      <x:c r="A388" s="2" t="n">
        <x:v>100382</x:v>
      </x:c>
      <x:c r="B388" s="10" t="n">
        <x:v>45612</x:v>
      </x:c>
      <x:c r="C388" s="2" t="str">
        <x:v>Argentina</x:v>
      </x:c>
      <x:c r="D388" s="2" t="str">
        <x:v>Acessórios</x:v>
      </x:c>
      <x:c r="E388" s="11" t="n">
        <x:v>39</x:v>
      </x:c>
      <x:c r="F388" s="12" t="n">
        <x:v>40.39</x:v>
      </x:c>
      <x:c r="G388" s="12" t="n">
        <x:v>1575.21</x:v>
      </x:c>
      <x:c r="H388" s="13" t="n">
        <x:v>151</x:v>
      </x:c>
      <x:c r="I388" s="13" t="n">
        <x:f>YEAR(B388)</x:f>
        <x:v>2024</x:v>
      </x:c>
      <x:c r="J388" s="13" t="n">
        <x:f>MONTH(B388)</x:f>
        <x:v>11</x:v>
      </x:c>
      <x:c r="K388" s="14" t="n">
        <x:f>ROUND(E388*F388-G388,10)</x:f>
        <x:v>0</x:v>
      </x:c>
      <x:c r="L388" s="2"/>
      <x:c r="M388" s="2"/>
      <x:c r="N388" s="2"/>
      <x:c r="O388" s="2"/>
      <x:c r="P388" s="2"/>
      <x:c r="Q388" s="2"/>
      <x:c r="R388" s="2"/>
    </x:row>
    <x:row r="389" ht="22" customHeight="1">
      <x:c r="A389" s="2" t="n">
        <x:v>100383</x:v>
      </x:c>
      <x:c r="B389" s="10" t="n">
        <x:v>45640</x:v>
      </x:c>
      <x:c r="C389" s="2" t="str">
        <x:v>Peru</x:v>
      </x:c>
      <x:c r="D389" s="2" t="str">
        <x:v>Calçados</x:v>
      </x:c>
      <x:c r="E389" s="11" t="n">
        <x:v>12</x:v>
      </x:c>
      <x:c r="F389" s="12" t="n">
        <x:v>50.94</x:v>
      </x:c>
      <x:c r="G389" s="12" t="n">
        <x:v>611.28</x:v>
      </x:c>
      <x:c r="H389" s="13" t="n">
        <x:v>383</x:v>
      </x:c>
      <x:c r="I389" s="13" t="n">
        <x:f>YEAR(B389)</x:f>
        <x:v>2024</x:v>
      </x:c>
      <x:c r="J389" s="13" t="n">
        <x:f>MONTH(B389)</x:f>
        <x:v>12</x:v>
      </x:c>
      <x:c r="K389" s="14" t="n">
        <x:f>ROUND(E389*F389-G389,10)</x:f>
        <x:v>0</x:v>
      </x:c>
      <x:c r="L389" s="2"/>
      <x:c r="M389" s="2"/>
      <x:c r="N389" s="2"/>
      <x:c r="O389" s="2"/>
      <x:c r="P389" s="2"/>
      <x:c r="Q389" s="2"/>
      <x:c r="R389" s="2"/>
    </x:row>
    <x:row r="390" ht="22" customHeight="1">
      <x:c r="A390" s="2" t="n">
        <x:v>100384</x:v>
      </x:c>
      <x:c r="B390" s="10" t="n">
        <x:v>45543</x:v>
      </x:c>
      <x:c r="C390" s="2" t="str">
        <x:v>Argentina</x:v>
      </x:c>
      <x:c r="D390" s="2" t="str">
        <x:v>Acessórios</x:v>
      </x:c>
      <x:c r="E390" s="11" t="n">
        <x:v>49</x:v>
      </x:c>
      <x:c r="F390" s="12" t="n">
        <x:v>118.52</x:v>
      </x:c>
      <x:c r="G390" s="12" t="n">
        <x:v>5807.48</x:v>
      </x:c>
      <x:c r="H390" s="13" t="n">
        <x:v>226</x:v>
      </x:c>
      <x:c r="I390" s="13" t="n">
        <x:f>YEAR(B390)</x:f>
        <x:v>2024</x:v>
      </x:c>
      <x:c r="J390" s="13" t="n">
        <x:f>MONTH(B390)</x:f>
        <x:v>9</x:v>
      </x:c>
      <x:c r="K390" s="14" t="n">
        <x:f>ROUND(E390*F390-G390,10)</x:f>
        <x:v>0</x:v>
      </x:c>
      <x:c r="L390" s="2"/>
      <x:c r="M390" s="2"/>
      <x:c r="N390" s="2"/>
      <x:c r="O390" s="2"/>
      <x:c r="P390" s="2"/>
      <x:c r="Q390" s="2"/>
      <x:c r="R390" s="2"/>
    </x:row>
    <x:row r="391" ht="22" customHeight="1">
      <x:c r="A391" s="2" t="n">
        <x:v>100385</x:v>
      </x:c>
      <x:c r="B391" s="10" t="n">
        <x:v>45639</x:v>
      </x:c>
      <x:c r="C391" s="2" t="str">
        <x:v>Chile</x:v>
      </x:c>
      <x:c r="D391" s="2" t="str">
        <x:v>Moda Infantil</x:v>
      </x:c>
      <x:c r="E391" s="11" t="n">
        <x:v>17</x:v>
      </x:c>
      <x:c r="F391" s="12" t="n">
        <x:v>49.63</x:v>
      </x:c>
      <x:c r="G391" s="12" t="n">
        <x:v>843.71</x:v>
      </x:c>
      <x:c r="H391" s="13" t="n">
        <x:v>218</x:v>
      </x:c>
      <x:c r="I391" s="13" t="n">
        <x:f>YEAR(B391)</x:f>
        <x:v>2024</x:v>
      </x:c>
      <x:c r="J391" s="13" t="n">
        <x:f>MONTH(B391)</x:f>
        <x:v>12</x:v>
      </x:c>
      <x:c r="K391" s="14" t="n">
        <x:f>ROUND(E391*F391-G391,10)</x:f>
        <x:v>0</x:v>
      </x:c>
      <x:c r="L391" s="2"/>
      <x:c r="M391" s="2"/>
      <x:c r="N391" s="2"/>
      <x:c r="O391" s="2"/>
      <x:c r="P391" s="2"/>
      <x:c r="Q391" s="2"/>
      <x:c r="R391" s="2"/>
    </x:row>
    <x:row r="392" ht="22" customHeight="1">
      <x:c r="A392" s="2" t="n">
        <x:v>100386</x:v>
      </x:c>
      <x:c r="B392" s="10" t="n">
        <x:v>45653</x:v>
      </x:c>
      <x:c r="C392" s="2" t="str">
        <x:v>Argentina</x:v>
      </x:c>
      <x:c r="D392" s="2" t="str">
        <x:v>Moda Masculina</x:v>
      </x:c>
      <x:c r="E392" s="11" t="n">
        <x:v>42</x:v>
      </x:c>
      <x:c r="F392" s="12" t="n">
        <x:v>31.5</x:v>
      </x:c>
      <x:c r="G392" s="12" t="n">
        <x:v>1323</x:v>
      </x:c>
      <x:c r="H392" s="13" t="n">
        <x:v>388</x:v>
      </x:c>
      <x:c r="I392" s="13" t="n">
        <x:f>YEAR(B392)</x:f>
        <x:v>2024</x:v>
      </x:c>
      <x:c r="J392" s="13" t="n">
        <x:f>MONTH(B392)</x:f>
        <x:v>12</x:v>
      </x:c>
      <x:c r="K392" s="14" t="n">
        <x:f>ROUND(E392*F392-G392,10)</x:f>
        <x:v>0</x:v>
      </x:c>
      <x:c r="L392" s="2"/>
      <x:c r="M392" s="2"/>
      <x:c r="N392" s="2"/>
      <x:c r="O392" s="2"/>
      <x:c r="P392" s="2"/>
      <x:c r="Q392" s="2"/>
      <x:c r="R392" s="2"/>
    </x:row>
    <x:row r="393" ht="22" customHeight="1">
      <x:c r="A393" s="2" t="n">
        <x:v>100387</x:v>
      </x:c>
      <x:c r="B393" s="10" t="n">
        <x:v>45208</x:v>
      </x:c>
      <x:c r="C393" s="2" t="str">
        <x:v>Argentina</x:v>
      </x:c>
      <x:c r="D393" s="2" t="str">
        <x:v>Moda Infantil</x:v>
      </x:c>
      <x:c r="E393" s="11" t="n">
        <x:v>30</x:v>
      </x:c>
      <x:c r="F393" s="12" t="n">
        <x:v>77.13</x:v>
      </x:c>
      <x:c r="G393" s="12" t="n">
        <x:v>2313.9</x:v>
      </x:c>
      <x:c r="H393" s="13" t="n">
        <x:v>335</x:v>
      </x:c>
      <x:c r="I393" s="13" t="n">
        <x:f>YEAR(B393)</x:f>
        <x:v>2023</x:v>
      </x:c>
      <x:c r="J393" s="13" t="n">
        <x:f>MONTH(B393)</x:f>
        <x:v>10</x:v>
      </x:c>
      <x:c r="K393" s="14" t="n">
        <x:f>ROUND(E393*F393-G393,10)</x:f>
        <x:v>0</x:v>
      </x:c>
      <x:c r="L393" s="2"/>
      <x:c r="M393" s="2"/>
      <x:c r="N393" s="2"/>
      <x:c r="O393" s="2"/>
      <x:c r="P393" s="2"/>
      <x:c r="Q393" s="2"/>
      <x:c r="R393" s="2"/>
    </x:row>
    <x:row r="394" ht="22" customHeight="1">
      <x:c r="A394" s="2" t="n">
        <x:v>100388</x:v>
      </x:c>
      <x:c r="B394" s="10" t="n">
        <x:v>45508</x:v>
      </x:c>
      <x:c r="C394" s="2" t="str">
        <x:v>Argentina</x:v>
      </x:c>
      <x:c r="D394" s="2" t="str">
        <x:v>Moda Feminina</x:v>
      </x:c>
      <x:c r="E394" s="11" t="n">
        <x:v>29</x:v>
      </x:c>
      <x:c r="F394" s="12" t="n">
        <x:v>59.66</x:v>
      </x:c>
      <x:c r="G394" s="12" t="n">
        <x:v>1730.14</x:v>
      </x:c>
      <x:c r="H394" s="13" t="n">
        <x:v>310</x:v>
      </x:c>
      <x:c r="I394" s="13" t="n">
        <x:f>YEAR(B394)</x:f>
        <x:v>2024</x:v>
      </x:c>
      <x:c r="J394" s="13" t="n">
        <x:f>MONTH(B394)</x:f>
        <x:v>8</x:v>
      </x:c>
      <x:c r="K394" s="14" t="n">
        <x:f>ROUND(E394*F394-G394,10)</x:f>
        <x:v>0</x:v>
      </x:c>
      <x:c r="L394" s="2"/>
      <x:c r="M394" s="2"/>
      <x:c r="N394" s="2"/>
      <x:c r="O394" s="2"/>
      <x:c r="P394" s="2"/>
      <x:c r="Q394" s="2"/>
      <x:c r="R394" s="2"/>
    </x:row>
    <x:row r="395" ht="22" customHeight="1">
      <x:c r="A395" s="2" t="n">
        <x:v>100389</x:v>
      </x:c>
      <x:c r="B395" s="10" t="n">
        <x:v>45623</x:v>
      </x:c>
      <x:c r="C395" s="2" t="str">
        <x:v>Brasil</x:v>
      </x:c>
      <x:c r="D395" s="2" t="str">
        <x:v>Moda Feminina</x:v>
      </x:c>
      <x:c r="E395" s="11" t="n">
        <x:v>19</x:v>
      </x:c>
      <x:c r="F395" s="12" t="n">
        <x:v>112.75</x:v>
      </x:c>
      <x:c r="G395" s="12" t="n">
        <x:v>2142.25</x:v>
      </x:c>
      <x:c r="H395" s="13" t="n">
        <x:v>424</x:v>
      </x:c>
      <x:c r="I395" s="13" t="n">
        <x:f>YEAR(B395)</x:f>
        <x:v>2024</x:v>
      </x:c>
      <x:c r="J395" s="13" t="n">
        <x:f>MONTH(B395)</x:f>
        <x:v>11</x:v>
      </x:c>
      <x:c r="K395" s="14" t="n">
        <x:f>ROUND(E395*F395-G395,10)</x:f>
        <x:v>0</x:v>
      </x:c>
      <x:c r="L395" s="2"/>
      <x:c r="M395" s="2"/>
      <x:c r="N395" s="2"/>
      <x:c r="O395" s="2"/>
      <x:c r="P395" s="2"/>
      <x:c r="Q395" s="2"/>
      <x:c r="R395" s="2"/>
    </x:row>
    <x:row r="396" ht="22" customHeight="1">
      <x:c r="A396" s="2" t="n">
        <x:v>100390</x:v>
      </x:c>
      <x:c r="B396" s="10" t="n">
        <x:v>45516</x:v>
      </x:c>
      <x:c r="C396" s="2" t="str">
        <x:v>Brasil</x:v>
      </x:c>
      <x:c r="D396" s="2" t="str">
        <x:v>Acessórios</x:v>
      </x:c>
      <x:c r="E396" s="11" t="n">
        <x:v>46</x:v>
      </x:c>
      <x:c r="F396" s="12" t="n">
        <x:v>38.43</x:v>
      </x:c>
      <x:c r="G396" s="12" t="n">
        <x:v>1767.78</x:v>
      </x:c>
      <x:c r="H396" s="13" t="n">
        <x:v>272</x:v>
      </x:c>
      <x:c r="I396" s="13" t="n">
        <x:f>YEAR(B396)</x:f>
        <x:v>2024</x:v>
      </x:c>
      <x:c r="J396" s="13" t="n">
        <x:f>MONTH(B396)</x:f>
        <x:v>8</x:v>
      </x:c>
      <x:c r="K396" s="14" t="n">
        <x:f>ROUND(E396*F396-G396,10)</x:f>
        <x:v>0</x:v>
      </x:c>
      <x:c r="L396" s="2"/>
      <x:c r="M396" s="2"/>
      <x:c r="N396" s="2"/>
      <x:c r="O396" s="2"/>
      <x:c r="P396" s="2"/>
      <x:c r="Q396" s="2"/>
      <x:c r="R396" s="2"/>
    </x:row>
    <x:row r="397" ht="22" customHeight="1">
      <x:c r="A397" s="2" t="n">
        <x:v>100391</x:v>
      </x:c>
      <x:c r="B397" s="10" t="n">
        <x:v>45201</x:v>
      </x:c>
      <x:c r="C397" s="2" t="str">
        <x:v>Brasil</x:v>
      </x:c>
      <x:c r="D397" s="2" t="str">
        <x:v>Calçados</x:v>
      </x:c>
      <x:c r="E397" s="11" t="n">
        <x:v>11</x:v>
      </x:c>
      <x:c r="F397" s="12" t="n">
        <x:v>155.32</x:v>
      </x:c>
      <x:c r="G397" s="12" t="n">
        <x:v>1708.52</x:v>
      </x:c>
      <x:c r="H397" s="13" t="n">
        <x:v>248</x:v>
      </x:c>
      <x:c r="I397" s="13" t="n">
        <x:f>YEAR(B397)</x:f>
        <x:v>2023</x:v>
      </x:c>
      <x:c r="J397" s="13" t="n">
        <x:f>MONTH(B397)</x:f>
        <x:v>10</x:v>
      </x:c>
      <x:c r="K397" s="14" t="n">
        <x:f>ROUND(E397*F397-G397,10)</x:f>
        <x:v>0</x:v>
      </x:c>
      <x:c r="L397" s="2"/>
      <x:c r="M397" s="2"/>
      <x:c r="N397" s="2"/>
      <x:c r="O397" s="2"/>
      <x:c r="P397" s="2"/>
      <x:c r="Q397" s="2"/>
      <x:c r="R397" s="2"/>
    </x:row>
    <x:row r="398" ht="22" customHeight="1">
      <x:c r="A398" s="2" t="n">
        <x:v>100392</x:v>
      </x:c>
      <x:c r="B398" s="10" t="n">
        <x:v>45307</x:v>
      </x:c>
      <x:c r="C398" s="2" t="str">
        <x:v>Chile</x:v>
      </x:c>
      <x:c r="D398" s="2" t="str">
        <x:v>Moda Infantil</x:v>
      </x:c>
      <x:c r="E398" s="11" t="n">
        <x:v>34</x:v>
      </x:c>
      <x:c r="F398" s="12" t="n">
        <x:v>183.12</x:v>
      </x:c>
      <x:c r="G398" s="12" t="n">
        <x:v>6226.08</x:v>
      </x:c>
      <x:c r="H398" s="13" t="n">
        <x:v>260</x:v>
      </x:c>
      <x:c r="I398" s="13" t="n">
        <x:f>YEAR(B398)</x:f>
        <x:v>2024</x:v>
      </x:c>
      <x:c r="J398" s="13" t="n">
        <x:f>MONTH(B398)</x:f>
        <x:v>1</x:v>
      </x:c>
      <x:c r="K398" s="14" t="n">
        <x:f>ROUND(E398*F398-G398,10)</x:f>
        <x:v>0</x:v>
      </x:c>
      <x:c r="L398" s="2"/>
      <x:c r="M398" s="2"/>
      <x:c r="N398" s="2"/>
      <x:c r="O398" s="2"/>
      <x:c r="P398" s="2"/>
      <x:c r="Q398" s="2"/>
      <x:c r="R398" s="2"/>
    </x:row>
    <x:row r="399" ht="22" customHeight="1">
      <x:c r="A399" s="2" t="n">
        <x:v>100393</x:v>
      </x:c>
      <x:c r="B399" s="10" t="n">
        <x:v>44928</x:v>
      </x:c>
      <x:c r="C399" s="2" t="str">
        <x:v>Peru</x:v>
      </x:c>
      <x:c r="D399" s="2" t="str">
        <x:v>Calçados</x:v>
      </x:c>
      <x:c r="E399" s="11" t="n">
        <x:v>7</x:v>
      </x:c>
      <x:c r="F399" s="12" t="n">
        <x:v>153.82</x:v>
      </x:c>
      <x:c r="G399" s="12" t="n">
        <x:v>1076.74</x:v>
      </x:c>
      <x:c r="H399" s="13" t="n">
        <x:v>336</x:v>
      </x:c>
      <x:c r="I399" s="13" t="n">
        <x:f>YEAR(B399)</x:f>
        <x:v>2023</x:v>
      </x:c>
      <x:c r="J399" s="13" t="n">
        <x:f>MONTH(B399)</x:f>
        <x:v>1</x:v>
      </x:c>
      <x:c r="K399" s="14" t="n">
        <x:f>ROUND(E399*F399-G399,10)</x:f>
        <x:v>0</x:v>
      </x:c>
      <x:c r="L399" s="2"/>
      <x:c r="M399" s="2"/>
      <x:c r="N399" s="2"/>
      <x:c r="O399" s="2"/>
      <x:c r="P399" s="2"/>
      <x:c r="Q399" s="2"/>
      <x:c r="R399" s="2"/>
    </x:row>
    <x:row r="400" ht="22" customHeight="1">
      <x:c r="A400" s="2" t="n">
        <x:v>100394</x:v>
      </x:c>
      <x:c r="B400" s="10" t="n">
        <x:v>45072</x:v>
      </x:c>
      <x:c r="C400" s="2" t="str">
        <x:v>México</x:v>
      </x:c>
      <x:c r="D400" s="2" t="str">
        <x:v>Acessórios</x:v>
      </x:c>
      <x:c r="E400" s="11" t="n">
        <x:v>44</x:v>
      </x:c>
      <x:c r="F400" s="12" t="n">
        <x:v>115.91</x:v>
      </x:c>
      <x:c r="G400" s="12" t="n">
        <x:v>5100.04</x:v>
      </x:c>
      <x:c r="H400" s="13" t="n">
        <x:v>229</x:v>
      </x:c>
      <x:c r="I400" s="13" t="n">
        <x:f>YEAR(B400)</x:f>
        <x:v>2023</x:v>
      </x:c>
      <x:c r="J400" s="13" t="n">
        <x:f>MONTH(B400)</x:f>
        <x:v>5</x:v>
      </x:c>
      <x:c r="K400" s="14" t="n">
        <x:f>ROUND(E400*F400-G400,10)</x:f>
        <x:v>0</x:v>
      </x:c>
      <x:c r="L400" s="2"/>
      <x:c r="M400" s="2"/>
      <x:c r="N400" s="2"/>
      <x:c r="O400" s="2"/>
      <x:c r="P400" s="2"/>
      <x:c r="Q400" s="2"/>
      <x:c r="R400" s="2"/>
    </x:row>
    <x:row r="401" ht="22" customHeight="1">
      <x:c r="A401" s="2" t="n">
        <x:v>100395</x:v>
      </x:c>
      <x:c r="B401" s="10" t="n">
        <x:v>45159</x:v>
      </x:c>
      <x:c r="C401" s="2" t="str">
        <x:v>Argentina</x:v>
      </x:c>
      <x:c r="D401" s="2" t="str">
        <x:v>Moda Feminina</x:v>
      </x:c>
      <x:c r="E401" s="11" t="n">
        <x:v>34</x:v>
      </x:c>
      <x:c r="F401" s="12" t="n">
        <x:v>174.92</x:v>
      </x:c>
      <x:c r="G401" s="12" t="n">
        <x:v>5947.28</x:v>
      </x:c>
      <x:c r="H401" s="13" t="n">
        <x:v>299</x:v>
      </x:c>
      <x:c r="I401" s="13" t="n">
        <x:f>YEAR(B401)</x:f>
        <x:v>2023</x:v>
      </x:c>
      <x:c r="J401" s="13" t="n">
        <x:f>MONTH(B401)</x:f>
        <x:v>8</x:v>
      </x:c>
      <x:c r="K401" s="14" t="n">
        <x:f>ROUND(E401*F401-G401,10)</x:f>
        <x:v>0</x:v>
      </x:c>
      <x:c r="L401" s="2"/>
      <x:c r="M401" s="2"/>
      <x:c r="N401" s="2"/>
      <x:c r="O401" s="2"/>
      <x:c r="P401" s="2"/>
      <x:c r="Q401" s="2"/>
      <x:c r="R401" s="2"/>
    </x:row>
    <x:row r="402" ht="22" customHeight="1">
      <x:c r="A402" s="2" t="n">
        <x:v>100396</x:v>
      </x:c>
      <x:c r="B402" s="10" t="n">
        <x:v>45132</x:v>
      </x:c>
      <x:c r="C402" s="2" t="str">
        <x:v>Argentina</x:v>
      </x:c>
      <x:c r="D402" s="2" t="str">
        <x:v>Calçados</x:v>
      </x:c>
      <x:c r="E402" s="11" t="n">
        <x:v>20</x:v>
      </x:c>
      <x:c r="F402" s="12" t="n">
        <x:v>145.09</x:v>
      </x:c>
      <x:c r="G402" s="12" t="n">
        <x:v>2901.8</x:v>
      </x:c>
      <x:c r="H402" s="13" t="n">
        <x:v>280</x:v>
      </x:c>
      <x:c r="I402" s="13" t="n">
        <x:f>YEAR(B402)</x:f>
        <x:v>2023</x:v>
      </x:c>
      <x:c r="J402" s="13" t="n">
        <x:f>MONTH(B402)</x:f>
        <x:v>7</x:v>
      </x:c>
      <x:c r="K402" s="14" t="n">
        <x:f>ROUND(E402*F402-G402,10)</x:f>
        <x:v>0</x:v>
      </x:c>
      <x:c r="L402" s="2"/>
      <x:c r="M402" s="2"/>
      <x:c r="N402" s="2"/>
      <x:c r="O402" s="2"/>
      <x:c r="P402" s="2"/>
      <x:c r="Q402" s="2"/>
      <x:c r="R402" s="2"/>
    </x:row>
    <x:row r="403" ht="22" customHeight="1">
      <x:c r="A403" s="2" t="n">
        <x:v>100397</x:v>
      </x:c>
      <x:c r="B403" s="10" t="n">
        <x:v>45461</x:v>
      </x:c>
      <x:c r="C403" s="2" t="str">
        <x:v>Chile</x:v>
      </x:c>
      <x:c r="D403" s="2" t="str">
        <x:v>Calçados</x:v>
      </x:c>
      <x:c r="E403" s="11" t="n">
        <x:v>38</x:v>
      </x:c>
      <x:c r="F403" s="12" t="n">
        <x:v>21.9</x:v>
      </x:c>
      <x:c r="G403" s="12" t="n">
        <x:v>832.1999999999999</x:v>
      </x:c>
      <x:c r="H403" s="13" t="n">
        <x:v>72</x:v>
      </x:c>
      <x:c r="I403" s="13" t="n">
        <x:f>YEAR(B403)</x:f>
        <x:v>2024</x:v>
      </x:c>
      <x:c r="J403" s="13" t="n">
        <x:f>MONTH(B403)</x:f>
        <x:v>6</x:v>
      </x:c>
      <x:c r="K403" s="14" t="n">
        <x:f>ROUND(E403*F403-G403,10)</x:f>
        <x:v>0</x:v>
      </x:c>
      <x:c r="L403" s="2"/>
      <x:c r="M403" s="2"/>
      <x:c r="N403" s="2"/>
      <x:c r="O403" s="2"/>
      <x:c r="P403" s="2"/>
      <x:c r="Q403" s="2"/>
      <x:c r="R403" s="2"/>
    </x:row>
    <x:row r="404" ht="22" customHeight="1">
      <x:c r="A404" s="2" t="n">
        <x:v>100398</x:v>
      </x:c>
      <x:c r="B404" s="10" t="n">
        <x:v>45642</x:v>
      </x:c>
      <x:c r="C404" s="2" t="str">
        <x:v>Argentina</x:v>
      </x:c>
      <x:c r="D404" s="2" t="str">
        <x:v>Moda Feminina</x:v>
      </x:c>
      <x:c r="E404" s="11" t="n">
        <x:v>24</x:v>
      </x:c>
      <x:c r="F404" s="12" t="n">
        <x:v>90.94</x:v>
      </x:c>
      <x:c r="G404" s="12" t="n">
        <x:v>2182.56</x:v>
      </x:c>
      <x:c r="H404" s="13" t="n">
        <x:v>97</x:v>
      </x:c>
      <x:c r="I404" s="13" t="n">
        <x:f>YEAR(B404)</x:f>
        <x:v>2024</x:v>
      </x:c>
      <x:c r="J404" s="13" t="n">
        <x:f>MONTH(B404)</x:f>
        <x:v>12</x:v>
      </x:c>
      <x:c r="K404" s="14" t="n">
        <x:f>ROUND(E404*F404-G404,10)</x:f>
        <x:v>0</x:v>
      </x:c>
      <x:c r="L404" s="2"/>
      <x:c r="M404" s="2"/>
      <x:c r="N404" s="2"/>
      <x:c r="O404" s="2"/>
      <x:c r="P404" s="2"/>
      <x:c r="Q404" s="2"/>
      <x:c r="R404" s="2"/>
    </x:row>
    <x:row r="405" ht="22" customHeight="1">
      <x:c r="A405" s="2" t="n">
        <x:v>100399</x:v>
      </x:c>
      <x:c r="B405" s="10" t="n">
        <x:v>44984</x:v>
      </x:c>
      <x:c r="C405" s="2" t="str">
        <x:v>Brasil</x:v>
      </x:c>
      <x:c r="D405" s="2" t="str">
        <x:v>Moda Infantil</x:v>
      </x:c>
      <x:c r="E405" s="11" t="n">
        <x:v>10</x:v>
      </x:c>
      <x:c r="F405" s="12" t="n">
        <x:v>173.17</x:v>
      </x:c>
      <x:c r="G405" s="12" t="n">
        <x:v>1731.7</x:v>
      </x:c>
      <x:c r="H405" s="13" t="n">
        <x:v>158</x:v>
      </x:c>
      <x:c r="I405" s="13" t="n">
        <x:f>YEAR(B405)</x:f>
        <x:v>2023</x:v>
      </x:c>
      <x:c r="J405" s="13" t="n">
        <x:f>MONTH(B405)</x:f>
        <x:v>2</x:v>
      </x:c>
      <x:c r="K405" s="14" t="n">
        <x:f>ROUND(E405*F405-G405,10)</x:f>
        <x:v>0</x:v>
      </x:c>
      <x:c r="L405" s="2"/>
      <x:c r="M405" s="2"/>
      <x:c r="N405" s="2"/>
      <x:c r="O405" s="2"/>
      <x:c r="P405" s="2"/>
      <x:c r="Q405" s="2"/>
      <x:c r="R405" s="2"/>
    </x:row>
    <x:row r="406" ht="22" customHeight="1">
      <x:c r="A406" s="2" t="n">
        <x:v>100400</x:v>
      </x:c>
      <x:c r="B406" s="10" t="n">
        <x:v>45162</x:v>
      </x:c>
      <x:c r="C406" s="2" t="str">
        <x:v>México</x:v>
      </x:c>
      <x:c r="D406" s="2" t="str">
        <x:v>Moda Feminina</x:v>
      </x:c>
      <x:c r="E406" s="11" t="n">
        <x:v>32</x:v>
      </x:c>
      <x:c r="F406" s="12" t="n">
        <x:v>82.25</x:v>
      </x:c>
      <x:c r="G406" s="12" t="n">
        <x:v>2632</x:v>
      </x:c>
      <x:c r="H406" s="13" t="n">
        <x:v>345</x:v>
      </x:c>
      <x:c r="I406" s="13" t="n">
        <x:f>YEAR(B406)</x:f>
        <x:v>2023</x:v>
      </x:c>
      <x:c r="J406" s="13" t="n">
        <x:f>MONTH(B406)</x:f>
        <x:v>8</x:v>
      </x:c>
      <x:c r="K406" s="14" t="n">
        <x:f>ROUND(E406*F406-G406,10)</x:f>
        <x:v>0</x:v>
      </x:c>
      <x:c r="L406" s="2"/>
      <x:c r="M406" s="2"/>
      <x:c r="N406" s="2"/>
      <x:c r="O406" s="2"/>
      <x:c r="P406" s="2"/>
      <x:c r="Q406" s="2"/>
      <x:c r="R406" s="2"/>
    </x:row>
    <x:row r="407" ht="22" customHeight="1">
      <x:c r="A407" s="2" t="n">
        <x:v>100401</x:v>
      </x:c>
      <x:c r="B407" s="10" t="n">
        <x:v>45479</x:v>
      </x:c>
      <x:c r="C407" s="2" t="str">
        <x:v>Colômbia</x:v>
      </x:c>
      <x:c r="D407" s="2" t="str">
        <x:v>Calçados</x:v>
      </x:c>
      <x:c r="E407" s="11" t="n">
        <x:v>15</x:v>
      </x:c>
      <x:c r="F407" s="12" t="n">
        <x:v>26.34</x:v>
      </x:c>
      <x:c r="G407" s="12" t="n">
        <x:v>395.1</x:v>
      </x:c>
      <x:c r="H407" s="13" t="n">
        <x:v>55</x:v>
      </x:c>
      <x:c r="I407" s="13" t="n">
        <x:f>YEAR(B407)</x:f>
        <x:v>2024</x:v>
      </x:c>
      <x:c r="J407" s="13" t="n">
        <x:f>MONTH(B407)</x:f>
        <x:v>7</x:v>
      </x:c>
      <x:c r="K407" s="14" t="n">
        <x:f>ROUND(E407*F407-G407,10)</x:f>
        <x:v>0</x:v>
      </x:c>
      <x:c r="L407" s="2"/>
      <x:c r="M407" s="2"/>
      <x:c r="N407" s="2"/>
      <x:c r="O407" s="2"/>
      <x:c r="P407" s="2"/>
      <x:c r="Q407" s="2"/>
      <x:c r="R407" s="2"/>
    </x:row>
    <x:row r="408" ht="22" customHeight="1">
      <x:c r="A408" s="2" t="n">
        <x:v>100402</x:v>
      </x:c>
      <x:c r="B408" s="10" t="n">
        <x:v>45342</x:v>
      </x:c>
      <x:c r="C408" s="2" t="str">
        <x:v>Argentina</x:v>
      </x:c>
      <x:c r="D408" s="2" t="str">
        <x:v>Moda Infantil</x:v>
      </x:c>
      <x:c r="E408" s="11" t="n">
        <x:v>37</x:v>
      </x:c>
      <x:c r="F408" s="12" t="n">
        <x:v>154.31</x:v>
      </x:c>
      <x:c r="G408" s="12" t="n">
        <x:v>5709.47</x:v>
      </x:c>
      <x:c r="H408" s="13" t="n">
        <x:v>87</x:v>
      </x:c>
      <x:c r="I408" s="13" t="n">
        <x:f>YEAR(B408)</x:f>
        <x:v>2024</x:v>
      </x:c>
      <x:c r="J408" s="13" t="n">
        <x:f>MONTH(B408)</x:f>
        <x:v>2</x:v>
      </x:c>
      <x:c r="K408" s="14" t="n">
        <x:f>ROUND(E408*F408-G408,10)</x:f>
        <x:v>0</x:v>
      </x:c>
      <x:c r="L408" s="2"/>
      <x:c r="M408" s="2"/>
      <x:c r="N408" s="2"/>
      <x:c r="O408" s="2"/>
      <x:c r="P408" s="2"/>
      <x:c r="Q408" s="2"/>
      <x:c r="R408" s="2"/>
    </x:row>
    <x:row r="409" ht="22" customHeight="1">
      <x:c r="A409" s="2" t="n">
        <x:v>100403</x:v>
      </x:c>
      <x:c r="B409" s="10" t="n">
        <x:v>45515</x:v>
      </x:c>
      <x:c r="C409" s="2" t="str">
        <x:v>Brasil</x:v>
      </x:c>
      <x:c r="D409" s="2" t="str">
        <x:v>Moda Infantil</x:v>
      </x:c>
      <x:c r="E409" s="11" t="n">
        <x:v>20</x:v>
      </x:c>
      <x:c r="F409" s="12" t="n">
        <x:v>164.37</x:v>
      </x:c>
      <x:c r="G409" s="12" t="n">
        <x:v>3287.4</x:v>
      </x:c>
      <x:c r="H409" s="13" t="n">
        <x:v>218</x:v>
      </x:c>
      <x:c r="I409" s="13" t="n">
        <x:f>YEAR(B409)</x:f>
        <x:v>2024</x:v>
      </x:c>
      <x:c r="J409" s="13" t="n">
        <x:f>MONTH(B409)</x:f>
        <x:v>8</x:v>
      </x:c>
      <x:c r="K409" s="14" t="n">
        <x:f>ROUND(E409*F409-G409,10)</x:f>
        <x:v>0</x:v>
      </x:c>
      <x:c r="L409" s="2"/>
      <x:c r="M409" s="2"/>
      <x:c r="N409" s="2"/>
      <x:c r="O409" s="2"/>
      <x:c r="P409" s="2"/>
      <x:c r="Q409" s="2"/>
      <x:c r="R409" s="2"/>
    </x:row>
    <x:row r="410" ht="22" customHeight="1">
      <x:c r="A410" s="2" t="n">
        <x:v>100404</x:v>
      </x:c>
      <x:c r="B410" s="10" t="n">
        <x:v>45436</x:v>
      </x:c>
      <x:c r="C410" s="2" t="str">
        <x:v>Colômbia</x:v>
      </x:c>
      <x:c r="D410" s="2" t="str">
        <x:v>Moda Feminina</x:v>
      </x:c>
      <x:c r="E410" s="11" t="n">
        <x:v>3</x:v>
      </x:c>
      <x:c r="F410" s="12" t="n">
        <x:v>48.91</x:v>
      </x:c>
      <x:c r="G410" s="12" t="n">
        <x:v>146.73</x:v>
      </x:c>
      <x:c r="H410" s="13" t="n">
        <x:v>405</x:v>
      </x:c>
      <x:c r="I410" s="13" t="n">
        <x:f>YEAR(B410)</x:f>
        <x:v>2024</x:v>
      </x:c>
      <x:c r="J410" s="13" t="n">
        <x:f>MONTH(B410)</x:f>
        <x:v>5</x:v>
      </x:c>
      <x:c r="K410" s="14" t="n">
        <x:f>ROUND(E410*F410-G410,10)</x:f>
        <x:v>0</x:v>
      </x:c>
      <x:c r="L410" s="2"/>
      <x:c r="M410" s="2"/>
      <x:c r="N410" s="2"/>
      <x:c r="O410" s="2"/>
      <x:c r="P410" s="2"/>
      <x:c r="Q410" s="2"/>
      <x:c r="R410" s="2"/>
    </x:row>
    <x:row r="411" ht="22" customHeight="1">
      <x:c r="A411" s="2" t="n">
        <x:v>100405</x:v>
      </x:c>
      <x:c r="B411" s="10" t="n">
        <x:v>45172</x:v>
      </x:c>
      <x:c r="C411" s="2" t="str">
        <x:v>México</x:v>
      </x:c>
      <x:c r="D411" s="2" t="str">
        <x:v>Calçados</x:v>
      </x:c>
      <x:c r="E411" s="11" t="n">
        <x:v>37</x:v>
      </x:c>
      <x:c r="F411" s="12" t="n">
        <x:v>116.72</x:v>
      </x:c>
      <x:c r="G411" s="12" t="n">
        <x:v>4318.64</x:v>
      </x:c>
      <x:c r="H411" s="13" t="n">
        <x:v>332</x:v>
      </x:c>
      <x:c r="I411" s="13" t="n">
        <x:f>YEAR(B411)</x:f>
        <x:v>2023</x:v>
      </x:c>
      <x:c r="J411" s="13" t="n">
        <x:f>MONTH(B411)</x:f>
        <x:v>9</x:v>
      </x:c>
      <x:c r="K411" s="14" t="n">
        <x:f>ROUND(E411*F411-G411,10)</x:f>
        <x:v>0</x:v>
      </x:c>
      <x:c r="L411" s="2"/>
      <x:c r="M411" s="2"/>
      <x:c r="N411" s="2"/>
      <x:c r="O411" s="2"/>
      <x:c r="P411" s="2"/>
      <x:c r="Q411" s="2"/>
      <x:c r="R411" s="2"/>
    </x:row>
    <x:row r="412" ht="22" customHeight="1">
      <x:c r="A412" s="2" t="n">
        <x:v>100406</x:v>
      </x:c>
      <x:c r="B412" s="10" t="n">
        <x:v>45212</x:v>
      </x:c>
      <x:c r="C412" s="2" t="str">
        <x:v>Colômbia</x:v>
      </x:c>
      <x:c r="D412" s="2" t="str">
        <x:v>Acessórios</x:v>
      </x:c>
      <x:c r="E412" s="11" t="n">
        <x:v>40</x:v>
      </x:c>
      <x:c r="F412" s="12" t="n">
        <x:v>54.55</x:v>
      </x:c>
      <x:c r="G412" s="12" t="n">
        <x:v>2182</x:v>
      </x:c>
      <x:c r="H412" s="13" t="n">
        <x:v>252</x:v>
      </x:c>
      <x:c r="I412" s="13" t="n">
        <x:f>YEAR(B412)</x:f>
        <x:v>2023</x:v>
      </x:c>
      <x:c r="J412" s="13" t="n">
        <x:f>MONTH(B412)</x:f>
        <x:v>10</x:v>
      </x:c>
      <x:c r="K412" s="14" t="n">
        <x:f>ROUND(E412*F412-G412,10)</x:f>
        <x:v>0</x:v>
      </x:c>
      <x:c r="L412" s="2"/>
      <x:c r="M412" s="2"/>
      <x:c r="N412" s="2"/>
      <x:c r="O412" s="2"/>
      <x:c r="P412" s="2"/>
      <x:c r="Q412" s="2"/>
      <x:c r="R412" s="2"/>
    </x:row>
    <x:row r="413" ht="22" customHeight="1">
      <x:c r="A413" s="2" t="n">
        <x:v>100407</x:v>
      </x:c>
      <x:c r="B413" s="10" t="n">
        <x:v>45419</x:v>
      </x:c>
      <x:c r="C413" s="2" t="str">
        <x:v>Brasil</x:v>
      </x:c>
      <x:c r="D413" s="2" t="str">
        <x:v>Calçados</x:v>
      </x:c>
      <x:c r="E413" s="11" t="n">
        <x:v>8</x:v>
      </x:c>
      <x:c r="F413" s="12" t="n">
        <x:v>149.46</x:v>
      </x:c>
      <x:c r="G413" s="12" t="n">
        <x:v>1195.68</x:v>
      </x:c>
      <x:c r="H413" s="13" t="n">
        <x:v>374</x:v>
      </x:c>
      <x:c r="I413" s="13" t="n">
        <x:f>YEAR(B413)</x:f>
        <x:v>2024</x:v>
      </x:c>
      <x:c r="J413" s="13" t="n">
        <x:f>MONTH(B413)</x:f>
        <x:v>5</x:v>
      </x:c>
      <x:c r="K413" s="14" t="n">
        <x:f>ROUND(E413*F413-G413,10)</x:f>
        <x:v>0</x:v>
      </x:c>
      <x:c r="L413" s="2"/>
      <x:c r="M413" s="2"/>
      <x:c r="N413" s="2"/>
      <x:c r="O413" s="2"/>
      <x:c r="P413" s="2"/>
      <x:c r="Q413" s="2"/>
      <x:c r="R413" s="2"/>
    </x:row>
    <x:row r="414" ht="22" customHeight="1">
      <x:c r="A414" s="2" t="n">
        <x:v>100408</x:v>
      </x:c>
      <x:c r="B414" s="10" t="n">
        <x:v>44972</x:v>
      </x:c>
      <x:c r="C414" s="2" t="str">
        <x:v>Peru</x:v>
      </x:c>
      <x:c r="D414" s="2" t="str">
        <x:v>Moda Masculina</x:v>
      </x:c>
      <x:c r="E414" s="11" t="n">
        <x:v>40</x:v>
      </x:c>
      <x:c r="F414" s="12" t="n">
        <x:v>68.88</x:v>
      </x:c>
      <x:c r="G414" s="12" t="n">
        <x:v>2755.2</x:v>
      </x:c>
      <x:c r="H414" s="13" t="n">
        <x:v>362</x:v>
      </x:c>
      <x:c r="I414" s="13" t="n">
        <x:f>YEAR(B414)</x:f>
        <x:v>2023</x:v>
      </x:c>
      <x:c r="J414" s="13" t="n">
        <x:f>MONTH(B414)</x:f>
        <x:v>2</x:v>
      </x:c>
      <x:c r="K414" s="14" t="n">
        <x:f>ROUND(E414*F414-G414,10)</x:f>
        <x:v>0</x:v>
      </x:c>
      <x:c r="L414" s="2"/>
      <x:c r="M414" s="2"/>
      <x:c r="N414" s="2"/>
      <x:c r="O414" s="2"/>
      <x:c r="P414" s="2"/>
      <x:c r="Q414" s="2"/>
      <x:c r="R414" s="2"/>
    </x:row>
    <x:row r="415" ht="22" customHeight="1">
      <x:c r="A415" s="2" t="n">
        <x:v>100409</x:v>
      </x:c>
      <x:c r="B415" s="10" t="n">
        <x:v>45391</x:v>
      </x:c>
      <x:c r="C415" s="2" t="str">
        <x:v>Peru</x:v>
      </x:c>
      <x:c r="D415" s="2" t="str">
        <x:v>Acessórios</x:v>
      </x:c>
      <x:c r="E415" s="11" t="n">
        <x:v>44</x:v>
      </x:c>
      <x:c r="F415" s="12" t="n">
        <x:v>76.92</x:v>
      </x:c>
      <x:c r="G415" s="12" t="n">
        <x:v>3384.48</x:v>
      </x:c>
      <x:c r="H415" s="13" t="n">
        <x:v>322</x:v>
      </x:c>
      <x:c r="I415" s="13" t="n">
        <x:f>YEAR(B415)</x:f>
        <x:v>2024</x:v>
      </x:c>
      <x:c r="J415" s="13" t="n">
        <x:f>MONTH(B415)</x:f>
        <x:v>4</x:v>
      </x:c>
      <x:c r="K415" s="14" t="n">
        <x:f>ROUND(E415*F415-G415,10)</x:f>
        <x:v>0</x:v>
      </x:c>
      <x:c r="L415" s="2"/>
      <x:c r="M415" s="2"/>
      <x:c r="N415" s="2"/>
      <x:c r="O415" s="2"/>
      <x:c r="P415" s="2"/>
      <x:c r="Q415" s="2"/>
      <x:c r="R415" s="2"/>
    </x:row>
    <x:row r="416" ht="22" customHeight="1">
      <x:c r="A416" s="2" t="n">
        <x:v>100410</x:v>
      </x:c>
      <x:c r="B416" s="10" t="n">
        <x:v>45133</x:v>
      </x:c>
      <x:c r="C416" s="2" t="str">
        <x:v>Colômbia</x:v>
      </x:c>
      <x:c r="D416" s="2" t="str">
        <x:v>Moda Infantil</x:v>
      </x:c>
      <x:c r="E416" s="11" t="n">
        <x:v>23</x:v>
      </x:c>
      <x:c r="F416" s="12" t="n">
        <x:v>172.09</x:v>
      </x:c>
      <x:c r="G416" s="12" t="n">
        <x:v>3958.07</x:v>
      </x:c>
      <x:c r="H416" s="13" t="n">
        <x:v>293</x:v>
      </x:c>
      <x:c r="I416" s="13" t="n">
        <x:f>YEAR(B416)</x:f>
        <x:v>2023</x:v>
      </x:c>
      <x:c r="J416" s="13" t="n">
        <x:f>MONTH(B416)</x:f>
        <x:v>7</x:v>
      </x:c>
      <x:c r="K416" s="14" t="n">
        <x:f>ROUND(E416*F416-G416,10)</x:f>
        <x:v>0</x:v>
      </x:c>
      <x:c r="L416" s="2"/>
      <x:c r="M416" s="2"/>
      <x:c r="N416" s="2"/>
      <x:c r="O416" s="2"/>
      <x:c r="P416" s="2"/>
      <x:c r="Q416" s="2"/>
      <x:c r="R416" s="2"/>
    </x:row>
    <x:row r="417" ht="22" customHeight="1">
      <x:c r="A417" s="2" t="n">
        <x:v>100411</x:v>
      </x:c>
      <x:c r="B417" s="10" t="n">
        <x:v>44979</x:v>
      </x:c>
      <x:c r="C417" s="2" t="str">
        <x:v>Chile</x:v>
      </x:c>
      <x:c r="D417" s="2" t="str">
        <x:v>Acessórios</x:v>
      </x:c>
      <x:c r="E417" s="11" t="n">
        <x:v>40</x:v>
      </x:c>
      <x:c r="F417" s="12" t="n">
        <x:v>105.74</x:v>
      </x:c>
      <x:c r="G417" s="12" t="n">
        <x:v>4229.599999999999</x:v>
      </x:c>
      <x:c r="H417" s="13" t="n">
        <x:v>376</x:v>
      </x:c>
      <x:c r="I417" s="13" t="n">
        <x:f>YEAR(B417)</x:f>
        <x:v>2023</x:v>
      </x:c>
      <x:c r="J417" s="13" t="n">
        <x:f>MONTH(B417)</x:f>
        <x:v>2</x:v>
      </x:c>
      <x:c r="K417" s="14" t="n">
        <x:f>ROUND(E417*F417-G417,10)</x:f>
        <x:v>0</x:v>
      </x:c>
      <x:c r="L417" s="2"/>
      <x:c r="M417" s="2"/>
      <x:c r="N417" s="2"/>
      <x:c r="O417" s="2"/>
      <x:c r="P417" s="2"/>
      <x:c r="Q417" s="2"/>
      <x:c r="R417" s="2"/>
    </x:row>
    <x:row r="418" ht="22" customHeight="1">
      <x:c r="A418" s="2" t="n">
        <x:v>100412</x:v>
      </x:c>
      <x:c r="B418" s="10" t="n">
        <x:v>45582</x:v>
      </x:c>
      <x:c r="C418" s="2" t="str">
        <x:v>Colômbia</x:v>
      </x:c>
      <x:c r="D418" s="2" t="str">
        <x:v>Moda Infantil</x:v>
      </x:c>
      <x:c r="E418" s="11" t="n">
        <x:v>11</x:v>
      </x:c>
      <x:c r="F418" s="12" t="n">
        <x:v>140.56</x:v>
      </x:c>
      <x:c r="G418" s="12" t="n">
        <x:v>1546.16</x:v>
      </x:c>
      <x:c r="H418" s="13" t="n">
        <x:v>96</x:v>
      </x:c>
      <x:c r="I418" s="13" t="n">
        <x:f>YEAR(B418)</x:f>
        <x:v>2024</x:v>
      </x:c>
      <x:c r="J418" s="13" t="n">
        <x:f>MONTH(B418)</x:f>
        <x:v>10</x:v>
      </x:c>
      <x:c r="K418" s="14" t="n">
        <x:f>ROUND(E418*F418-G418,10)</x:f>
        <x:v>0</x:v>
      </x:c>
      <x:c r="L418" s="2"/>
      <x:c r="M418" s="2"/>
      <x:c r="N418" s="2"/>
      <x:c r="O418" s="2"/>
      <x:c r="P418" s="2"/>
      <x:c r="Q418" s="2"/>
      <x:c r="R418" s="2"/>
    </x:row>
    <x:row r="419" ht="22" customHeight="1">
      <x:c r="A419" s="2" t="n">
        <x:v>100413</x:v>
      </x:c>
      <x:c r="B419" s="10" t="n">
        <x:v>45270</x:v>
      </x:c>
      <x:c r="C419" s="2" t="str">
        <x:v>Argentina</x:v>
      </x:c>
      <x:c r="D419" s="2" t="str">
        <x:v>Moda Infantil</x:v>
      </x:c>
      <x:c r="E419" s="11" t="n">
        <x:v>46</x:v>
      </x:c>
      <x:c r="F419" s="12" t="n">
        <x:v>92.43</x:v>
      </x:c>
      <x:c r="G419" s="12" t="n">
        <x:v>4251.780000000001</x:v>
      </x:c>
      <x:c r="H419" s="13" t="n">
        <x:v>298</x:v>
      </x:c>
      <x:c r="I419" s="13" t="n">
        <x:f>YEAR(B419)</x:f>
        <x:v>2023</x:v>
      </x:c>
      <x:c r="J419" s="13" t="n">
        <x:f>MONTH(B419)</x:f>
        <x:v>12</x:v>
      </x:c>
      <x:c r="K419" s="14" t="n">
        <x:f>ROUND(E419*F419-G419,10)</x:f>
        <x:v>0</x:v>
      </x:c>
      <x:c r="L419" s="2"/>
      <x:c r="M419" s="2"/>
      <x:c r="N419" s="2"/>
      <x:c r="O419" s="2"/>
      <x:c r="P419" s="2"/>
      <x:c r="Q419" s="2"/>
      <x:c r="R419" s="2"/>
    </x:row>
    <x:row r="420" ht="22" customHeight="1">
      <x:c r="A420" s="2" t="n">
        <x:v>100414</x:v>
      </x:c>
      <x:c r="B420" s="10" t="n">
        <x:v>45069</x:v>
      </x:c>
      <x:c r="C420" s="2" t="str">
        <x:v>Argentina</x:v>
      </x:c>
      <x:c r="D420" s="2" t="str">
        <x:v>Acessórios</x:v>
      </x:c>
      <x:c r="E420" s="11" t="n">
        <x:v>8</x:v>
      </x:c>
      <x:c r="F420" s="12" t="n">
        <x:v>73.64</x:v>
      </x:c>
      <x:c r="G420" s="12" t="n">
        <x:v>589.12</x:v>
      </x:c>
      <x:c r="H420" s="13" t="n">
        <x:v>128</x:v>
      </x:c>
      <x:c r="I420" s="13" t="n">
        <x:f>YEAR(B420)</x:f>
        <x:v>2023</x:v>
      </x:c>
      <x:c r="J420" s="13" t="n">
        <x:f>MONTH(B420)</x:f>
        <x:v>5</x:v>
      </x:c>
      <x:c r="K420" s="14" t="n">
        <x:f>ROUND(E420*F420-G420,10)</x:f>
        <x:v>0</x:v>
      </x:c>
      <x:c r="L420" s="2"/>
      <x:c r="M420" s="2"/>
      <x:c r="N420" s="2"/>
      <x:c r="O420" s="2"/>
      <x:c r="P420" s="2"/>
      <x:c r="Q420" s="2"/>
      <x:c r="R420" s="2"/>
    </x:row>
    <x:row r="421" ht="22" customHeight="1">
      <x:c r="A421" s="2" t="n">
        <x:v>100415</x:v>
      </x:c>
      <x:c r="B421" s="10" t="n">
        <x:v>44950</x:v>
      </x:c>
      <x:c r="C421" s="2" t="str">
        <x:v>Peru</x:v>
      </x:c>
      <x:c r="D421" s="2" t="str">
        <x:v>Moda Infantil</x:v>
      </x:c>
      <x:c r="E421" s="11" t="n">
        <x:v>29</x:v>
      </x:c>
      <x:c r="F421" s="12" t="n">
        <x:v>132.59</x:v>
      </x:c>
      <x:c r="G421" s="12" t="n">
        <x:v>3845.11</x:v>
      </x:c>
      <x:c r="H421" s="13" t="n">
        <x:v>159</x:v>
      </x:c>
      <x:c r="I421" s="13" t="n">
        <x:f>YEAR(B421)</x:f>
        <x:v>2023</x:v>
      </x:c>
      <x:c r="J421" s="13" t="n">
        <x:f>MONTH(B421)</x:f>
        <x:v>1</x:v>
      </x:c>
      <x:c r="K421" s="14" t="n">
        <x:f>ROUND(E421*F421-G421,10)</x:f>
        <x:v>0</x:v>
      </x:c>
      <x:c r="L421" s="2"/>
      <x:c r="M421" s="2"/>
      <x:c r="N421" s="2"/>
      <x:c r="O421" s="2"/>
      <x:c r="P421" s="2"/>
      <x:c r="Q421" s="2"/>
      <x:c r="R421" s="2"/>
    </x:row>
    <x:row r="422" ht="22" customHeight="1">
      <x:c r="A422" s="2" t="n">
        <x:v>100416</x:v>
      </x:c>
      <x:c r="B422" s="10" t="n">
        <x:v>45311</x:v>
      </x:c>
      <x:c r="C422" s="2" t="str">
        <x:v>Chile</x:v>
      </x:c>
      <x:c r="D422" s="2" t="str">
        <x:v>Moda Infantil</x:v>
      </x:c>
      <x:c r="E422" s="11" t="n">
        <x:v>30</x:v>
      </x:c>
      <x:c r="F422" s="12" t="n">
        <x:v>47.87</x:v>
      </x:c>
      <x:c r="G422" s="12" t="n">
        <x:v>1436.1</x:v>
      </x:c>
      <x:c r="H422" s="13" t="n">
        <x:v>62</x:v>
      </x:c>
      <x:c r="I422" s="13" t="n">
        <x:f>YEAR(B422)</x:f>
        <x:v>2024</x:v>
      </x:c>
      <x:c r="J422" s="13" t="n">
        <x:f>MONTH(B422)</x:f>
        <x:v>1</x:v>
      </x:c>
      <x:c r="K422" s="14" t="n">
        <x:f>ROUND(E422*F422-G422,10)</x:f>
        <x:v>0</x:v>
      </x:c>
      <x:c r="L422" s="2"/>
      <x:c r="M422" s="2"/>
      <x:c r="N422" s="2"/>
      <x:c r="O422" s="2"/>
      <x:c r="P422" s="2"/>
      <x:c r="Q422" s="2"/>
      <x:c r="R422" s="2"/>
    </x:row>
    <x:row r="423" ht="22" customHeight="1">
      <x:c r="A423" s="2" t="n">
        <x:v>100417</x:v>
      </x:c>
      <x:c r="B423" s="10" t="n">
        <x:v>44954</x:v>
      </x:c>
      <x:c r="C423" s="2" t="str">
        <x:v>Brasil</x:v>
      </x:c>
      <x:c r="D423" s="2" t="str">
        <x:v>Moda Masculina</x:v>
      </x:c>
      <x:c r="E423" s="11" t="n">
        <x:v>10</x:v>
      </x:c>
      <x:c r="F423" s="12" t="n">
        <x:v>87.14</x:v>
      </x:c>
      <x:c r="G423" s="12" t="n">
        <x:v>871.4</x:v>
      </x:c>
      <x:c r="H423" s="13" t="n">
        <x:v>444</x:v>
      </x:c>
      <x:c r="I423" s="13" t="n">
        <x:f>YEAR(B423)</x:f>
        <x:v>2023</x:v>
      </x:c>
      <x:c r="J423" s="13" t="n">
        <x:f>MONTH(B423)</x:f>
        <x:v>1</x:v>
      </x:c>
      <x:c r="K423" s="14" t="n">
        <x:f>ROUND(E423*F423-G423,10)</x:f>
        <x:v>0</x:v>
      </x:c>
      <x:c r="L423" s="2"/>
      <x:c r="M423" s="2"/>
      <x:c r="N423" s="2"/>
      <x:c r="O423" s="2"/>
      <x:c r="P423" s="2"/>
      <x:c r="Q423" s="2"/>
      <x:c r="R423" s="2"/>
    </x:row>
    <x:row r="424" ht="22" customHeight="1">
      <x:c r="A424" s="2" t="n">
        <x:v>100418</x:v>
      </x:c>
      <x:c r="B424" s="10" t="n">
        <x:v>45124</x:v>
      </x:c>
      <x:c r="C424" s="2" t="str">
        <x:v>Argentina</x:v>
      </x:c>
      <x:c r="D424" s="2" t="str">
        <x:v>Calçados</x:v>
      </x:c>
      <x:c r="E424" s="11" t="n">
        <x:v>39</x:v>
      </x:c>
      <x:c r="F424" s="12" t="n">
        <x:v>57.63</x:v>
      </x:c>
      <x:c r="G424" s="12" t="n">
        <x:v>2247.57</x:v>
      </x:c>
      <x:c r="H424" s="13" t="n">
        <x:v>429</x:v>
      </x:c>
      <x:c r="I424" s="13" t="n">
        <x:f>YEAR(B424)</x:f>
        <x:v>2023</x:v>
      </x:c>
      <x:c r="J424" s="13" t="n">
        <x:f>MONTH(B424)</x:f>
        <x:v>7</x:v>
      </x:c>
      <x:c r="K424" s="14" t="n">
        <x:f>ROUND(E424*F424-G424,10)</x:f>
        <x:v>0</x:v>
      </x:c>
      <x:c r="L424" s="2"/>
      <x:c r="M424" s="2"/>
      <x:c r="N424" s="2"/>
      <x:c r="O424" s="2"/>
      <x:c r="P424" s="2"/>
      <x:c r="Q424" s="2"/>
      <x:c r="R424" s="2"/>
    </x:row>
    <x:row r="425" ht="22" customHeight="1">
      <x:c r="A425" s="2" t="n">
        <x:v>100419</x:v>
      </x:c>
      <x:c r="B425" s="10" t="n">
        <x:v>45498</x:v>
      </x:c>
      <x:c r="C425" s="2" t="str">
        <x:v>Peru</x:v>
      </x:c>
      <x:c r="D425" s="2" t="str">
        <x:v>Calçados</x:v>
      </x:c>
      <x:c r="E425" s="11" t="n">
        <x:v>28</x:v>
      </x:c>
      <x:c r="F425" s="12" t="n">
        <x:v>145.24</x:v>
      </x:c>
      <x:c r="G425" s="12" t="n">
        <x:v>4066.72</x:v>
      </x:c>
      <x:c r="H425" s="13" t="n">
        <x:v>414</x:v>
      </x:c>
      <x:c r="I425" s="13" t="n">
        <x:f>YEAR(B425)</x:f>
        <x:v>2024</x:v>
      </x:c>
      <x:c r="J425" s="13" t="n">
        <x:f>MONTH(B425)</x:f>
        <x:v>7</x:v>
      </x:c>
      <x:c r="K425" s="14" t="n">
        <x:f>ROUND(E425*F425-G425,10)</x:f>
        <x:v>0</x:v>
      </x:c>
      <x:c r="L425" s="2"/>
      <x:c r="M425" s="2"/>
      <x:c r="N425" s="2"/>
      <x:c r="O425" s="2"/>
      <x:c r="P425" s="2"/>
      <x:c r="Q425" s="2"/>
      <x:c r="R425" s="2"/>
    </x:row>
    <x:row r="426" ht="22" customHeight="1">
      <x:c r="A426" s="2" t="n">
        <x:v>100420</x:v>
      </x:c>
      <x:c r="B426" s="10" t="n">
        <x:v>45404</x:v>
      </x:c>
      <x:c r="C426" s="2" t="str">
        <x:v>México</x:v>
      </x:c>
      <x:c r="D426" s="2" t="str">
        <x:v>Moda Masculina</x:v>
      </x:c>
      <x:c r="E426" s="11" t="n">
        <x:v>49</x:v>
      </x:c>
      <x:c r="F426" s="12" t="n">
        <x:v>189.96</x:v>
      </x:c>
      <x:c r="G426" s="12" t="n">
        <x:v>9308.04</x:v>
      </x:c>
      <x:c r="H426" s="13" t="n">
        <x:v>139</x:v>
      </x:c>
      <x:c r="I426" s="13" t="n">
        <x:f>YEAR(B426)</x:f>
        <x:v>2024</x:v>
      </x:c>
      <x:c r="J426" s="13" t="n">
        <x:f>MONTH(B426)</x:f>
        <x:v>4</x:v>
      </x:c>
      <x:c r="K426" s="14" t="n">
        <x:f>ROUND(E426*F426-G426,10)</x:f>
        <x:v>0</x:v>
      </x:c>
      <x:c r="L426" s="2"/>
      <x:c r="M426" s="2"/>
      <x:c r="N426" s="2"/>
      <x:c r="O426" s="2"/>
      <x:c r="P426" s="2"/>
      <x:c r="Q426" s="2"/>
      <x:c r="R426" s="2"/>
    </x:row>
    <x:row r="427" ht="22" customHeight="1">
      <x:c r="A427" s="2" t="n">
        <x:v>100421</x:v>
      </x:c>
      <x:c r="B427" s="10" t="n">
        <x:v>45286</x:v>
      </x:c>
      <x:c r="C427" s="2" t="str">
        <x:v>Peru</x:v>
      </x:c>
      <x:c r="D427" s="2" t="str">
        <x:v>Acessórios</x:v>
      </x:c>
      <x:c r="E427" s="11" t="n">
        <x:v>36</x:v>
      </x:c>
      <x:c r="F427" s="12" t="n">
        <x:v>199.19</x:v>
      </x:c>
      <x:c r="G427" s="12" t="n">
        <x:v>7170.84</x:v>
      </x:c>
      <x:c r="H427" s="13" t="n">
        <x:v>391</x:v>
      </x:c>
      <x:c r="I427" s="13" t="n">
        <x:f>YEAR(B427)</x:f>
        <x:v>2023</x:v>
      </x:c>
      <x:c r="J427" s="13" t="n">
        <x:f>MONTH(B427)</x:f>
        <x:v>12</x:v>
      </x:c>
      <x:c r="K427" s="14" t="n">
        <x:f>ROUND(E427*F427-G427,10)</x:f>
        <x:v>0</x:v>
      </x:c>
      <x:c r="L427" s="2"/>
      <x:c r="M427" s="2"/>
      <x:c r="N427" s="2"/>
      <x:c r="O427" s="2"/>
      <x:c r="P427" s="2"/>
      <x:c r="Q427" s="2"/>
      <x:c r="R427" s="2"/>
    </x:row>
    <x:row r="428" ht="22" customHeight="1">
      <x:c r="A428" s="2" t="n">
        <x:v>100422</x:v>
      </x:c>
      <x:c r="B428" s="10" t="n">
        <x:v>45486</x:v>
      </x:c>
      <x:c r="C428" s="2" t="str">
        <x:v>Argentina</x:v>
      </x:c>
      <x:c r="D428" s="2" t="str">
        <x:v>Moda Feminina</x:v>
      </x:c>
      <x:c r="E428" s="11" t="n">
        <x:v>13</x:v>
      </x:c>
      <x:c r="F428" s="12" t="n">
        <x:v>101.05</x:v>
      </x:c>
      <x:c r="G428" s="12" t="n">
        <x:v>1313.65</x:v>
      </x:c>
      <x:c r="H428" s="13" t="n">
        <x:v>397</x:v>
      </x:c>
      <x:c r="I428" s="13" t="n">
        <x:f>YEAR(B428)</x:f>
        <x:v>2024</x:v>
      </x:c>
      <x:c r="J428" s="13" t="n">
        <x:f>MONTH(B428)</x:f>
        <x:v>7</x:v>
      </x:c>
      <x:c r="K428" s="14" t="n">
        <x:f>ROUND(E428*F428-G428,10)</x:f>
        <x:v>0</x:v>
      </x:c>
      <x:c r="L428" s="2"/>
      <x:c r="M428" s="2"/>
      <x:c r="N428" s="2"/>
      <x:c r="O428" s="2"/>
      <x:c r="P428" s="2"/>
      <x:c r="Q428" s="2"/>
      <x:c r="R428" s="2"/>
    </x:row>
    <x:row r="429" ht="22" customHeight="1">
      <x:c r="A429" s="2" t="n">
        <x:v>100423</x:v>
      </x:c>
      <x:c r="B429" s="10" t="n">
        <x:v>45251</x:v>
      </x:c>
      <x:c r="C429" s="2" t="str">
        <x:v>Argentina</x:v>
      </x:c>
      <x:c r="D429" s="2" t="str">
        <x:v>Moda Feminina</x:v>
      </x:c>
      <x:c r="E429" s="11" t="n">
        <x:v>32</x:v>
      </x:c>
      <x:c r="F429" s="12" t="n">
        <x:v>65.46</x:v>
      </x:c>
      <x:c r="G429" s="12" t="n">
        <x:v>2094.72</x:v>
      </x:c>
      <x:c r="H429" s="13" t="n">
        <x:v>329</x:v>
      </x:c>
      <x:c r="I429" s="13" t="n">
        <x:f>YEAR(B429)</x:f>
        <x:v>2023</x:v>
      </x:c>
      <x:c r="J429" s="13" t="n">
        <x:f>MONTH(B429)</x:f>
        <x:v>11</x:v>
      </x:c>
      <x:c r="K429" s="14" t="n">
        <x:f>ROUND(E429*F429-G429,10)</x:f>
        <x:v>0</x:v>
      </x:c>
      <x:c r="L429" s="2"/>
      <x:c r="M429" s="2"/>
      <x:c r="N429" s="2"/>
      <x:c r="O429" s="2"/>
      <x:c r="P429" s="2"/>
      <x:c r="Q429" s="2"/>
      <x:c r="R429" s="2"/>
    </x:row>
    <x:row r="430" ht="22" customHeight="1">
      <x:c r="A430" s="2" t="n">
        <x:v>100424</x:v>
      </x:c>
      <x:c r="B430" s="10" t="n">
        <x:v>45584</x:v>
      </x:c>
      <x:c r="C430" s="2" t="str">
        <x:v>Peru</x:v>
      </x:c>
      <x:c r="D430" s="2" t="str">
        <x:v>Moda Feminina</x:v>
      </x:c>
      <x:c r="E430" s="11" t="n">
        <x:v>36</x:v>
      </x:c>
      <x:c r="F430" s="12" t="n">
        <x:v>99.71</x:v>
      </x:c>
      <x:c r="G430" s="12" t="n">
        <x:v>3589.56</x:v>
      </x:c>
      <x:c r="H430" s="13" t="n">
        <x:v>270</x:v>
      </x:c>
      <x:c r="I430" s="13" t="n">
        <x:f>YEAR(B430)</x:f>
        <x:v>2024</x:v>
      </x:c>
      <x:c r="J430" s="13" t="n">
        <x:f>MONTH(B430)</x:f>
        <x:v>10</x:v>
      </x:c>
      <x:c r="K430" s="14" t="n">
        <x:f>ROUND(E430*F430-G430,10)</x:f>
        <x:v>0</x:v>
      </x:c>
      <x:c r="L430" s="2"/>
      <x:c r="M430" s="2"/>
      <x:c r="N430" s="2"/>
      <x:c r="O430" s="2"/>
      <x:c r="P430" s="2"/>
      <x:c r="Q430" s="2"/>
      <x:c r="R430" s="2"/>
    </x:row>
    <x:row r="431" ht="22" customHeight="1">
      <x:c r="A431" s="2" t="n">
        <x:v>100425</x:v>
      </x:c>
      <x:c r="B431" s="10" t="n">
        <x:v>44939</x:v>
      </x:c>
      <x:c r="C431" s="2" t="str">
        <x:v>Brasil</x:v>
      </x:c>
      <x:c r="D431" s="2" t="str">
        <x:v>Moda Masculina</x:v>
      </x:c>
      <x:c r="E431" s="11" t="n">
        <x:v>37</x:v>
      </x:c>
      <x:c r="F431" s="12" t="n">
        <x:v>172.51</x:v>
      </x:c>
      <x:c r="G431" s="12" t="n">
        <x:v>6382.87</x:v>
      </x:c>
      <x:c r="H431" s="13" t="n">
        <x:v>122</x:v>
      </x:c>
      <x:c r="I431" s="13" t="n">
        <x:f>YEAR(B431)</x:f>
        <x:v>2023</x:v>
      </x:c>
      <x:c r="J431" s="13" t="n">
        <x:f>MONTH(B431)</x:f>
        <x:v>1</x:v>
      </x:c>
      <x:c r="K431" s="14" t="n">
        <x:f>ROUND(E431*F431-G431,10)</x:f>
        <x:v>0</x:v>
      </x:c>
      <x:c r="L431" s="2"/>
      <x:c r="M431" s="2"/>
      <x:c r="N431" s="2"/>
      <x:c r="O431" s="2"/>
      <x:c r="P431" s="2"/>
      <x:c r="Q431" s="2"/>
      <x:c r="R431" s="2"/>
    </x:row>
    <x:row r="432" ht="22" customHeight="1">
      <x:c r="A432" s="2" t="n">
        <x:v>100426</x:v>
      </x:c>
      <x:c r="B432" s="10" t="n">
        <x:v>45513</x:v>
      </x:c>
      <x:c r="C432" s="2" t="str">
        <x:v>Colômbia</x:v>
      </x:c>
      <x:c r="D432" s="2" t="str">
        <x:v>Moda Masculina</x:v>
      </x:c>
      <x:c r="E432" s="11" t="n">
        <x:v>26</x:v>
      </x:c>
      <x:c r="F432" s="12" t="n">
        <x:v>57.08</x:v>
      </x:c>
      <x:c r="G432" s="12" t="n">
        <x:v>1484.08</x:v>
      </x:c>
      <x:c r="H432" s="13" t="n">
        <x:v>283</x:v>
      </x:c>
      <x:c r="I432" s="13" t="n">
        <x:f>YEAR(B432)</x:f>
        <x:v>2024</x:v>
      </x:c>
      <x:c r="J432" s="13" t="n">
        <x:f>MONTH(B432)</x:f>
        <x:v>8</x:v>
      </x:c>
      <x:c r="K432" s="14" t="n">
        <x:f>ROUND(E432*F432-G432,10)</x:f>
        <x:v>0</x:v>
      </x:c>
      <x:c r="L432" s="2"/>
      <x:c r="M432" s="2"/>
      <x:c r="N432" s="2"/>
      <x:c r="O432" s="2"/>
      <x:c r="P432" s="2"/>
      <x:c r="Q432" s="2"/>
      <x:c r="R432" s="2"/>
    </x:row>
    <x:row r="433" ht="22" customHeight="1">
      <x:c r="A433" s="2" t="n">
        <x:v>100427</x:v>
      </x:c>
      <x:c r="B433" s="10" t="n">
        <x:v>45221</x:v>
      </x:c>
      <x:c r="C433" s="2" t="str">
        <x:v>Argentina</x:v>
      </x:c>
      <x:c r="D433" s="2" t="str">
        <x:v>Moda Infantil</x:v>
      </x:c>
      <x:c r="E433" s="11" t="n">
        <x:v>22</x:v>
      </x:c>
      <x:c r="F433" s="12" t="n">
        <x:v>191.38</x:v>
      </x:c>
      <x:c r="G433" s="12" t="n">
        <x:v>4210.36</x:v>
      </x:c>
      <x:c r="H433" s="13" t="n">
        <x:v>309</x:v>
      </x:c>
      <x:c r="I433" s="13" t="n">
        <x:f>YEAR(B433)</x:f>
        <x:v>2023</x:v>
      </x:c>
      <x:c r="J433" s="13" t="n">
        <x:f>MONTH(B433)</x:f>
        <x:v>10</x:v>
      </x:c>
      <x:c r="K433" s="14" t="n">
        <x:f>ROUND(E433*F433-G433,10)</x:f>
        <x:v>0</x:v>
      </x:c>
      <x:c r="L433" s="2"/>
      <x:c r="M433" s="2"/>
      <x:c r="N433" s="2"/>
      <x:c r="O433" s="2"/>
      <x:c r="P433" s="2"/>
      <x:c r="Q433" s="2"/>
      <x:c r="R433" s="2"/>
    </x:row>
    <x:row r="434" ht="22" customHeight="1">
      <x:c r="A434" s="2" t="n">
        <x:v>100428</x:v>
      </x:c>
      <x:c r="B434" s="10" t="n">
        <x:v>45073</x:v>
      </x:c>
      <x:c r="C434" s="2" t="str">
        <x:v>Peru</x:v>
      </x:c>
      <x:c r="D434" s="2" t="str">
        <x:v>Moda Feminina</x:v>
      </x:c>
      <x:c r="E434" s="11" t="n">
        <x:v>4</x:v>
      </x:c>
      <x:c r="F434" s="12" t="n">
        <x:v>81.54</x:v>
      </x:c>
      <x:c r="G434" s="12" t="n">
        <x:v>326.16</x:v>
      </x:c>
      <x:c r="H434" s="13" t="n">
        <x:v>162</x:v>
      </x:c>
      <x:c r="I434" s="13" t="n">
        <x:f>YEAR(B434)</x:f>
        <x:v>2023</x:v>
      </x:c>
      <x:c r="J434" s="13" t="n">
        <x:f>MONTH(B434)</x:f>
        <x:v>5</x:v>
      </x:c>
      <x:c r="K434" s="14" t="n">
        <x:f>ROUND(E434*F434-G434,10)</x:f>
        <x:v>0</x:v>
      </x:c>
      <x:c r="L434" s="2"/>
      <x:c r="M434" s="2"/>
      <x:c r="N434" s="2"/>
      <x:c r="O434" s="2"/>
      <x:c r="P434" s="2"/>
      <x:c r="Q434" s="2"/>
      <x:c r="R434" s="2"/>
    </x:row>
    <x:row r="435" ht="22" customHeight="1">
      <x:c r="A435" s="2" t="n">
        <x:v>100429</x:v>
      </x:c>
      <x:c r="B435" s="10" t="n">
        <x:v>45348</x:v>
      </x:c>
      <x:c r="C435" s="2" t="str">
        <x:v>Peru</x:v>
      </x:c>
      <x:c r="D435" s="2" t="str">
        <x:v>Acessórios</x:v>
      </x:c>
      <x:c r="E435" s="11" t="n">
        <x:v>31</x:v>
      </x:c>
      <x:c r="F435" s="12" t="n">
        <x:v>197.44</x:v>
      </x:c>
      <x:c r="G435" s="12" t="n">
        <x:v>6120.64</x:v>
      </x:c>
      <x:c r="H435" s="13" t="n">
        <x:v>95</x:v>
      </x:c>
      <x:c r="I435" s="13" t="n">
        <x:f>YEAR(B435)</x:f>
        <x:v>2024</x:v>
      </x:c>
      <x:c r="J435" s="13" t="n">
        <x:f>MONTH(B435)</x:f>
        <x:v>2</x:v>
      </x:c>
      <x:c r="K435" s="14" t="n">
        <x:f>ROUND(E435*F435-G435,10)</x:f>
        <x:v>0</x:v>
      </x:c>
      <x:c r="L435" s="2"/>
      <x:c r="M435" s="2"/>
      <x:c r="N435" s="2"/>
      <x:c r="O435" s="2"/>
      <x:c r="P435" s="2"/>
      <x:c r="Q435" s="2"/>
      <x:c r="R435" s="2"/>
    </x:row>
    <x:row r="436" ht="22" customHeight="1">
      <x:c r="A436" s="2" t="n">
        <x:v>100430</x:v>
      </x:c>
      <x:c r="B436" s="10" t="n">
        <x:v>45641</x:v>
      </x:c>
      <x:c r="C436" s="2" t="str">
        <x:v>Chile</x:v>
      </x:c>
      <x:c r="D436" s="2" t="str">
        <x:v>Acessórios</x:v>
      </x:c>
      <x:c r="E436" s="11" t="n">
        <x:v>18</x:v>
      </x:c>
      <x:c r="F436" s="12" t="n">
        <x:v>170.95</x:v>
      </x:c>
      <x:c r="G436" s="12" t="n">
        <x:v>3077.1</x:v>
      </x:c>
      <x:c r="H436" s="13" t="n">
        <x:v>323</x:v>
      </x:c>
      <x:c r="I436" s="13" t="n">
        <x:f>YEAR(B436)</x:f>
        <x:v>2024</x:v>
      </x:c>
      <x:c r="J436" s="13" t="n">
        <x:f>MONTH(B436)</x:f>
        <x:v>12</x:v>
      </x:c>
      <x:c r="K436" s="14" t="n">
        <x:f>ROUND(E436*F436-G436,10)</x:f>
        <x:v>0</x:v>
      </x:c>
      <x:c r="L436" s="2"/>
      <x:c r="M436" s="2"/>
      <x:c r="N436" s="2"/>
      <x:c r="O436" s="2"/>
      <x:c r="P436" s="2"/>
      <x:c r="Q436" s="2"/>
      <x:c r="R436" s="2"/>
    </x:row>
    <x:row r="437" ht="22" customHeight="1">
      <x:c r="A437" s="2" t="n">
        <x:v>100431</x:v>
      </x:c>
      <x:c r="B437" s="10" t="n">
        <x:v>45463</x:v>
      </x:c>
      <x:c r="C437" s="2" t="str">
        <x:v>Colômbia</x:v>
      </x:c>
      <x:c r="D437" s="2" t="str">
        <x:v>Moda Feminina</x:v>
      </x:c>
      <x:c r="E437" s="11" t="n">
        <x:v>38</x:v>
      </x:c>
      <x:c r="F437" s="12" t="n">
        <x:v>165.54</x:v>
      </x:c>
      <x:c r="G437" s="12" t="n">
        <x:v>6290.52</x:v>
      </x:c>
      <x:c r="H437" s="13" t="n">
        <x:v>92</x:v>
      </x:c>
      <x:c r="I437" s="13" t="n">
        <x:f>YEAR(B437)</x:f>
        <x:v>2024</x:v>
      </x:c>
      <x:c r="J437" s="13" t="n">
        <x:f>MONTH(B437)</x:f>
        <x:v>6</x:v>
      </x:c>
      <x:c r="K437" s="14" t="n">
        <x:f>ROUND(E437*F437-G437,10)</x:f>
        <x:v>0</x:v>
      </x:c>
      <x:c r="L437" s="2"/>
      <x:c r="M437" s="2"/>
      <x:c r="N437" s="2"/>
      <x:c r="O437" s="2"/>
      <x:c r="P437" s="2"/>
      <x:c r="Q437" s="2"/>
      <x:c r="R437" s="2"/>
    </x:row>
    <x:row r="438" ht="22" customHeight="1">
      <x:c r="A438" s="2" t="n">
        <x:v>100432</x:v>
      </x:c>
      <x:c r="B438" s="10" t="n">
        <x:v>45128</x:v>
      </x:c>
      <x:c r="C438" s="2" t="str">
        <x:v>México</x:v>
      </x:c>
      <x:c r="D438" s="2" t="str">
        <x:v>Moda Feminina</x:v>
      </x:c>
      <x:c r="E438" s="11" t="n">
        <x:v>24</x:v>
      </x:c>
      <x:c r="F438" s="12" t="n">
        <x:v>77.22</x:v>
      </x:c>
      <x:c r="G438" s="12" t="n">
        <x:v>1853.28</x:v>
      </x:c>
      <x:c r="H438" s="13" t="n">
        <x:v>257</x:v>
      </x:c>
      <x:c r="I438" s="13" t="n">
        <x:f>YEAR(B438)</x:f>
        <x:v>2023</x:v>
      </x:c>
      <x:c r="J438" s="13" t="n">
        <x:f>MONTH(B438)</x:f>
        <x:v>7</x:v>
      </x:c>
      <x:c r="K438" s="14" t="n">
        <x:f>ROUND(E438*F438-G438,10)</x:f>
        <x:v>0</x:v>
      </x:c>
      <x:c r="L438" s="2"/>
      <x:c r="M438" s="2"/>
      <x:c r="N438" s="2"/>
      <x:c r="O438" s="2"/>
      <x:c r="P438" s="2"/>
      <x:c r="Q438" s="2"/>
      <x:c r="R438" s="2"/>
    </x:row>
    <x:row r="439" ht="22" customHeight="1">
      <x:c r="A439" s="2" t="n">
        <x:v>100433</x:v>
      </x:c>
      <x:c r="B439" s="10" t="n">
        <x:v>45018</x:v>
      </x:c>
      <x:c r="C439" s="2" t="str">
        <x:v>Brasil</x:v>
      </x:c>
      <x:c r="D439" s="2" t="str">
        <x:v>Moda Feminina</x:v>
      </x:c>
      <x:c r="E439" s="11" t="n">
        <x:v>23</x:v>
      </x:c>
      <x:c r="F439" s="12" t="n">
        <x:v>21.58</x:v>
      </x:c>
      <x:c r="G439" s="12" t="n">
        <x:v>496.34</x:v>
      </x:c>
      <x:c r="H439" s="13" t="n">
        <x:v>466</x:v>
      </x:c>
      <x:c r="I439" s="13" t="n">
        <x:f>YEAR(B439)</x:f>
        <x:v>2023</x:v>
      </x:c>
      <x:c r="J439" s="13" t="n">
        <x:f>MONTH(B439)</x:f>
        <x:v>4</x:v>
      </x:c>
      <x:c r="K439" s="14" t="n">
        <x:f>ROUND(E439*F439-G439,10)</x:f>
        <x:v>0</x:v>
      </x:c>
      <x:c r="L439" s="2"/>
      <x:c r="M439" s="2"/>
      <x:c r="N439" s="2"/>
      <x:c r="O439" s="2"/>
      <x:c r="P439" s="2"/>
      <x:c r="Q439" s="2"/>
      <x:c r="R439" s="2"/>
    </x:row>
    <x:row r="440" ht="22" customHeight="1">
      <x:c r="A440" s="2" t="n">
        <x:v>100434</x:v>
      </x:c>
      <x:c r="B440" s="10" t="n">
        <x:v>45156</x:v>
      </x:c>
      <x:c r="C440" s="2" t="str">
        <x:v>México</x:v>
      </x:c>
      <x:c r="D440" s="2" t="str">
        <x:v>Moda Masculina</x:v>
      </x:c>
      <x:c r="E440" s="11" t="n">
        <x:v>22</x:v>
      </x:c>
      <x:c r="F440" s="12" t="n">
        <x:v>88.78</x:v>
      </x:c>
      <x:c r="G440" s="12" t="n">
        <x:v>1953.16</x:v>
      </x:c>
      <x:c r="H440" s="13" t="n">
        <x:v>398</x:v>
      </x:c>
      <x:c r="I440" s="13" t="n">
        <x:f>YEAR(B440)</x:f>
        <x:v>2023</x:v>
      </x:c>
      <x:c r="J440" s="13" t="n">
        <x:f>MONTH(B440)</x:f>
        <x:v>8</x:v>
      </x:c>
      <x:c r="K440" s="14" t="n">
        <x:f>ROUND(E440*F440-G440,10)</x:f>
        <x:v>0</x:v>
      </x:c>
      <x:c r="L440" s="2"/>
      <x:c r="M440" s="2"/>
      <x:c r="N440" s="2"/>
      <x:c r="O440" s="2"/>
      <x:c r="P440" s="2"/>
      <x:c r="Q440" s="2"/>
      <x:c r="R440" s="2"/>
    </x:row>
    <x:row r="441" ht="22" customHeight="1">
      <x:c r="A441" s="2" t="n">
        <x:v>100435</x:v>
      </x:c>
      <x:c r="B441" s="10" t="n">
        <x:v>45268</x:v>
      </x:c>
      <x:c r="C441" s="2" t="str">
        <x:v>Colômbia</x:v>
      </x:c>
      <x:c r="D441" s="2" t="str">
        <x:v>Moda Masculina</x:v>
      </x:c>
      <x:c r="E441" s="11" t="n">
        <x:v>2</x:v>
      </x:c>
      <x:c r="F441" s="12" t="n">
        <x:v>74.33</x:v>
      </x:c>
      <x:c r="G441" s="12" t="n">
        <x:v>148.66</x:v>
      </x:c>
      <x:c r="H441" s="13" t="n">
        <x:v>152</x:v>
      </x:c>
      <x:c r="I441" s="13" t="n">
        <x:f>YEAR(B441)</x:f>
        <x:v>2023</x:v>
      </x:c>
      <x:c r="J441" s="13" t="n">
        <x:f>MONTH(B441)</x:f>
        <x:v>12</x:v>
      </x:c>
      <x:c r="K441" s="14" t="n">
        <x:f>ROUND(E441*F441-G441,10)</x:f>
        <x:v>0</x:v>
      </x:c>
      <x:c r="L441" s="2"/>
      <x:c r="M441" s="2"/>
      <x:c r="N441" s="2"/>
      <x:c r="O441" s="2"/>
      <x:c r="P441" s="2"/>
      <x:c r="Q441" s="2"/>
      <x:c r="R441" s="2"/>
    </x:row>
    <x:row r="442" ht="22" customHeight="1">
      <x:c r="A442" s="2" t="n">
        <x:v>100436</x:v>
      </x:c>
      <x:c r="B442" s="10" t="n">
        <x:v>45395</x:v>
      </x:c>
      <x:c r="C442" s="2" t="str">
        <x:v>Colômbia</x:v>
      </x:c>
      <x:c r="D442" s="2" t="str">
        <x:v>Moda Masculina</x:v>
      </x:c>
      <x:c r="E442" s="11" t="n">
        <x:v>31</x:v>
      </x:c>
      <x:c r="F442" s="12" t="n">
        <x:v>26.73</x:v>
      </x:c>
      <x:c r="G442" s="12" t="n">
        <x:v>828.63</x:v>
      </x:c>
      <x:c r="H442" s="13" t="n">
        <x:v>173</x:v>
      </x:c>
      <x:c r="I442" s="13" t="n">
        <x:f>YEAR(B442)</x:f>
        <x:v>2024</x:v>
      </x:c>
      <x:c r="J442" s="13" t="n">
        <x:f>MONTH(B442)</x:f>
        <x:v>4</x:v>
      </x:c>
      <x:c r="K442" s="14" t="n">
        <x:f>ROUND(E442*F442-G442,10)</x:f>
        <x:v>0</x:v>
      </x:c>
      <x:c r="L442" s="2"/>
      <x:c r="M442" s="2"/>
      <x:c r="N442" s="2"/>
      <x:c r="O442" s="2"/>
      <x:c r="P442" s="2"/>
      <x:c r="Q442" s="2"/>
      <x:c r="R442" s="2"/>
    </x:row>
    <x:row r="443" ht="22" customHeight="1">
      <x:c r="A443" s="2" t="n">
        <x:v>100437</x:v>
      </x:c>
      <x:c r="B443" s="10" t="n">
        <x:v>45591</x:v>
      </x:c>
      <x:c r="C443" s="2" t="str">
        <x:v>Colômbia</x:v>
      </x:c>
      <x:c r="D443" s="2" t="str">
        <x:v>Calçados</x:v>
      </x:c>
      <x:c r="E443" s="11" t="n">
        <x:v>11</x:v>
      </x:c>
      <x:c r="F443" s="12" t="n">
        <x:v>110.97</x:v>
      </x:c>
      <x:c r="G443" s="12" t="n">
        <x:v>1220.67</x:v>
      </x:c>
      <x:c r="H443" s="13" t="n">
        <x:v>59</x:v>
      </x:c>
      <x:c r="I443" s="13" t="n">
        <x:f>YEAR(B443)</x:f>
        <x:v>2024</x:v>
      </x:c>
      <x:c r="J443" s="13" t="n">
        <x:f>MONTH(B443)</x:f>
        <x:v>10</x:v>
      </x:c>
      <x:c r="K443" s="14" t="n">
        <x:f>ROUND(E443*F443-G443,10)</x:f>
        <x:v>0</x:v>
      </x:c>
      <x:c r="L443" s="2"/>
      <x:c r="M443" s="2"/>
      <x:c r="N443" s="2"/>
      <x:c r="O443" s="2"/>
      <x:c r="P443" s="2"/>
      <x:c r="Q443" s="2"/>
      <x:c r="R443" s="2"/>
    </x:row>
    <x:row r="444" ht="22" customHeight="1">
      <x:c r="A444" s="2" t="n">
        <x:v>100438</x:v>
      </x:c>
      <x:c r="B444" s="10" t="n">
        <x:v>45550</x:v>
      </x:c>
      <x:c r="C444" s="2" t="str">
        <x:v>México</x:v>
      </x:c>
      <x:c r="D444" s="2" t="str">
        <x:v>Acessórios</x:v>
      </x:c>
      <x:c r="E444" s="11" t="n">
        <x:v>28</x:v>
      </x:c>
      <x:c r="F444" s="12" t="n">
        <x:v>92.55</x:v>
      </x:c>
      <x:c r="G444" s="12" t="n">
        <x:v>2591.4</x:v>
      </x:c>
      <x:c r="H444" s="13" t="n">
        <x:v>378</x:v>
      </x:c>
      <x:c r="I444" s="13" t="n">
        <x:f>YEAR(B444)</x:f>
        <x:v>2024</x:v>
      </x:c>
      <x:c r="J444" s="13" t="n">
        <x:f>MONTH(B444)</x:f>
        <x:v>9</x:v>
      </x:c>
      <x:c r="K444" s="14" t="n">
        <x:f>ROUND(E444*F444-G444,10)</x:f>
        <x:v>0</x:v>
      </x:c>
      <x:c r="L444" s="2"/>
      <x:c r="M444" s="2"/>
      <x:c r="N444" s="2"/>
      <x:c r="O444" s="2"/>
      <x:c r="P444" s="2"/>
      <x:c r="Q444" s="2"/>
      <x:c r="R444" s="2"/>
    </x:row>
    <x:row r="445" ht="22" customHeight="1">
      <x:c r="A445" s="2" t="n">
        <x:v>100439</x:v>
      </x:c>
      <x:c r="B445" s="10" t="n">
        <x:v>45467</x:v>
      </x:c>
      <x:c r="C445" s="2" t="str">
        <x:v>Colômbia</x:v>
      </x:c>
      <x:c r="D445" s="2" t="str">
        <x:v>Acessórios</x:v>
      </x:c>
      <x:c r="E445" s="11" t="n">
        <x:v>46</x:v>
      </x:c>
      <x:c r="F445" s="12" t="n">
        <x:v>134.22</x:v>
      </x:c>
      <x:c r="G445" s="12" t="n">
        <x:v>6174.12</x:v>
      </x:c>
      <x:c r="H445" s="13" t="n">
        <x:v>236</x:v>
      </x:c>
      <x:c r="I445" s="13" t="n">
        <x:f>YEAR(B445)</x:f>
        <x:v>2024</x:v>
      </x:c>
      <x:c r="J445" s="13" t="n">
        <x:f>MONTH(B445)</x:f>
        <x:v>6</x:v>
      </x:c>
      <x:c r="K445" s="14" t="n">
        <x:f>ROUND(E445*F445-G445,10)</x:f>
        <x:v>0</x:v>
      </x:c>
      <x:c r="L445" s="2"/>
      <x:c r="M445" s="2"/>
      <x:c r="N445" s="2"/>
      <x:c r="O445" s="2"/>
      <x:c r="P445" s="2"/>
      <x:c r="Q445" s="2"/>
      <x:c r="R445" s="2"/>
    </x:row>
    <x:row r="446" ht="22" customHeight="1">
      <x:c r="A446" s="2" t="n">
        <x:v>100440</x:v>
      </x:c>
      <x:c r="B446" s="10" t="n">
        <x:v>45094</x:v>
      </x:c>
      <x:c r="C446" s="2" t="str">
        <x:v>Peru</x:v>
      </x:c>
      <x:c r="D446" s="2" t="str">
        <x:v>Moda Infantil</x:v>
      </x:c>
      <x:c r="E446" s="11" t="n">
        <x:v>32</x:v>
      </x:c>
      <x:c r="F446" s="12" t="n">
        <x:v>131.81</x:v>
      </x:c>
      <x:c r="G446" s="12" t="n">
        <x:v>4217.92</x:v>
      </x:c>
      <x:c r="H446" s="13" t="n">
        <x:v>80</x:v>
      </x:c>
      <x:c r="I446" s="13" t="n">
        <x:f>YEAR(B446)</x:f>
        <x:v>2023</x:v>
      </x:c>
      <x:c r="J446" s="13" t="n">
        <x:f>MONTH(B446)</x:f>
        <x:v>6</x:v>
      </x:c>
      <x:c r="K446" s="14" t="n">
        <x:f>ROUND(E446*F446-G446,10)</x:f>
        <x:v>0</x:v>
      </x:c>
      <x:c r="L446" s="2"/>
      <x:c r="M446" s="2"/>
      <x:c r="N446" s="2"/>
      <x:c r="O446" s="2"/>
      <x:c r="P446" s="2"/>
      <x:c r="Q446" s="2"/>
      <x:c r="R446" s="2"/>
    </x:row>
    <x:row r="447" ht="22" customHeight="1">
      <x:c r="A447" s="2" t="n">
        <x:v>100441</x:v>
      </x:c>
      <x:c r="B447" s="10" t="n">
        <x:v>45553</x:v>
      </x:c>
      <x:c r="C447" s="2" t="str">
        <x:v>México</x:v>
      </x:c>
      <x:c r="D447" s="2" t="str">
        <x:v>Moda Masculina</x:v>
      </x:c>
      <x:c r="E447" s="11" t="n">
        <x:v>5</x:v>
      </x:c>
      <x:c r="F447" s="12" t="n">
        <x:v>41.73</x:v>
      </x:c>
      <x:c r="G447" s="12" t="n">
        <x:v>208.65</x:v>
      </x:c>
      <x:c r="H447" s="13" t="n">
        <x:v>205</x:v>
      </x:c>
      <x:c r="I447" s="13" t="n">
        <x:f>YEAR(B447)</x:f>
        <x:v>2024</x:v>
      </x:c>
      <x:c r="J447" s="13" t="n">
        <x:f>MONTH(B447)</x:f>
        <x:v>9</x:v>
      </x:c>
      <x:c r="K447" s="14" t="n">
        <x:f>ROUND(E447*F447-G447,10)</x:f>
        <x:v>0</x:v>
      </x:c>
      <x:c r="L447" s="2"/>
      <x:c r="M447" s="2"/>
      <x:c r="N447" s="2"/>
      <x:c r="O447" s="2"/>
      <x:c r="P447" s="2"/>
      <x:c r="Q447" s="2"/>
      <x:c r="R447" s="2"/>
    </x:row>
    <x:row r="448" ht="22" customHeight="1">
      <x:c r="A448" s="2" t="n">
        <x:v>100442</x:v>
      </x:c>
      <x:c r="B448" s="10" t="n">
        <x:v>45303</x:v>
      </x:c>
      <x:c r="C448" s="2" t="str">
        <x:v>Colômbia</x:v>
      </x:c>
      <x:c r="D448" s="2" t="str">
        <x:v>Calçados</x:v>
      </x:c>
      <x:c r="E448" s="11" t="n">
        <x:v>38</x:v>
      </x:c>
      <x:c r="F448" s="12" t="n">
        <x:v>195.85</x:v>
      </x:c>
      <x:c r="G448" s="12" t="n">
        <x:v>7442.3</x:v>
      </x:c>
      <x:c r="H448" s="13" t="n">
        <x:v>109</x:v>
      </x:c>
      <x:c r="I448" s="13" t="n">
        <x:f>YEAR(B448)</x:f>
        <x:v>2024</x:v>
      </x:c>
      <x:c r="J448" s="13" t="n">
        <x:f>MONTH(B448)</x:f>
        <x:v>1</x:v>
      </x:c>
      <x:c r="K448" s="14" t="n">
        <x:f>ROUND(E448*F448-G448,10)</x:f>
        <x:v>0</x:v>
      </x:c>
      <x:c r="L448" s="2"/>
      <x:c r="M448" s="2"/>
      <x:c r="N448" s="2"/>
      <x:c r="O448" s="2"/>
      <x:c r="P448" s="2"/>
      <x:c r="Q448" s="2"/>
      <x:c r="R448" s="2"/>
    </x:row>
    <x:row r="449" ht="22" customHeight="1">
      <x:c r="A449" s="2" t="n">
        <x:v>100443</x:v>
      </x:c>
      <x:c r="B449" s="10" t="n">
        <x:v>45070</x:v>
      </x:c>
      <x:c r="C449" s="2" t="str">
        <x:v>Peru</x:v>
      </x:c>
      <x:c r="D449" s="2" t="str">
        <x:v>Calçados</x:v>
      </x:c>
      <x:c r="E449" s="11" t="n">
        <x:v>10</x:v>
      </x:c>
      <x:c r="F449" s="12" t="n">
        <x:v>53.65</x:v>
      </x:c>
      <x:c r="G449" s="12" t="n">
        <x:v>536.5</x:v>
      </x:c>
      <x:c r="H449" s="13" t="n">
        <x:v>298</x:v>
      </x:c>
      <x:c r="I449" s="13" t="n">
        <x:f>YEAR(B449)</x:f>
        <x:v>2023</x:v>
      </x:c>
      <x:c r="J449" s="13" t="n">
        <x:f>MONTH(B449)</x:f>
        <x:v>5</x:v>
      </x:c>
      <x:c r="K449" s="14" t="n">
        <x:f>ROUND(E449*F449-G449,10)</x:f>
        <x:v>0</x:v>
      </x:c>
      <x:c r="L449" s="2"/>
      <x:c r="M449" s="2"/>
      <x:c r="N449" s="2"/>
      <x:c r="O449" s="2"/>
      <x:c r="P449" s="2"/>
      <x:c r="Q449" s="2"/>
      <x:c r="R449" s="2"/>
    </x:row>
    <x:row r="450" ht="22" customHeight="1">
      <x:c r="A450" s="2" t="n">
        <x:v>100444</x:v>
      </x:c>
      <x:c r="B450" s="10" t="n">
        <x:v>45158</x:v>
      </x:c>
      <x:c r="C450" s="2" t="str">
        <x:v>Chile</x:v>
      </x:c>
      <x:c r="D450" s="2" t="str">
        <x:v>Acessórios</x:v>
      </x:c>
      <x:c r="E450" s="11" t="n">
        <x:v>40</x:v>
      </x:c>
      <x:c r="F450" s="12" t="n">
        <x:v>100.15</x:v>
      </x:c>
      <x:c r="G450" s="12" t="n">
        <x:v>4006</x:v>
      </x:c>
      <x:c r="H450" s="13" t="n">
        <x:v>436</x:v>
      </x:c>
      <x:c r="I450" s="13" t="n">
        <x:f>YEAR(B450)</x:f>
        <x:v>2023</x:v>
      </x:c>
      <x:c r="J450" s="13" t="n">
        <x:f>MONTH(B450)</x:f>
        <x:v>8</x:v>
      </x:c>
      <x:c r="K450" s="14" t="n">
        <x:f>ROUND(E450*F450-G450,10)</x:f>
        <x:v>0</x:v>
      </x:c>
      <x:c r="L450" s="2"/>
      <x:c r="M450" s="2"/>
      <x:c r="N450" s="2"/>
      <x:c r="O450" s="2"/>
      <x:c r="P450" s="2"/>
      <x:c r="Q450" s="2"/>
      <x:c r="R450" s="2"/>
    </x:row>
    <x:row r="451" ht="22" customHeight="1">
      <x:c r="A451" s="2" t="n">
        <x:v>100445</x:v>
      </x:c>
      <x:c r="B451" s="10" t="n">
        <x:v>45619</x:v>
      </x:c>
      <x:c r="C451" s="2" t="str">
        <x:v>Colômbia</x:v>
      </x:c>
      <x:c r="D451" s="2" t="str">
        <x:v>Moda Masculina</x:v>
      </x:c>
      <x:c r="E451" s="11" t="n">
        <x:v>46</x:v>
      </x:c>
      <x:c r="F451" s="12" t="n">
        <x:v>107.86</x:v>
      </x:c>
      <x:c r="G451" s="12" t="n">
        <x:v>4961.56</x:v>
      </x:c>
      <x:c r="H451" s="13" t="n">
        <x:v>423</x:v>
      </x:c>
      <x:c r="I451" s="13" t="n">
        <x:f>YEAR(B451)</x:f>
        <x:v>2024</x:v>
      </x:c>
      <x:c r="J451" s="13" t="n">
        <x:f>MONTH(B451)</x:f>
        <x:v>11</x:v>
      </x:c>
      <x:c r="K451" s="14" t="n">
        <x:f>ROUND(E451*F451-G451,10)</x:f>
        <x:v>0</x:v>
      </x:c>
      <x:c r="L451" s="2"/>
      <x:c r="M451" s="2"/>
      <x:c r="N451" s="2"/>
      <x:c r="O451" s="2"/>
      <x:c r="P451" s="2"/>
      <x:c r="Q451" s="2"/>
      <x:c r="R451" s="2"/>
    </x:row>
    <x:row r="452" ht="22" customHeight="1">
      <x:c r="A452" s="2" t="n">
        <x:v>100446</x:v>
      </x:c>
      <x:c r="B452" s="10" t="n">
        <x:v>45296</x:v>
      </x:c>
      <x:c r="C452" s="2" t="str">
        <x:v>México</x:v>
      </x:c>
      <x:c r="D452" s="2" t="str">
        <x:v>Moda Infantil</x:v>
      </x:c>
      <x:c r="E452" s="11" t="n">
        <x:v>24</x:v>
      </x:c>
      <x:c r="F452" s="12" t="n">
        <x:v>166.35</x:v>
      </x:c>
      <x:c r="G452" s="12" t="n">
        <x:v>3992.4</x:v>
      </x:c>
      <x:c r="H452" s="13" t="n">
        <x:v>488</x:v>
      </x:c>
      <x:c r="I452" s="13" t="n">
        <x:f>YEAR(B452)</x:f>
        <x:v>2024</x:v>
      </x:c>
      <x:c r="J452" s="13" t="n">
        <x:f>MONTH(B452)</x:f>
        <x:v>1</x:v>
      </x:c>
      <x:c r="K452" s="14" t="n">
        <x:f>ROUND(E452*F452-G452,10)</x:f>
        <x:v>0</x:v>
      </x:c>
      <x:c r="L452" s="2"/>
      <x:c r="M452" s="2"/>
      <x:c r="N452" s="2"/>
      <x:c r="O452" s="2"/>
      <x:c r="P452" s="2"/>
      <x:c r="Q452" s="2"/>
      <x:c r="R452" s="2"/>
    </x:row>
    <x:row r="453" ht="22" customHeight="1">
      <x:c r="A453" s="2" t="n">
        <x:v>100447</x:v>
      </x:c>
      <x:c r="B453" s="10" t="n">
        <x:v>45051</x:v>
      </x:c>
      <x:c r="C453" s="2" t="str">
        <x:v>Argentina</x:v>
      </x:c>
      <x:c r="D453" s="2" t="str">
        <x:v>Moda Masculina</x:v>
      </x:c>
      <x:c r="E453" s="11" t="n">
        <x:v>35</x:v>
      </x:c>
      <x:c r="F453" s="12" t="n">
        <x:v>37.86</x:v>
      </x:c>
      <x:c r="G453" s="12" t="n">
        <x:v>1325.1</x:v>
      </x:c>
      <x:c r="H453" s="13" t="n">
        <x:v>319</x:v>
      </x:c>
      <x:c r="I453" s="13" t="n">
        <x:f>YEAR(B453)</x:f>
        <x:v>2023</x:v>
      </x:c>
      <x:c r="J453" s="13" t="n">
        <x:f>MONTH(B453)</x:f>
        <x:v>5</x:v>
      </x:c>
      <x:c r="K453" s="14" t="n">
        <x:f>ROUND(E453*F453-G453,10)</x:f>
        <x:v>0</x:v>
      </x:c>
      <x:c r="L453" s="2"/>
      <x:c r="M453" s="2"/>
      <x:c r="N453" s="2"/>
      <x:c r="O453" s="2"/>
      <x:c r="P453" s="2"/>
      <x:c r="Q453" s="2"/>
      <x:c r="R453" s="2"/>
    </x:row>
    <x:row r="454" ht="22" customHeight="1">
      <x:c r="A454" s="2" t="n">
        <x:v>100448</x:v>
      </x:c>
      <x:c r="B454" s="10" t="n">
        <x:v>44958</x:v>
      </x:c>
      <x:c r="C454" s="2" t="str">
        <x:v>Colômbia</x:v>
      </x:c>
      <x:c r="D454" s="2" t="str">
        <x:v>Moda Feminina</x:v>
      </x:c>
      <x:c r="E454" s="11" t="n">
        <x:v>44</x:v>
      </x:c>
      <x:c r="F454" s="12" t="n">
        <x:v>97.16</x:v>
      </x:c>
      <x:c r="G454" s="12" t="n">
        <x:v>4275.04</x:v>
      </x:c>
      <x:c r="H454" s="13" t="n">
        <x:v>491</x:v>
      </x:c>
      <x:c r="I454" s="13" t="n">
        <x:f>YEAR(B454)</x:f>
        <x:v>2023</x:v>
      </x:c>
      <x:c r="J454" s="13" t="n">
        <x:f>MONTH(B454)</x:f>
        <x:v>2</x:v>
      </x:c>
      <x:c r="K454" s="14" t="n">
        <x:f>ROUND(E454*F454-G454,10)</x:f>
        <x:v>0</x:v>
      </x:c>
      <x:c r="L454" s="2"/>
      <x:c r="M454" s="2"/>
      <x:c r="N454" s="2"/>
      <x:c r="O454" s="2"/>
      <x:c r="P454" s="2"/>
      <x:c r="Q454" s="2"/>
      <x:c r="R454" s="2"/>
    </x:row>
    <x:row r="455" ht="22" customHeight="1">
      <x:c r="A455" s="2" t="n">
        <x:v>100449</x:v>
      </x:c>
      <x:c r="B455" s="10" t="n">
        <x:v>45080</x:v>
      </x:c>
      <x:c r="C455" s="2" t="str">
        <x:v>Argentina</x:v>
      </x:c>
      <x:c r="D455" s="2" t="str">
        <x:v>Moda Masculina</x:v>
      </x:c>
      <x:c r="E455" s="11" t="n">
        <x:v>48</x:v>
      </x:c>
      <x:c r="F455" s="12" t="n">
        <x:v>133.13</x:v>
      </x:c>
      <x:c r="G455" s="12" t="n">
        <x:v>6390.24</x:v>
      </x:c>
      <x:c r="H455" s="13" t="n">
        <x:v>266</x:v>
      </x:c>
      <x:c r="I455" s="13" t="n">
        <x:f>YEAR(B455)</x:f>
        <x:v>2023</x:v>
      </x:c>
      <x:c r="J455" s="13" t="n">
        <x:f>MONTH(B455)</x:f>
        <x:v>6</x:v>
      </x:c>
      <x:c r="K455" s="14" t="n">
        <x:f>ROUND(E455*F455-G455,10)</x:f>
        <x:v>0</x:v>
      </x:c>
      <x:c r="L455" s="2"/>
      <x:c r="M455" s="2"/>
      <x:c r="N455" s="2"/>
      <x:c r="O455" s="2"/>
      <x:c r="P455" s="2"/>
      <x:c r="Q455" s="2"/>
      <x:c r="R455" s="2"/>
    </x:row>
    <x:row r="456" ht="22" customHeight="1">
      <x:c r="A456" s="2" t="n">
        <x:v>100450</x:v>
      </x:c>
      <x:c r="B456" s="10" t="n">
        <x:v>45060</x:v>
      </x:c>
      <x:c r="C456" s="2" t="str">
        <x:v>Peru</x:v>
      </x:c>
      <x:c r="D456" s="2" t="str">
        <x:v>Moda Feminina</x:v>
      </x:c>
      <x:c r="E456" s="11" t="n">
        <x:v>23</x:v>
      </x:c>
      <x:c r="F456" s="12" t="n">
        <x:v>58.73</x:v>
      </x:c>
      <x:c r="G456" s="12" t="n">
        <x:v>1350.79</x:v>
      </x:c>
      <x:c r="H456" s="13" t="n">
        <x:v>448</x:v>
      </x:c>
      <x:c r="I456" s="13" t="n">
        <x:f>YEAR(B456)</x:f>
        <x:v>2023</x:v>
      </x:c>
      <x:c r="J456" s="13" t="n">
        <x:f>MONTH(B456)</x:f>
        <x:v>5</x:v>
      </x:c>
      <x:c r="K456" s="14" t="n">
        <x:f>ROUND(E456*F456-G456,10)</x:f>
        <x:v>0</x:v>
      </x:c>
      <x:c r="L456" s="2"/>
      <x:c r="M456" s="2"/>
      <x:c r="N456" s="2"/>
      <x:c r="O456" s="2"/>
      <x:c r="P456" s="2"/>
      <x:c r="Q456" s="2"/>
      <x:c r="R456" s="2"/>
    </x:row>
    <x:row r="457" ht="22" customHeight="1">
      <x:c r="A457" s="2" t="n">
        <x:v>100451</x:v>
      </x:c>
      <x:c r="B457" s="10" t="n">
        <x:v>45124</x:v>
      </x:c>
      <x:c r="C457" s="2" t="str">
        <x:v>Chile</x:v>
      </x:c>
      <x:c r="D457" s="2" t="str">
        <x:v>Moda Feminina</x:v>
      </x:c>
      <x:c r="E457" s="11" t="n">
        <x:v>17</x:v>
      </x:c>
      <x:c r="F457" s="12" t="n">
        <x:v>132.94</x:v>
      </x:c>
      <x:c r="G457" s="12" t="n">
        <x:v>2259.98</x:v>
      </x:c>
      <x:c r="H457" s="13" t="n">
        <x:v>51</x:v>
      </x:c>
      <x:c r="I457" s="13" t="n">
        <x:f>YEAR(B457)</x:f>
        <x:v>2023</x:v>
      </x:c>
      <x:c r="J457" s="13" t="n">
        <x:f>MONTH(B457)</x:f>
        <x:v>7</x:v>
      </x:c>
      <x:c r="K457" s="14" t="n">
        <x:f>ROUND(E457*F457-G457,10)</x:f>
        <x:v>0</x:v>
      </x:c>
      <x:c r="L457" s="2"/>
      <x:c r="M457" s="2"/>
      <x:c r="N457" s="2"/>
      <x:c r="O457" s="2"/>
      <x:c r="P457" s="2"/>
      <x:c r="Q457" s="2"/>
      <x:c r="R457" s="2"/>
    </x:row>
    <x:row r="458" ht="22" customHeight="1">
      <x:c r="A458" s="2" t="n">
        <x:v>100452</x:v>
      </x:c>
      <x:c r="B458" s="10" t="n">
        <x:v>45429</x:v>
      </x:c>
      <x:c r="C458" s="2" t="str">
        <x:v>Brasil</x:v>
      </x:c>
      <x:c r="D458" s="2" t="str">
        <x:v>Moda Infantil</x:v>
      </x:c>
      <x:c r="E458" s="11" t="n">
        <x:v>1</x:v>
      </x:c>
      <x:c r="F458" s="12" t="n">
        <x:v>186.26</x:v>
      </x:c>
      <x:c r="G458" s="12" t="n">
        <x:v>186.26</x:v>
      </x:c>
      <x:c r="H458" s="13" t="n">
        <x:v>73</x:v>
      </x:c>
      <x:c r="I458" s="13" t="n">
        <x:f>YEAR(B458)</x:f>
        <x:v>2024</x:v>
      </x:c>
      <x:c r="J458" s="13" t="n">
        <x:f>MONTH(B458)</x:f>
        <x:v>5</x:v>
      </x:c>
      <x:c r="K458" s="14" t="n">
        <x:f>ROUND(E458*F458-G458,10)</x:f>
        <x:v>0</x:v>
      </x:c>
      <x:c r="L458" s="2"/>
      <x:c r="M458" s="2"/>
      <x:c r="N458" s="2"/>
      <x:c r="O458" s="2"/>
      <x:c r="P458" s="2"/>
      <x:c r="Q458" s="2"/>
      <x:c r="R458" s="2"/>
    </x:row>
    <x:row r="459" ht="22" customHeight="1">
      <x:c r="A459" s="2" t="n">
        <x:v>100453</x:v>
      </x:c>
      <x:c r="B459" s="10" t="n">
        <x:v>45288</x:v>
      </x:c>
      <x:c r="C459" s="2" t="str">
        <x:v>Chile</x:v>
      </x:c>
      <x:c r="D459" s="2" t="str">
        <x:v>Acessórios</x:v>
      </x:c>
      <x:c r="E459" s="11" t="n">
        <x:v>31</x:v>
      </x:c>
      <x:c r="F459" s="12" t="n">
        <x:v>199.55</x:v>
      </x:c>
      <x:c r="G459" s="12" t="n">
        <x:v>6186.05</x:v>
      </x:c>
      <x:c r="H459" s="13" t="n">
        <x:v>255</x:v>
      </x:c>
      <x:c r="I459" s="13" t="n">
        <x:f>YEAR(B459)</x:f>
        <x:v>2023</x:v>
      </x:c>
      <x:c r="J459" s="13" t="n">
        <x:f>MONTH(B459)</x:f>
        <x:v>12</x:v>
      </x:c>
      <x:c r="K459" s="14" t="n">
        <x:f>ROUND(E459*F459-G459,10)</x:f>
        <x:v>0</x:v>
      </x:c>
      <x:c r="L459" s="2"/>
      <x:c r="M459" s="2"/>
      <x:c r="N459" s="2"/>
      <x:c r="O459" s="2"/>
      <x:c r="P459" s="2"/>
      <x:c r="Q459" s="2"/>
      <x:c r="R459" s="2"/>
    </x:row>
    <x:row r="460" ht="22" customHeight="1">
      <x:c r="A460" s="2" t="n">
        <x:v>100454</x:v>
      </x:c>
      <x:c r="B460" s="10" t="n">
        <x:v>45606</x:v>
      </x:c>
      <x:c r="C460" s="2" t="str">
        <x:v>Colômbia</x:v>
      </x:c>
      <x:c r="D460" s="2" t="str">
        <x:v>Moda Masculina</x:v>
      </x:c>
      <x:c r="E460" s="11" t="n">
        <x:v>31</x:v>
      </x:c>
      <x:c r="F460" s="12" t="n">
        <x:v>25.84</x:v>
      </x:c>
      <x:c r="G460" s="12" t="n">
        <x:v>801.04</x:v>
      </x:c>
      <x:c r="H460" s="13" t="n">
        <x:v>369</x:v>
      </x:c>
      <x:c r="I460" s="13" t="n">
        <x:f>YEAR(B460)</x:f>
        <x:v>2024</x:v>
      </x:c>
      <x:c r="J460" s="13" t="n">
        <x:f>MONTH(B460)</x:f>
        <x:v>11</x:v>
      </x:c>
      <x:c r="K460" s="14" t="n">
        <x:f>ROUND(E460*F460-G460,10)</x:f>
        <x:v>0</x:v>
      </x:c>
      <x:c r="L460" s="2"/>
      <x:c r="M460" s="2"/>
      <x:c r="N460" s="2"/>
      <x:c r="O460" s="2"/>
      <x:c r="P460" s="2"/>
      <x:c r="Q460" s="2"/>
      <x:c r="R460" s="2"/>
    </x:row>
    <x:row r="461" ht="22" customHeight="1">
      <x:c r="A461" s="2" t="n">
        <x:v>100455</x:v>
      </x:c>
      <x:c r="B461" s="10" t="n">
        <x:v>45616</x:v>
      </x:c>
      <x:c r="C461" s="2" t="str">
        <x:v>Argentina</x:v>
      </x:c>
      <x:c r="D461" s="2" t="str">
        <x:v>Moda Feminina</x:v>
      </x:c>
      <x:c r="E461" s="11" t="n">
        <x:v>42</x:v>
      </x:c>
      <x:c r="F461" s="12" t="n">
        <x:v>62.41</x:v>
      </x:c>
      <x:c r="G461" s="12" t="n">
        <x:v>2621.22</x:v>
      </x:c>
      <x:c r="H461" s="13" t="n">
        <x:v>248</x:v>
      </x:c>
      <x:c r="I461" s="13" t="n">
        <x:f>YEAR(B461)</x:f>
        <x:v>2024</x:v>
      </x:c>
      <x:c r="J461" s="13" t="n">
        <x:f>MONTH(B461)</x:f>
        <x:v>11</x:v>
      </x:c>
      <x:c r="K461" s="14" t="n">
        <x:f>ROUND(E461*F461-G461,10)</x:f>
        <x:v>0</x:v>
      </x:c>
      <x:c r="L461" s="2"/>
      <x:c r="M461" s="2"/>
      <x:c r="N461" s="2"/>
      <x:c r="O461" s="2"/>
      <x:c r="P461" s="2"/>
      <x:c r="Q461" s="2"/>
      <x:c r="R461" s="2"/>
    </x:row>
    <x:row r="462" ht="22" customHeight="1">
      <x:c r="A462" s="2" t="n">
        <x:v>100456</x:v>
      </x:c>
      <x:c r="B462" s="10" t="n">
        <x:v>45160</x:v>
      </x:c>
      <x:c r="C462" s="2" t="str">
        <x:v>Argentina</x:v>
      </x:c>
      <x:c r="D462" s="2" t="str">
        <x:v>Moda Masculina</x:v>
      </x:c>
      <x:c r="E462" s="11" t="n">
        <x:v>42</x:v>
      </x:c>
      <x:c r="F462" s="12" t="n">
        <x:v>75.86</x:v>
      </x:c>
      <x:c r="G462" s="12" t="n">
        <x:v>3186.12</x:v>
      </x:c>
      <x:c r="H462" s="13" t="n">
        <x:v>405</x:v>
      </x:c>
      <x:c r="I462" s="13" t="n">
        <x:f>YEAR(B462)</x:f>
        <x:v>2023</x:v>
      </x:c>
      <x:c r="J462" s="13" t="n">
        <x:f>MONTH(B462)</x:f>
        <x:v>8</x:v>
      </x:c>
      <x:c r="K462" s="14" t="n">
        <x:f>ROUND(E462*F462-G462,10)</x:f>
        <x:v>0</x:v>
      </x:c>
      <x:c r="L462" s="2"/>
      <x:c r="M462" s="2"/>
      <x:c r="N462" s="2"/>
      <x:c r="O462" s="2"/>
      <x:c r="P462" s="2"/>
      <x:c r="Q462" s="2"/>
      <x:c r="R462" s="2"/>
    </x:row>
    <x:row r="463" ht="22" customHeight="1">
      <x:c r="A463" s="2" t="n">
        <x:v>100457</x:v>
      </x:c>
      <x:c r="B463" s="10" t="n">
        <x:v>45134</x:v>
      </x:c>
      <x:c r="C463" s="2" t="str">
        <x:v>México</x:v>
      </x:c>
      <x:c r="D463" s="2" t="str">
        <x:v>Acessórios</x:v>
      </x:c>
      <x:c r="E463" s="11" t="n">
        <x:v>34</x:v>
      </x:c>
      <x:c r="F463" s="12" t="n">
        <x:v>91.84</x:v>
      </x:c>
      <x:c r="G463" s="12" t="n">
        <x:v>3122.56</x:v>
      </x:c>
      <x:c r="H463" s="13" t="n">
        <x:v>163</x:v>
      </x:c>
      <x:c r="I463" s="13" t="n">
        <x:f>YEAR(B463)</x:f>
        <x:v>2023</x:v>
      </x:c>
      <x:c r="J463" s="13" t="n">
        <x:f>MONTH(B463)</x:f>
        <x:v>7</x:v>
      </x:c>
      <x:c r="K463" s="14" t="n">
        <x:f>ROUND(E463*F463-G463,10)</x:f>
        <x:v>0</x:v>
      </x:c>
      <x:c r="L463" s="2"/>
      <x:c r="M463" s="2"/>
      <x:c r="N463" s="2"/>
      <x:c r="O463" s="2"/>
      <x:c r="P463" s="2"/>
      <x:c r="Q463" s="2"/>
      <x:c r="R463" s="2"/>
    </x:row>
    <x:row r="464" ht="22" customHeight="1">
      <x:c r="A464" s="2" t="n">
        <x:v>100458</x:v>
      </x:c>
      <x:c r="B464" s="10" t="n">
        <x:v>45456</x:v>
      </x:c>
      <x:c r="C464" s="2" t="str">
        <x:v>Argentina</x:v>
      </x:c>
      <x:c r="D464" s="2" t="str">
        <x:v>Acessórios</x:v>
      </x:c>
      <x:c r="E464" s="11" t="n">
        <x:v>9</x:v>
      </x:c>
      <x:c r="F464" s="12" t="n">
        <x:v>63.61</x:v>
      </x:c>
      <x:c r="G464" s="12" t="n">
        <x:v>572.49</x:v>
      </x:c>
      <x:c r="H464" s="13" t="n">
        <x:v>329</x:v>
      </x:c>
      <x:c r="I464" s="13" t="n">
        <x:f>YEAR(B464)</x:f>
        <x:v>2024</x:v>
      </x:c>
      <x:c r="J464" s="13" t="n">
        <x:f>MONTH(B464)</x:f>
        <x:v>6</x:v>
      </x:c>
      <x:c r="K464" s="14" t="n">
        <x:f>ROUND(E464*F464-G464,10)</x:f>
        <x:v>0</x:v>
      </x:c>
      <x:c r="L464" s="2"/>
      <x:c r="M464" s="2"/>
      <x:c r="N464" s="2"/>
      <x:c r="O464" s="2"/>
      <x:c r="P464" s="2"/>
      <x:c r="Q464" s="2"/>
      <x:c r="R464" s="2"/>
    </x:row>
    <x:row r="465" ht="22" customHeight="1">
      <x:c r="A465" s="2" t="n">
        <x:v>100459</x:v>
      </x:c>
      <x:c r="B465" s="10" t="n">
        <x:v>45182</x:v>
      </x:c>
      <x:c r="C465" s="2" t="str">
        <x:v>México</x:v>
      </x:c>
      <x:c r="D465" s="2" t="str">
        <x:v>Calçados</x:v>
      </x:c>
      <x:c r="E465" s="11" t="n">
        <x:v>22</x:v>
      </x:c>
      <x:c r="F465" s="12" t="n">
        <x:v>56.63</x:v>
      </x:c>
      <x:c r="G465" s="12" t="n">
        <x:v>1245.86</x:v>
      </x:c>
      <x:c r="H465" s="13" t="n">
        <x:v>204</x:v>
      </x:c>
      <x:c r="I465" s="13" t="n">
        <x:f>YEAR(B465)</x:f>
        <x:v>2023</x:v>
      </x:c>
      <x:c r="J465" s="13" t="n">
        <x:f>MONTH(B465)</x:f>
        <x:v>9</x:v>
      </x:c>
      <x:c r="K465" s="14" t="n">
        <x:f>ROUND(E465*F465-G465,10)</x:f>
        <x:v>0</x:v>
      </x:c>
      <x:c r="L465" s="2"/>
      <x:c r="M465" s="2"/>
      <x:c r="N465" s="2"/>
      <x:c r="O465" s="2"/>
      <x:c r="P465" s="2"/>
      <x:c r="Q465" s="2"/>
      <x:c r="R465" s="2"/>
    </x:row>
    <x:row r="466" ht="22" customHeight="1">
      <x:c r="A466" s="2" t="n">
        <x:v>100460</x:v>
      </x:c>
      <x:c r="B466" s="10" t="n">
        <x:v>45214</x:v>
      </x:c>
      <x:c r="C466" s="2" t="str">
        <x:v>Peru</x:v>
      </x:c>
      <x:c r="D466" s="2" t="str">
        <x:v>Acessórios</x:v>
      </x:c>
      <x:c r="E466" s="11" t="n">
        <x:v>13</x:v>
      </x:c>
      <x:c r="F466" s="12" t="n">
        <x:v>191.82</x:v>
      </x:c>
      <x:c r="G466" s="12" t="n">
        <x:v>2493.66</x:v>
      </x:c>
      <x:c r="H466" s="13" t="n">
        <x:v>214</x:v>
      </x:c>
      <x:c r="I466" s="13" t="n">
        <x:f>YEAR(B466)</x:f>
        <x:v>2023</x:v>
      </x:c>
      <x:c r="J466" s="13" t="n">
        <x:f>MONTH(B466)</x:f>
        <x:v>10</x:v>
      </x:c>
      <x:c r="K466" s="14" t="n">
        <x:f>ROUND(E466*F466-G466,10)</x:f>
        <x:v>0</x:v>
      </x:c>
      <x:c r="L466" s="2"/>
      <x:c r="M466" s="2"/>
      <x:c r="N466" s="2"/>
      <x:c r="O466" s="2"/>
      <x:c r="P466" s="2"/>
      <x:c r="Q466" s="2"/>
      <x:c r="R466" s="2"/>
    </x:row>
    <x:row r="467" ht="22" customHeight="1">
      <x:c r="A467" s="2" t="n">
        <x:v>100461</x:v>
      </x:c>
      <x:c r="B467" s="10" t="n">
        <x:v>45049</x:v>
      </x:c>
      <x:c r="C467" s="2" t="str">
        <x:v>Brasil</x:v>
      </x:c>
      <x:c r="D467" s="2" t="str">
        <x:v>Moda Infantil</x:v>
      </x:c>
      <x:c r="E467" s="11" t="n">
        <x:v>25</x:v>
      </x:c>
      <x:c r="F467" s="12" t="n">
        <x:v>185.33</x:v>
      </x:c>
      <x:c r="G467" s="12" t="n">
        <x:v>4633.25</x:v>
      </x:c>
      <x:c r="H467" s="13" t="n">
        <x:v>271</x:v>
      </x:c>
      <x:c r="I467" s="13" t="n">
        <x:f>YEAR(B467)</x:f>
        <x:v>2023</x:v>
      </x:c>
      <x:c r="J467" s="13" t="n">
        <x:f>MONTH(B467)</x:f>
        <x:v>5</x:v>
      </x:c>
      <x:c r="K467" s="14" t="n">
        <x:f>ROUND(E467*F467-G467,10)</x:f>
        <x:v>0</x:v>
      </x:c>
      <x:c r="L467" s="2"/>
      <x:c r="M467" s="2"/>
      <x:c r="N467" s="2"/>
      <x:c r="O467" s="2"/>
      <x:c r="P467" s="2"/>
      <x:c r="Q467" s="2"/>
      <x:c r="R467" s="2"/>
    </x:row>
    <x:row r="468" ht="22" customHeight="1">
      <x:c r="A468" s="2" t="n">
        <x:v>100462</x:v>
      </x:c>
      <x:c r="B468" s="10" t="n">
        <x:v>44949</x:v>
      </x:c>
      <x:c r="C468" s="2" t="str">
        <x:v>Colômbia</x:v>
      </x:c>
      <x:c r="D468" s="2" t="str">
        <x:v>Moda Feminina</x:v>
      </x:c>
      <x:c r="E468" s="11" t="n">
        <x:v>48</x:v>
      </x:c>
      <x:c r="F468" s="12" t="n">
        <x:v>28.46</x:v>
      </x:c>
      <x:c r="G468" s="12" t="n">
        <x:v>1366.08</x:v>
      </x:c>
      <x:c r="H468" s="13" t="n">
        <x:v>140</x:v>
      </x:c>
      <x:c r="I468" s="13" t="n">
        <x:f>YEAR(B468)</x:f>
        <x:v>2023</x:v>
      </x:c>
      <x:c r="J468" s="13" t="n">
        <x:f>MONTH(B468)</x:f>
        <x:v>1</x:v>
      </x:c>
      <x:c r="K468" s="14" t="n">
        <x:f>ROUND(E468*F468-G468,10)</x:f>
        <x:v>0</x:v>
      </x:c>
      <x:c r="L468" s="2"/>
      <x:c r="M468" s="2"/>
      <x:c r="N468" s="2"/>
      <x:c r="O468" s="2"/>
      <x:c r="P468" s="2"/>
      <x:c r="Q468" s="2"/>
      <x:c r="R468" s="2"/>
    </x:row>
    <x:row r="469" ht="22" customHeight="1">
      <x:c r="A469" s="2" t="n">
        <x:v>100463</x:v>
      </x:c>
      <x:c r="B469" s="10" t="n">
        <x:v>45507</x:v>
      </x:c>
      <x:c r="C469" s="2" t="str">
        <x:v>México</x:v>
      </x:c>
      <x:c r="D469" s="2" t="str">
        <x:v>Calçados</x:v>
      </x:c>
      <x:c r="E469" s="11" t="n">
        <x:v>18</x:v>
      </x:c>
      <x:c r="F469" s="12" t="n">
        <x:v>80.99</x:v>
      </x:c>
      <x:c r="G469" s="12" t="n">
        <x:v>1457.82</x:v>
      </x:c>
      <x:c r="H469" s="13" t="n">
        <x:v>216</x:v>
      </x:c>
      <x:c r="I469" s="13" t="n">
        <x:f>YEAR(B469)</x:f>
        <x:v>2024</x:v>
      </x:c>
      <x:c r="J469" s="13" t="n">
        <x:f>MONTH(B469)</x:f>
        <x:v>8</x:v>
      </x:c>
      <x:c r="K469" s="14" t="n">
        <x:f>ROUND(E469*F469-G469,10)</x:f>
        <x:v>0</x:v>
      </x:c>
      <x:c r="L469" s="2"/>
      <x:c r="M469" s="2"/>
      <x:c r="N469" s="2"/>
      <x:c r="O469" s="2"/>
      <x:c r="P469" s="2"/>
      <x:c r="Q469" s="2"/>
      <x:c r="R469" s="2"/>
    </x:row>
    <x:row r="470" ht="22" customHeight="1">
      <x:c r="A470" s="2" t="n">
        <x:v>100464</x:v>
      </x:c>
      <x:c r="B470" s="10" t="n">
        <x:v>45358</x:v>
      </x:c>
      <x:c r="C470" s="2" t="str">
        <x:v>Brasil</x:v>
      </x:c>
      <x:c r="D470" s="2" t="str">
        <x:v>Moda Infantil</x:v>
      </x:c>
      <x:c r="E470" s="11" t="n">
        <x:v>12</x:v>
      </x:c>
      <x:c r="F470" s="12" t="n">
        <x:v>92.93</x:v>
      </x:c>
      <x:c r="G470" s="12" t="n">
        <x:v>1115.16</x:v>
      </x:c>
      <x:c r="H470" s="13" t="n">
        <x:v>496</x:v>
      </x:c>
      <x:c r="I470" s="13" t="n">
        <x:f>YEAR(B470)</x:f>
        <x:v>2024</x:v>
      </x:c>
      <x:c r="J470" s="13" t="n">
        <x:f>MONTH(B470)</x:f>
        <x:v>3</x:v>
      </x:c>
      <x:c r="K470" s="14" t="n">
        <x:f>ROUND(E470*F470-G470,10)</x:f>
        <x:v>0</x:v>
      </x:c>
      <x:c r="L470" s="2"/>
      <x:c r="M470" s="2"/>
      <x:c r="N470" s="2"/>
      <x:c r="O470" s="2"/>
      <x:c r="P470" s="2"/>
      <x:c r="Q470" s="2"/>
      <x:c r="R470" s="2"/>
    </x:row>
    <x:row r="471" ht="22" customHeight="1">
      <x:c r="A471" s="2" t="n">
        <x:v>100465</x:v>
      </x:c>
      <x:c r="B471" s="10" t="n">
        <x:v>45255</x:v>
      </x:c>
      <x:c r="C471" s="2" t="str">
        <x:v>Argentina</x:v>
      </x:c>
      <x:c r="D471" s="2" t="str">
        <x:v>Moda Masculina</x:v>
      </x:c>
      <x:c r="E471" s="11" t="n">
        <x:v>40</x:v>
      </x:c>
      <x:c r="F471" s="12" t="n">
        <x:v>63.02</x:v>
      </x:c>
      <x:c r="G471" s="12" t="n">
        <x:v>2520.8</x:v>
      </x:c>
      <x:c r="H471" s="13" t="n">
        <x:v>256</x:v>
      </x:c>
      <x:c r="I471" s="13" t="n">
        <x:f>YEAR(B471)</x:f>
        <x:v>2023</x:v>
      </x:c>
      <x:c r="J471" s="13" t="n">
        <x:f>MONTH(B471)</x:f>
        <x:v>11</x:v>
      </x:c>
      <x:c r="K471" s="14" t="n">
        <x:f>ROUND(E471*F471-G471,10)</x:f>
        <x:v>0</x:v>
      </x:c>
      <x:c r="L471" s="2"/>
      <x:c r="M471" s="2"/>
      <x:c r="N471" s="2"/>
      <x:c r="O471" s="2"/>
      <x:c r="P471" s="2"/>
      <x:c r="Q471" s="2"/>
      <x:c r="R471" s="2"/>
    </x:row>
    <x:row r="472" ht="22" customHeight="1">
      <x:c r="A472" s="2" t="n">
        <x:v>100466</x:v>
      </x:c>
      <x:c r="B472" s="10" t="n">
        <x:v>44934</x:v>
      </x:c>
      <x:c r="C472" s="2" t="str">
        <x:v>Argentina</x:v>
      </x:c>
      <x:c r="D472" s="2" t="str">
        <x:v>Moda Feminina</x:v>
      </x:c>
      <x:c r="E472" s="11" t="n">
        <x:v>17</x:v>
      </x:c>
      <x:c r="F472" s="12" t="n">
        <x:v>133.2</x:v>
      </x:c>
      <x:c r="G472" s="12" t="n">
        <x:v>2264.4</x:v>
      </x:c>
      <x:c r="H472" s="13" t="n">
        <x:v>331</x:v>
      </x:c>
      <x:c r="I472" s="13" t="n">
        <x:f>YEAR(B472)</x:f>
        <x:v>2023</x:v>
      </x:c>
      <x:c r="J472" s="13" t="n">
        <x:f>MONTH(B472)</x:f>
        <x:v>1</x:v>
      </x:c>
      <x:c r="K472" s="14" t="n">
        <x:f>ROUND(E472*F472-G472,10)</x:f>
        <x:v>0</x:v>
      </x:c>
      <x:c r="L472" s="2"/>
      <x:c r="M472" s="2"/>
      <x:c r="N472" s="2"/>
      <x:c r="O472" s="2"/>
      <x:c r="P472" s="2"/>
      <x:c r="Q472" s="2"/>
      <x:c r="R472" s="2"/>
    </x:row>
    <x:row r="473" ht="22" customHeight="1">
      <x:c r="A473" s="2" t="n">
        <x:v>100467</x:v>
      </x:c>
      <x:c r="B473" s="10" t="n">
        <x:v>45013</x:v>
      </x:c>
      <x:c r="C473" s="2" t="str">
        <x:v>Brasil</x:v>
      </x:c>
      <x:c r="D473" s="2" t="str">
        <x:v>Acessórios</x:v>
      </x:c>
      <x:c r="E473" s="11" t="n">
        <x:v>15</x:v>
      </x:c>
      <x:c r="F473" s="12" t="n">
        <x:v>135.27</x:v>
      </x:c>
      <x:c r="G473" s="12" t="n">
        <x:v>2029.05</x:v>
      </x:c>
      <x:c r="H473" s="13" t="n">
        <x:v>114</x:v>
      </x:c>
      <x:c r="I473" s="13" t="n">
        <x:f>YEAR(B473)</x:f>
        <x:v>2023</x:v>
      </x:c>
      <x:c r="J473" s="13" t="n">
        <x:f>MONTH(B473)</x:f>
        <x:v>3</x:v>
      </x:c>
      <x:c r="K473" s="14" t="n">
        <x:f>ROUND(E473*F473-G473,10)</x:f>
        <x:v>0</x:v>
      </x:c>
      <x:c r="L473" s="2"/>
      <x:c r="M473" s="2"/>
      <x:c r="N473" s="2"/>
      <x:c r="O473" s="2"/>
      <x:c r="P473" s="2"/>
      <x:c r="Q473" s="2"/>
      <x:c r="R473" s="2"/>
    </x:row>
    <x:row r="474" ht="22" customHeight="1">
      <x:c r="A474" s="2" t="n">
        <x:v>100468</x:v>
      </x:c>
      <x:c r="B474" s="10" t="n">
        <x:v>45570</x:v>
      </x:c>
      <x:c r="C474" s="2" t="str">
        <x:v>Argentina</x:v>
      </x:c>
      <x:c r="D474" s="2" t="str">
        <x:v>Moda Feminina</x:v>
      </x:c>
      <x:c r="E474" s="11" t="n">
        <x:v>42</x:v>
      </x:c>
      <x:c r="F474" s="12" t="n">
        <x:v>173.09</x:v>
      </x:c>
      <x:c r="G474" s="12" t="n">
        <x:v>7269.78</x:v>
      </x:c>
      <x:c r="H474" s="13" t="n">
        <x:v>425</x:v>
      </x:c>
      <x:c r="I474" s="13" t="n">
        <x:f>YEAR(B474)</x:f>
        <x:v>2024</x:v>
      </x:c>
      <x:c r="J474" s="13" t="n">
        <x:f>MONTH(B474)</x:f>
        <x:v>10</x:v>
      </x:c>
      <x:c r="K474" s="14" t="n">
        <x:f>ROUND(E474*F474-G474,10)</x:f>
        <x:v>0</x:v>
      </x:c>
      <x:c r="L474" s="2"/>
      <x:c r="M474" s="2"/>
      <x:c r="N474" s="2"/>
      <x:c r="O474" s="2"/>
      <x:c r="P474" s="2"/>
      <x:c r="Q474" s="2"/>
      <x:c r="R474" s="2"/>
    </x:row>
    <x:row r="475" ht="22" customHeight="1">
      <x:c r="A475" s="2" t="n">
        <x:v>100469</x:v>
      </x:c>
      <x:c r="B475" s="10" t="n">
        <x:v>45000</x:v>
      </x:c>
      <x:c r="C475" s="2" t="str">
        <x:v>Peru</x:v>
      </x:c>
      <x:c r="D475" s="2" t="str">
        <x:v>Moda Masculina</x:v>
      </x:c>
      <x:c r="E475" s="11" t="n">
        <x:v>15</x:v>
      </x:c>
      <x:c r="F475" s="12" t="n">
        <x:v>153.36</x:v>
      </x:c>
      <x:c r="G475" s="12" t="n">
        <x:v>2300.4</x:v>
      </x:c>
      <x:c r="H475" s="13" t="n">
        <x:v>53</x:v>
      </x:c>
      <x:c r="I475" s="13" t="n">
        <x:f>YEAR(B475)</x:f>
        <x:v>2023</x:v>
      </x:c>
      <x:c r="J475" s="13" t="n">
        <x:f>MONTH(B475)</x:f>
        <x:v>3</x:v>
      </x:c>
      <x:c r="K475" s="14" t="n">
        <x:f>ROUND(E475*F475-G475,10)</x:f>
        <x:v>0</x:v>
      </x:c>
      <x:c r="L475" s="2"/>
      <x:c r="M475" s="2"/>
      <x:c r="N475" s="2"/>
      <x:c r="O475" s="2"/>
      <x:c r="P475" s="2"/>
      <x:c r="Q475" s="2"/>
      <x:c r="R475" s="2"/>
    </x:row>
    <x:row r="476" ht="22" customHeight="1">
      <x:c r="A476" s="2" t="n">
        <x:v>100470</x:v>
      </x:c>
      <x:c r="B476" s="10" t="n">
        <x:v>45325</x:v>
      </x:c>
      <x:c r="C476" s="2" t="str">
        <x:v>Peru</x:v>
      </x:c>
      <x:c r="D476" s="2" t="str">
        <x:v>Calçados</x:v>
      </x:c>
      <x:c r="E476" s="11" t="n">
        <x:v>15</x:v>
      </x:c>
      <x:c r="F476" s="12" t="n">
        <x:v>117.66</x:v>
      </x:c>
      <x:c r="G476" s="12" t="n">
        <x:v>1764.9</x:v>
      </x:c>
      <x:c r="H476" s="13" t="n">
        <x:v>206</x:v>
      </x:c>
      <x:c r="I476" s="13" t="n">
        <x:f>YEAR(B476)</x:f>
        <x:v>2024</x:v>
      </x:c>
      <x:c r="J476" s="13" t="n">
        <x:f>MONTH(B476)</x:f>
        <x:v>2</x:v>
      </x:c>
      <x:c r="K476" s="14" t="n">
        <x:f>ROUND(E476*F476-G476,10)</x:f>
        <x:v>0</x:v>
      </x:c>
      <x:c r="L476" s="2"/>
      <x:c r="M476" s="2"/>
      <x:c r="N476" s="2"/>
      <x:c r="O476" s="2"/>
      <x:c r="P476" s="2"/>
      <x:c r="Q476" s="2"/>
      <x:c r="R476" s="2"/>
    </x:row>
    <x:row r="477" ht="22" customHeight="1">
      <x:c r="A477" s="2" t="n">
        <x:v>100471</x:v>
      </x:c>
      <x:c r="B477" s="10" t="n">
        <x:v>45429</x:v>
      </x:c>
      <x:c r="C477" s="2" t="str">
        <x:v>Brasil</x:v>
      </x:c>
      <x:c r="D477" s="2" t="str">
        <x:v>Calçados</x:v>
      </x:c>
      <x:c r="E477" s="11" t="n">
        <x:v>39</x:v>
      </x:c>
      <x:c r="F477" s="12" t="n">
        <x:v>137.65</x:v>
      </x:c>
      <x:c r="G477" s="12" t="n">
        <x:v>5368.35</x:v>
      </x:c>
      <x:c r="H477" s="13" t="n">
        <x:v>298</x:v>
      </x:c>
      <x:c r="I477" s="13" t="n">
        <x:f>YEAR(B477)</x:f>
        <x:v>2024</x:v>
      </x:c>
      <x:c r="J477" s="13" t="n">
        <x:f>MONTH(B477)</x:f>
        <x:v>5</x:v>
      </x:c>
      <x:c r="K477" s="14" t="n">
        <x:f>ROUND(E477*F477-G477,10)</x:f>
        <x:v>0</x:v>
      </x:c>
      <x:c r="L477" s="2"/>
      <x:c r="M477" s="2"/>
      <x:c r="N477" s="2"/>
      <x:c r="O477" s="2"/>
      <x:c r="P477" s="2"/>
      <x:c r="Q477" s="2"/>
      <x:c r="R477" s="2"/>
    </x:row>
    <x:row r="478" ht="22" customHeight="1">
      <x:c r="A478" s="2" t="n">
        <x:v>100472</x:v>
      </x:c>
      <x:c r="B478" s="10" t="n">
        <x:v>45221</x:v>
      </x:c>
      <x:c r="C478" s="2" t="str">
        <x:v>México</x:v>
      </x:c>
      <x:c r="D478" s="2" t="str">
        <x:v>Calçados</x:v>
      </x:c>
      <x:c r="E478" s="11" t="n">
        <x:v>13</x:v>
      </x:c>
      <x:c r="F478" s="12" t="n">
        <x:v>69.32</x:v>
      </x:c>
      <x:c r="G478" s="12" t="n">
        <x:v>901.1599999999999</x:v>
      </x:c>
      <x:c r="H478" s="13" t="n">
        <x:v>306</x:v>
      </x:c>
      <x:c r="I478" s="13" t="n">
        <x:f>YEAR(B478)</x:f>
        <x:v>2023</x:v>
      </x:c>
      <x:c r="J478" s="13" t="n">
        <x:f>MONTH(B478)</x:f>
        <x:v>10</x:v>
      </x:c>
      <x:c r="K478" s="14" t="n">
        <x:f>ROUND(E478*F478-G478,10)</x:f>
        <x:v>0</x:v>
      </x:c>
      <x:c r="L478" s="2"/>
      <x:c r="M478" s="2"/>
      <x:c r="N478" s="2"/>
      <x:c r="O478" s="2"/>
      <x:c r="P478" s="2"/>
      <x:c r="Q478" s="2"/>
      <x:c r="R478" s="2"/>
    </x:row>
    <x:row r="479" ht="22" customHeight="1">
      <x:c r="A479" s="2" t="n">
        <x:v>100473</x:v>
      </x:c>
      <x:c r="B479" s="10" t="n">
        <x:v>45271</x:v>
      </x:c>
      <x:c r="C479" s="2" t="str">
        <x:v>México</x:v>
      </x:c>
      <x:c r="D479" s="2" t="str">
        <x:v>Acessórios</x:v>
      </x:c>
      <x:c r="E479" s="11" t="n">
        <x:v>17</x:v>
      </x:c>
      <x:c r="F479" s="12" t="n">
        <x:v>126.75</x:v>
      </x:c>
      <x:c r="G479" s="12" t="n">
        <x:v>2154.75</x:v>
      </x:c>
      <x:c r="H479" s="13" t="n">
        <x:v>284</x:v>
      </x:c>
      <x:c r="I479" s="13" t="n">
        <x:f>YEAR(B479)</x:f>
        <x:v>2023</x:v>
      </x:c>
      <x:c r="J479" s="13" t="n">
        <x:f>MONTH(B479)</x:f>
        <x:v>12</x:v>
      </x:c>
      <x:c r="K479" s="14" t="n">
        <x:f>ROUND(E479*F479-G479,10)</x:f>
        <x:v>0</x:v>
      </x:c>
      <x:c r="L479" s="2"/>
      <x:c r="M479" s="2"/>
      <x:c r="N479" s="2"/>
      <x:c r="O479" s="2"/>
      <x:c r="P479" s="2"/>
      <x:c r="Q479" s="2"/>
      <x:c r="R479" s="2"/>
    </x:row>
    <x:row r="480" ht="22" customHeight="1">
      <x:c r="A480" s="2" t="n">
        <x:v>100474</x:v>
      </x:c>
      <x:c r="B480" s="10" t="n">
        <x:v>45544</x:v>
      </x:c>
      <x:c r="C480" s="2" t="str">
        <x:v>Brasil</x:v>
      </x:c>
      <x:c r="D480" s="2" t="str">
        <x:v>Moda Infantil</x:v>
      </x:c>
      <x:c r="E480" s="11" t="n">
        <x:v>32</x:v>
      </x:c>
      <x:c r="F480" s="12" t="n">
        <x:v>108.06</x:v>
      </x:c>
      <x:c r="G480" s="12" t="n">
        <x:v>3457.92</x:v>
      </x:c>
      <x:c r="H480" s="13" t="n">
        <x:v>355</x:v>
      </x:c>
      <x:c r="I480" s="13" t="n">
        <x:f>YEAR(B480)</x:f>
        <x:v>2024</x:v>
      </x:c>
      <x:c r="J480" s="13" t="n">
        <x:f>MONTH(B480)</x:f>
        <x:v>9</x:v>
      </x:c>
      <x:c r="K480" s="14" t="n">
        <x:f>ROUND(E480*F480-G480,10)</x:f>
        <x:v>0</x:v>
      </x:c>
      <x:c r="L480" s="2"/>
      <x:c r="M480" s="2"/>
      <x:c r="N480" s="2"/>
      <x:c r="O480" s="2"/>
      <x:c r="P480" s="2"/>
      <x:c r="Q480" s="2"/>
      <x:c r="R480" s="2"/>
    </x:row>
    <x:row r="481" ht="22" customHeight="1">
      <x:c r="A481" s="2" t="n">
        <x:v>100475</x:v>
      </x:c>
      <x:c r="B481" s="10" t="n">
        <x:v>45171</x:v>
      </x:c>
      <x:c r="C481" s="2" t="str">
        <x:v>México</x:v>
      </x:c>
      <x:c r="D481" s="2" t="str">
        <x:v>Moda Infantil</x:v>
      </x:c>
      <x:c r="E481" s="11" t="n">
        <x:v>9</x:v>
      </x:c>
      <x:c r="F481" s="12" t="n">
        <x:v>44</x:v>
      </x:c>
      <x:c r="G481" s="12" t="n">
        <x:v>396</x:v>
      </x:c>
      <x:c r="H481" s="13" t="n">
        <x:v>415</x:v>
      </x:c>
      <x:c r="I481" s="13" t="n">
        <x:f>YEAR(B481)</x:f>
        <x:v>2023</x:v>
      </x:c>
      <x:c r="J481" s="13" t="n">
        <x:f>MONTH(B481)</x:f>
        <x:v>9</x:v>
      </x:c>
      <x:c r="K481" s="14" t="n">
        <x:f>ROUND(E481*F481-G481,10)</x:f>
        <x:v>0</x:v>
      </x:c>
      <x:c r="L481" s="2"/>
      <x:c r="M481" s="2"/>
      <x:c r="N481" s="2"/>
      <x:c r="O481" s="2"/>
      <x:c r="P481" s="2"/>
      <x:c r="Q481" s="2"/>
      <x:c r="R481" s="2"/>
    </x:row>
    <x:row r="482" ht="22" customHeight="1">
      <x:c r="A482" s="2" t="n">
        <x:v>100476</x:v>
      </x:c>
      <x:c r="B482" s="10" t="n">
        <x:v>45118</x:v>
      </x:c>
      <x:c r="C482" s="2" t="str">
        <x:v>México</x:v>
      </x:c>
      <x:c r="D482" s="2" t="str">
        <x:v>Moda Feminina</x:v>
      </x:c>
      <x:c r="E482" s="11" t="n">
        <x:v>40</x:v>
      </x:c>
      <x:c r="F482" s="12" t="n">
        <x:v>63.66</x:v>
      </x:c>
      <x:c r="G482" s="12" t="n">
        <x:v>2546.4</x:v>
      </x:c>
      <x:c r="H482" s="13" t="n">
        <x:v>444</x:v>
      </x:c>
      <x:c r="I482" s="13" t="n">
        <x:f>YEAR(B482)</x:f>
        <x:v>2023</x:v>
      </x:c>
      <x:c r="J482" s="13" t="n">
        <x:f>MONTH(B482)</x:f>
        <x:v>7</x:v>
      </x:c>
      <x:c r="K482" s="14" t="n">
        <x:f>ROUND(E482*F482-G482,10)</x:f>
        <x:v>0</x:v>
      </x:c>
      <x:c r="L482" s="2"/>
      <x:c r="M482" s="2"/>
      <x:c r="N482" s="2"/>
      <x:c r="O482" s="2"/>
      <x:c r="P482" s="2"/>
      <x:c r="Q482" s="2"/>
      <x:c r="R482" s="2"/>
    </x:row>
    <x:row r="483" ht="22" customHeight="1">
      <x:c r="A483" s="2" t="n">
        <x:v>100477</x:v>
      </x:c>
      <x:c r="B483" s="10" t="n">
        <x:v>45491</x:v>
      </x:c>
      <x:c r="C483" s="2" t="str">
        <x:v>Peru</x:v>
      </x:c>
      <x:c r="D483" s="2" t="str">
        <x:v>Acessórios</x:v>
      </x:c>
      <x:c r="E483" s="11" t="n">
        <x:v>20</x:v>
      </x:c>
      <x:c r="F483" s="12" t="n">
        <x:v>72.5</x:v>
      </x:c>
      <x:c r="G483" s="12" t="n">
        <x:v>1450</x:v>
      </x:c>
      <x:c r="H483" s="13" t="n">
        <x:v>123</x:v>
      </x:c>
      <x:c r="I483" s="13" t="n">
        <x:f>YEAR(B483)</x:f>
        <x:v>2024</x:v>
      </x:c>
      <x:c r="J483" s="13" t="n">
        <x:f>MONTH(B483)</x:f>
        <x:v>7</x:v>
      </x:c>
      <x:c r="K483" s="14" t="n">
        <x:f>ROUND(E483*F483-G483,10)</x:f>
        <x:v>0</x:v>
      </x:c>
      <x:c r="L483" s="2"/>
      <x:c r="M483" s="2"/>
      <x:c r="N483" s="2"/>
      <x:c r="O483" s="2"/>
      <x:c r="P483" s="2"/>
      <x:c r="Q483" s="2"/>
      <x:c r="R483" s="2"/>
    </x:row>
    <x:row r="484" ht="22" customHeight="1">
      <x:c r="A484" s="2" t="n">
        <x:v>100478</x:v>
      </x:c>
      <x:c r="B484" s="10" t="n">
        <x:v>45222</x:v>
      </x:c>
      <x:c r="C484" s="2" t="str">
        <x:v>México</x:v>
      </x:c>
      <x:c r="D484" s="2" t="str">
        <x:v>Calçados</x:v>
      </x:c>
      <x:c r="E484" s="11" t="n">
        <x:v>26</x:v>
      </x:c>
      <x:c r="F484" s="12" t="n">
        <x:v>186.38</x:v>
      </x:c>
      <x:c r="G484" s="12" t="n">
        <x:v>4845.88</x:v>
      </x:c>
      <x:c r="H484" s="13" t="n">
        <x:v>236</x:v>
      </x:c>
      <x:c r="I484" s="13" t="n">
        <x:f>YEAR(B484)</x:f>
        <x:v>2023</x:v>
      </x:c>
      <x:c r="J484" s="13" t="n">
        <x:f>MONTH(B484)</x:f>
        <x:v>10</x:v>
      </x:c>
      <x:c r="K484" s="14" t="n">
        <x:f>ROUND(E484*F484-G484,10)</x:f>
        <x:v>0</x:v>
      </x:c>
      <x:c r="L484" s="2"/>
      <x:c r="M484" s="2"/>
      <x:c r="N484" s="2"/>
      <x:c r="O484" s="2"/>
      <x:c r="P484" s="2"/>
      <x:c r="Q484" s="2"/>
      <x:c r="R484" s="2"/>
    </x:row>
    <x:row r="485" ht="22" customHeight="1">
      <x:c r="A485" s="2" t="n">
        <x:v>100479</x:v>
      </x:c>
      <x:c r="B485" s="10" t="n">
        <x:v>45241</x:v>
      </x:c>
      <x:c r="C485" s="2" t="str">
        <x:v>Chile</x:v>
      </x:c>
      <x:c r="D485" s="2" t="str">
        <x:v>Calçados</x:v>
      </x:c>
      <x:c r="E485" s="11" t="n">
        <x:v>27</x:v>
      </x:c>
      <x:c r="F485" s="12" t="n">
        <x:v>61.47</x:v>
      </x:c>
      <x:c r="G485" s="12" t="n">
        <x:v>1659.69</x:v>
      </x:c>
      <x:c r="H485" s="13" t="n">
        <x:v>111</x:v>
      </x:c>
      <x:c r="I485" s="13" t="n">
        <x:f>YEAR(B485)</x:f>
        <x:v>2023</x:v>
      </x:c>
      <x:c r="J485" s="13" t="n">
        <x:f>MONTH(B485)</x:f>
        <x:v>11</x:v>
      </x:c>
      <x:c r="K485" s="14" t="n">
        <x:f>ROUND(E485*F485-G485,10)</x:f>
        <x:v>0</x:v>
      </x:c>
      <x:c r="L485" s="2"/>
      <x:c r="M485" s="2"/>
      <x:c r="N485" s="2"/>
      <x:c r="O485" s="2"/>
      <x:c r="P485" s="2"/>
      <x:c r="Q485" s="2"/>
      <x:c r="R485" s="2"/>
    </x:row>
    <x:row r="486" ht="22" customHeight="1">
      <x:c r="A486" s="2" t="n">
        <x:v>100480</x:v>
      </x:c>
      <x:c r="B486" s="10" t="n">
        <x:v>45458</x:v>
      </x:c>
      <x:c r="C486" s="2" t="str">
        <x:v>Colômbia</x:v>
      </x:c>
      <x:c r="D486" s="2" t="str">
        <x:v>Moda Masculina</x:v>
      </x:c>
      <x:c r="E486" s="11" t="n">
        <x:v>21</x:v>
      </x:c>
      <x:c r="F486" s="12" t="n">
        <x:v>72.06</x:v>
      </x:c>
      <x:c r="G486" s="12" t="n">
        <x:v>1513.26</x:v>
      </x:c>
      <x:c r="H486" s="13" t="n">
        <x:v>386</x:v>
      </x:c>
      <x:c r="I486" s="13" t="n">
        <x:f>YEAR(B486)</x:f>
        <x:v>2024</x:v>
      </x:c>
      <x:c r="J486" s="13" t="n">
        <x:f>MONTH(B486)</x:f>
        <x:v>6</x:v>
      </x:c>
      <x:c r="K486" s="14" t="n">
        <x:f>ROUND(E486*F486-G486,10)</x:f>
        <x:v>0</x:v>
      </x:c>
      <x:c r="L486" s="2"/>
      <x:c r="M486" s="2"/>
      <x:c r="N486" s="2"/>
      <x:c r="O486" s="2"/>
      <x:c r="P486" s="2"/>
      <x:c r="Q486" s="2"/>
      <x:c r="R486" s="2"/>
    </x:row>
    <x:row r="487" ht="22" customHeight="1">
      <x:c r="A487" s="2" t="n">
        <x:v>100481</x:v>
      </x:c>
      <x:c r="B487" s="10" t="n">
        <x:v>45059</x:v>
      </x:c>
      <x:c r="C487" s="2" t="str">
        <x:v>Argentina</x:v>
      </x:c>
      <x:c r="D487" s="2" t="str">
        <x:v>Moda Masculina</x:v>
      </x:c>
      <x:c r="E487" s="11" t="n">
        <x:v>18</x:v>
      </x:c>
      <x:c r="F487" s="12" t="n">
        <x:v>86.48</x:v>
      </x:c>
      <x:c r="G487" s="12" t="n">
        <x:v>1556.64</x:v>
      </x:c>
      <x:c r="H487" s="13" t="n">
        <x:v>213</x:v>
      </x:c>
      <x:c r="I487" s="13" t="n">
        <x:f>YEAR(B487)</x:f>
        <x:v>2023</x:v>
      </x:c>
      <x:c r="J487" s="13" t="n">
        <x:f>MONTH(B487)</x:f>
        <x:v>5</x:v>
      </x:c>
      <x:c r="K487" s="14" t="n">
        <x:f>ROUND(E487*F487-G487,10)</x:f>
        <x:v>0</x:v>
      </x:c>
      <x:c r="L487" s="2"/>
      <x:c r="M487" s="2"/>
      <x:c r="N487" s="2"/>
      <x:c r="O487" s="2"/>
      <x:c r="P487" s="2"/>
      <x:c r="Q487" s="2"/>
      <x:c r="R487" s="2"/>
    </x:row>
    <x:row r="488" ht="22" customHeight="1">
      <x:c r="A488" s="2" t="n">
        <x:v>100482</x:v>
      </x:c>
      <x:c r="B488" s="10" t="n">
        <x:v>45624</x:v>
      </x:c>
      <x:c r="C488" s="2" t="str">
        <x:v>Chile</x:v>
      </x:c>
      <x:c r="D488" s="2" t="str">
        <x:v>Calçados</x:v>
      </x:c>
      <x:c r="E488" s="11" t="n">
        <x:v>13</x:v>
      </x:c>
      <x:c r="F488" s="12" t="n">
        <x:v>139.47</x:v>
      </x:c>
      <x:c r="G488" s="12" t="n">
        <x:v>1813.11</x:v>
      </x:c>
      <x:c r="H488" s="13" t="n">
        <x:v>105</x:v>
      </x:c>
      <x:c r="I488" s="13" t="n">
        <x:f>YEAR(B488)</x:f>
        <x:v>2024</x:v>
      </x:c>
      <x:c r="J488" s="13" t="n">
        <x:f>MONTH(B488)</x:f>
        <x:v>11</x:v>
      </x:c>
      <x:c r="K488" s="14" t="n">
        <x:f>ROUND(E488*F488-G488,10)</x:f>
        <x:v>0</x:v>
      </x:c>
      <x:c r="L488" s="2"/>
      <x:c r="M488" s="2"/>
      <x:c r="N488" s="2"/>
      <x:c r="O488" s="2"/>
      <x:c r="P488" s="2"/>
      <x:c r="Q488" s="2"/>
      <x:c r="R488" s="2"/>
    </x:row>
    <x:row r="489" ht="22" customHeight="1">
      <x:c r="A489" s="2" t="n">
        <x:v>100483</x:v>
      </x:c>
      <x:c r="B489" s="10" t="n">
        <x:v>45492</x:v>
      </x:c>
      <x:c r="C489" s="2" t="str">
        <x:v>México</x:v>
      </x:c>
      <x:c r="D489" s="2" t="str">
        <x:v>Calçados</x:v>
      </x:c>
      <x:c r="E489" s="11" t="n">
        <x:v>16</x:v>
      </x:c>
      <x:c r="F489" s="12" t="n">
        <x:v>41.28</x:v>
      </x:c>
      <x:c r="G489" s="12" t="n">
        <x:v>660.48</x:v>
      </x:c>
      <x:c r="H489" s="13" t="n">
        <x:v>160</x:v>
      </x:c>
      <x:c r="I489" s="13" t="n">
        <x:f>YEAR(B489)</x:f>
        <x:v>2024</x:v>
      </x:c>
      <x:c r="J489" s="13" t="n">
        <x:f>MONTH(B489)</x:f>
        <x:v>7</x:v>
      </x:c>
      <x:c r="K489" s="14" t="n">
        <x:f>ROUND(E489*F489-G489,10)</x:f>
        <x:v>0</x:v>
      </x:c>
      <x:c r="L489" s="2"/>
      <x:c r="M489" s="2"/>
      <x:c r="N489" s="2"/>
      <x:c r="O489" s="2"/>
      <x:c r="P489" s="2"/>
      <x:c r="Q489" s="2"/>
      <x:c r="R489" s="2"/>
    </x:row>
    <x:row r="490" ht="22" customHeight="1">
      <x:c r="A490" s="2" t="n">
        <x:v>100484</x:v>
      </x:c>
      <x:c r="B490" s="10" t="n">
        <x:v>44937</x:v>
      </x:c>
      <x:c r="C490" s="2" t="str">
        <x:v>Peru</x:v>
      </x:c>
      <x:c r="D490" s="2" t="str">
        <x:v>Acessórios</x:v>
      </x:c>
      <x:c r="E490" s="11" t="n">
        <x:v>9</x:v>
      </x:c>
      <x:c r="F490" s="12" t="n">
        <x:v>191.71</x:v>
      </x:c>
      <x:c r="G490" s="12" t="n">
        <x:v>1725.39</x:v>
      </x:c>
      <x:c r="H490" s="13" t="n">
        <x:v>267</x:v>
      </x:c>
      <x:c r="I490" s="13" t="n">
        <x:f>YEAR(B490)</x:f>
        <x:v>2023</x:v>
      </x:c>
      <x:c r="J490" s="13" t="n">
        <x:f>MONTH(B490)</x:f>
        <x:v>1</x:v>
      </x:c>
      <x:c r="K490" s="14" t="n">
        <x:f>ROUND(E490*F490-G490,10)</x:f>
        <x:v>0</x:v>
      </x:c>
      <x:c r="L490" s="2"/>
      <x:c r="M490" s="2"/>
      <x:c r="N490" s="2"/>
      <x:c r="O490" s="2"/>
      <x:c r="P490" s="2"/>
      <x:c r="Q490" s="2"/>
      <x:c r="R490" s="2"/>
    </x:row>
    <x:row r="491" ht="22" customHeight="1">
      <x:c r="A491" s="2" t="n">
        <x:v>100485</x:v>
      </x:c>
      <x:c r="B491" s="10" t="n">
        <x:v>45454</x:v>
      </x:c>
      <x:c r="C491" s="2" t="str">
        <x:v>Brasil</x:v>
      </x:c>
      <x:c r="D491" s="2" t="str">
        <x:v>Moda Infantil</x:v>
      </x:c>
      <x:c r="E491" s="11" t="n">
        <x:v>12</x:v>
      </x:c>
      <x:c r="F491" s="12" t="n">
        <x:v>175.8</x:v>
      </x:c>
      <x:c r="G491" s="12" t="n">
        <x:v>2109.6</x:v>
      </x:c>
      <x:c r="H491" s="13" t="n">
        <x:v>289</x:v>
      </x:c>
      <x:c r="I491" s="13" t="n">
        <x:f>YEAR(B491)</x:f>
        <x:v>2024</x:v>
      </x:c>
      <x:c r="J491" s="13" t="n">
        <x:f>MONTH(B491)</x:f>
        <x:v>6</x:v>
      </x:c>
      <x:c r="K491" s="14" t="n">
        <x:f>ROUND(E491*F491-G491,10)</x:f>
        <x:v>0</x:v>
      </x:c>
      <x:c r="L491" s="2"/>
      <x:c r="M491" s="2"/>
      <x:c r="N491" s="2"/>
      <x:c r="O491" s="2"/>
      <x:c r="P491" s="2"/>
      <x:c r="Q491" s="2"/>
      <x:c r="R491" s="2"/>
    </x:row>
    <x:row r="492" ht="22" customHeight="1">
      <x:c r="A492" s="2" t="n">
        <x:v>100486</x:v>
      </x:c>
      <x:c r="B492" s="10" t="n">
        <x:v>45220</x:v>
      </x:c>
      <x:c r="C492" s="2" t="str">
        <x:v>México</x:v>
      </x:c>
      <x:c r="D492" s="2" t="str">
        <x:v>Moda Masculina</x:v>
      </x:c>
      <x:c r="E492" s="11" t="n">
        <x:v>44</x:v>
      </x:c>
      <x:c r="F492" s="12" t="n">
        <x:v>123.9</x:v>
      </x:c>
      <x:c r="G492" s="12" t="n">
        <x:v>5451.6</x:v>
      </x:c>
      <x:c r="H492" s="13" t="n">
        <x:v>70</x:v>
      </x:c>
      <x:c r="I492" s="13" t="n">
        <x:f>YEAR(B492)</x:f>
        <x:v>2023</x:v>
      </x:c>
      <x:c r="J492" s="13" t="n">
        <x:f>MONTH(B492)</x:f>
        <x:v>10</x:v>
      </x:c>
      <x:c r="K492" s="14" t="n">
        <x:f>ROUND(E492*F492-G492,10)</x:f>
        <x:v>0</x:v>
      </x:c>
      <x:c r="L492" s="2"/>
      <x:c r="M492" s="2"/>
      <x:c r="N492" s="2"/>
      <x:c r="O492" s="2"/>
      <x:c r="P492" s="2"/>
      <x:c r="Q492" s="2"/>
      <x:c r="R492" s="2"/>
    </x:row>
    <x:row r="493" ht="22" customHeight="1">
      <x:c r="A493" s="2" t="n">
        <x:v>100487</x:v>
      </x:c>
      <x:c r="B493" s="10" t="n">
        <x:v>45447</x:v>
      </x:c>
      <x:c r="C493" s="2" t="str">
        <x:v>Peru</x:v>
      </x:c>
      <x:c r="D493" s="2" t="str">
        <x:v>Moda Infantil</x:v>
      </x:c>
      <x:c r="E493" s="11" t="n">
        <x:v>38</x:v>
      </x:c>
      <x:c r="F493" s="12" t="n">
        <x:v>141.33</x:v>
      </x:c>
      <x:c r="G493" s="12" t="n">
        <x:v>5370.540000000001</x:v>
      </x:c>
      <x:c r="H493" s="13" t="n">
        <x:v>190</x:v>
      </x:c>
      <x:c r="I493" s="13" t="n">
        <x:f>YEAR(B493)</x:f>
        <x:v>2024</x:v>
      </x:c>
      <x:c r="J493" s="13" t="n">
        <x:f>MONTH(B493)</x:f>
        <x:v>6</x:v>
      </x:c>
      <x:c r="K493" s="14" t="n">
        <x:f>ROUND(E493*F493-G493,10)</x:f>
        <x:v>0</x:v>
      </x:c>
      <x:c r="L493" s="2"/>
      <x:c r="M493" s="2"/>
      <x:c r="N493" s="2"/>
      <x:c r="O493" s="2"/>
      <x:c r="P493" s="2"/>
      <x:c r="Q493" s="2"/>
      <x:c r="R493" s="2"/>
    </x:row>
    <x:row r="494" ht="22" customHeight="1">
      <x:c r="A494" s="2" t="n">
        <x:v>100488</x:v>
      </x:c>
      <x:c r="B494" s="10" t="n">
        <x:v>45335</x:v>
      </x:c>
      <x:c r="C494" s="2" t="str">
        <x:v>Colômbia</x:v>
      </x:c>
      <x:c r="D494" s="2" t="str">
        <x:v>Acessórios</x:v>
      </x:c>
      <x:c r="E494" s="11" t="n">
        <x:v>19</x:v>
      </x:c>
      <x:c r="F494" s="12" t="n">
        <x:v>23</x:v>
      </x:c>
      <x:c r="G494" s="12" t="n">
        <x:v>437</x:v>
      </x:c>
      <x:c r="H494" s="13" t="n">
        <x:v>314</x:v>
      </x:c>
      <x:c r="I494" s="13" t="n">
        <x:f>YEAR(B494)</x:f>
        <x:v>2024</x:v>
      </x:c>
      <x:c r="J494" s="13" t="n">
        <x:f>MONTH(B494)</x:f>
        <x:v>2</x:v>
      </x:c>
      <x:c r="K494" s="14" t="n">
        <x:f>ROUND(E494*F494-G494,10)</x:f>
        <x:v>0</x:v>
      </x:c>
      <x:c r="L494" s="2"/>
      <x:c r="M494" s="2"/>
      <x:c r="N494" s="2"/>
      <x:c r="O494" s="2"/>
      <x:c r="P494" s="2"/>
      <x:c r="Q494" s="2"/>
      <x:c r="R494" s="2"/>
    </x:row>
    <x:row r="495" ht="22" customHeight="1">
      <x:c r="A495" s="2" t="n">
        <x:v>100489</x:v>
      </x:c>
      <x:c r="B495" s="10" t="n">
        <x:v>45302</x:v>
      </x:c>
      <x:c r="C495" s="2" t="str">
        <x:v>México</x:v>
      </x:c>
      <x:c r="D495" s="2" t="str">
        <x:v>Calçados</x:v>
      </x:c>
      <x:c r="E495" s="11" t="n">
        <x:v>7</x:v>
      </x:c>
      <x:c r="F495" s="12" t="n">
        <x:v>81.01</x:v>
      </x:c>
      <x:c r="G495" s="12" t="n">
        <x:v>567.07</x:v>
      </x:c>
      <x:c r="H495" s="13" t="n">
        <x:v>188</x:v>
      </x:c>
      <x:c r="I495" s="13" t="n">
        <x:f>YEAR(B495)</x:f>
        <x:v>2024</x:v>
      </x:c>
      <x:c r="J495" s="13" t="n">
        <x:f>MONTH(B495)</x:f>
        <x:v>1</x:v>
      </x:c>
      <x:c r="K495" s="14" t="n">
        <x:f>ROUND(E495*F495-G495,10)</x:f>
        <x:v>0</x:v>
      </x:c>
      <x:c r="L495" s="2"/>
      <x:c r="M495" s="2"/>
      <x:c r="N495" s="2"/>
      <x:c r="O495" s="2"/>
      <x:c r="P495" s="2"/>
      <x:c r="Q495" s="2"/>
      <x:c r="R495" s="2"/>
    </x:row>
    <x:row r="496" ht="22" customHeight="1">
      <x:c r="A496" s="2" t="n">
        <x:v>100490</x:v>
      </x:c>
      <x:c r="B496" s="10" t="n">
        <x:v>45079</x:v>
      </x:c>
      <x:c r="C496" s="2" t="str">
        <x:v>Brasil</x:v>
      </x:c>
      <x:c r="D496" s="2" t="str">
        <x:v>Moda Infantil</x:v>
      </x:c>
      <x:c r="E496" s="11" t="n">
        <x:v>35</x:v>
      </x:c>
      <x:c r="F496" s="12" t="n">
        <x:v>163.22</x:v>
      </x:c>
      <x:c r="G496" s="12" t="n">
        <x:v>5712.7</x:v>
      </x:c>
      <x:c r="H496" s="13" t="n">
        <x:v>119</x:v>
      </x:c>
      <x:c r="I496" s="13" t="n">
        <x:f>YEAR(B496)</x:f>
        <x:v>2023</x:v>
      </x:c>
      <x:c r="J496" s="13" t="n">
        <x:f>MONTH(B496)</x:f>
        <x:v>6</x:v>
      </x:c>
      <x:c r="K496" s="14" t="n">
        <x:f>ROUND(E496*F496-G496,10)</x:f>
        <x:v>0</x:v>
      </x:c>
      <x:c r="L496" s="2"/>
      <x:c r="M496" s="2"/>
      <x:c r="N496" s="2"/>
      <x:c r="O496" s="2"/>
      <x:c r="P496" s="2"/>
      <x:c r="Q496" s="2"/>
      <x:c r="R496" s="2"/>
    </x:row>
    <x:row r="497" ht="22" customHeight="1">
      <x:c r="A497" s="2" t="n">
        <x:v>100491</x:v>
      </x:c>
      <x:c r="B497" s="10" t="n">
        <x:v>45585</x:v>
      </x:c>
      <x:c r="C497" s="2" t="str">
        <x:v>Peru</x:v>
      </x:c>
      <x:c r="D497" s="2" t="str">
        <x:v>Calçados</x:v>
      </x:c>
      <x:c r="E497" s="11" t="n">
        <x:v>48</x:v>
      </x:c>
      <x:c r="F497" s="12" t="n">
        <x:v>33.95</x:v>
      </x:c>
      <x:c r="G497" s="12" t="n">
        <x:v>1629.6</x:v>
      </x:c>
      <x:c r="H497" s="13" t="n">
        <x:v>434</x:v>
      </x:c>
      <x:c r="I497" s="13" t="n">
        <x:f>YEAR(B497)</x:f>
        <x:v>2024</x:v>
      </x:c>
      <x:c r="J497" s="13" t="n">
        <x:f>MONTH(B497)</x:f>
        <x:v>10</x:v>
      </x:c>
      <x:c r="K497" s="14" t="n">
        <x:f>ROUND(E497*F497-G497,10)</x:f>
        <x:v>0</x:v>
      </x:c>
      <x:c r="L497" s="2"/>
      <x:c r="M497" s="2"/>
      <x:c r="N497" s="2"/>
      <x:c r="O497" s="2"/>
      <x:c r="P497" s="2"/>
      <x:c r="Q497" s="2"/>
      <x:c r="R497" s="2"/>
    </x:row>
    <x:row r="498" ht="22" customHeight="1">
      <x:c r="A498" s="2" t="n">
        <x:v>100492</x:v>
      </x:c>
      <x:c r="B498" s="10" t="n">
        <x:v>45103</x:v>
      </x:c>
      <x:c r="C498" s="2" t="str">
        <x:v>Peru</x:v>
      </x:c>
      <x:c r="D498" s="2" t="str">
        <x:v>Calçados</x:v>
      </x:c>
      <x:c r="E498" s="11" t="n">
        <x:v>18</x:v>
      </x:c>
      <x:c r="F498" s="12" t="n">
        <x:v>70.82</x:v>
      </x:c>
      <x:c r="G498" s="12" t="n">
        <x:v>1274.76</x:v>
      </x:c>
      <x:c r="H498" s="13" t="n">
        <x:v>167</x:v>
      </x:c>
      <x:c r="I498" s="13" t="n">
        <x:f>YEAR(B498)</x:f>
        <x:v>2023</x:v>
      </x:c>
      <x:c r="J498" s="13" t="n">
        <x:f>MONTH(B498)</x:f>
        <x:v>6</x:v>
      </x:c>
      <x:c r="K498" s="14" t="n">
        <x:f>ROUND(E498*F498-G498,10)</x:f>
        <x:v>0</x:v>
      </x:c>
      <x:c r="L498" s="2"/>
      <x:c r="M498" s="2"/>
      <x:c r="N498" s="2"/>
      <x:c r="O498" s="2"/>
      <x:c r="P498" s="2"/>
      <x:c r="Q498" s="2"/>
      <x:c r="R498" s="2"/>
    </x:row>
    <x:row r="499" ht="22" customHeight="1">
      <x:c r="A499" s="2" t="n">
        <x:v>100493</x:v>
      </x:c>
      <x:c r="B499" s="10" t="n">
        <x:v>45416</x:v>
      </x:c>
      <x:c r="C499" s="2" t="str">
        <x:v>Peru</x:v>
      </x:c>
      <x:c r="D499" s="2" t="str">
        <x:v>Moda Feminina</x:v>
      </x:c>
      <x:c r="E499" s="11" t="n">
        <x:v>16</x:v>
      </x:c>
      <x:c r="F499" s="12" t="n">
        <x:v>125.35</x:v>
      </x:c>
      <x:c r="G499" s="12" t="n">
        <x:v>2005.6</x:v>
      </x:c>
      <x:c r="H499" s="13" t="n">
        <x:v>247</x:v>
      </x:c>
      <x:c r="I499" s="13" t="n">
        <x:f>YEAR(B499)</x:f>
        <x:v>2024</x:v>
      </x:c>
      <x:c r="J499" s="13" t="n">
        <x:f>MONTH(B499)</x:f>
        <x:v>5</x:v>
      </x:c>
      <x:c r="K499" s="14" t="n">
        <x:f>ROUND(E499*F499-G499,10)</x:f>
        <x:v>0</x:v>
      </x:c>
      <x:c r="L499" s="2"/>
      <x:c r="M499" s="2"/>
      <x:c r="N499" s="2"/>
      <x:c r="O499" s="2"/>
      <x:c r="P499" s="2"/>
      <x:c r="Q499" s="2"/>
      <x:c r="R499" s="2"/>
    </x:row>
    <x:row r="500" ht="22" customHeight="1">
      <x:c r="A500" s="2" t="n">
        <x:v>100494</x:v>
      </x:c>
      <x:c r="B500" s="10" t="n">
        <x:v>45333</x:v>
      </x:c>
      <x:c r="C500" s="2" t="str">
        <x:v>Colômbia</x:v>
      </x:c>
      <x:c r="D500" s="2" t="str">
        <x:v>Moda Infantil</x:v>
      </x:c>
      <x:c r="E500" s="11" t="n">
        <x:v>39</x:v>
      </x:c>
      <x:c r="F500" s="12" t="n">
        <x:v>66.15</x:v>
      </x:c>
      <x:c r="G500" s="12" t="n">
        <x:v>2579.85</x:v>
      </x:c>
      <x:c r="H500" s="13" t="n">
        <x:v>254</x:v>
      </x:c>
      <x:c r="I500" s="13" t="n">
        <x:f>YEAR(B500)</x:f>
        <x:v>2024</x:v>
      </x:c>
      <x:c r="J500" s="13" t="n">
        <x:f>MONTH(B500)</x:f>
        <x:v>2</x:v>
      </x:c>
      <x:c r="K500" s="14" t="n">
        <x:f>ROUND(E500*F500-G500,10)</x:f>
        <x:v>0</x:v>
      </x:c>
      <x:c r="L500" s="2"/>
      <x:c r="M500" s="2"/>
      <x:c r="N500" s="2"/>
      <x:c r="O500" s="2"/>
      <x:c r="P500" s="2"/>
      <x:c r="Q500" s="2"/>
      <x:c r="R500" s="2"/>
    </x:row>
    <x:row r="501" ht="22" customHeight="1">
      <x:c r="A501" s="2" t="n">
        <x:v>100495</x:v>
      </x:c>
      <x:c r="B501" s="10" t="n">
        <x:v>45299</x:v>
      </x:c>
      <x:c r="C501" s="2" t="str">
        <x:v>México</x:v>
      </x:c>
      <x:c r="D501" s="2" t="str">
        <x:v>Moda Infantil</x:v>
      </x:c>
      <x:c r="E501" s="11" t="n">
        <x:v>4</x:v>
      </x:c>
      <x:c r="F501" s="12" t="n">
        <x:v>188.12</x:v>
      </x:c>
      <x:c r="G501" s="12" t="n">
        <x:v>752.48</x:v>
      </x:c>
      <x:c r="H501" s="13" t="n">
        <x:v>263</x:v>
      </x:c>
      <x:c r="I501" s="13" t="n">
        <x:f>YEAR(B501)</x:f>
        <x:v>2024</x:v>
      </x:c>
      <x:c r="J501" s="13" t="n">
        <x:f>MONTH(B501)</x:f>
        <x:v>1</x:v>
      </x:c>
      <x:c r="K501" s="14" t="n">
        <x:f>ROUND(E501*F501-G501,10)</x:f>
        <x:v>0</x:v>
      </x:c>
      <x:c r="L501" s="2"/>
      <x:c r="M501" s="2"/>
      <x:c r="N501" s="2"/>
      <x:c r="O501" s="2"/>
      <x:c r="P501" s="2"/>
      <x:c r="Q501" s="2"/>
      <x:c r="R501" s="2"/>
    </x:row>
    <x:row r="502" ht="22" customHeight="1">
      <x:c r="A502" s="2" t="n">
        <x:v>100496</x:v>
      </x:c>
      <x:c r="B502" s="10" t="n">
        <x:v>45112</x:v>
      </x:c>
      <x:c r="C502" s="2" t="str">
        <x:v>Colômbia</x:v>
      </x:c>
      <x:c r="D502" s="2" t="str">
        <x:v>Calçados</x:v>
      </x:c>
      <x:c r="E502" s="11" t="n">
        <x:v>25</x:v>
      </x:c>
      <x:c r="F502" s="12" t="n">
        <x:v>43.59</x:v>
      </x:c>
      <x:c r="G502" s="12" t="n">
        <x:v>1089.75</x:v>
      </x:c>
      <x:c r="H502" s="13" t="n">
        <x:v>105</x:v>
      </x:c>
      <x:c r="I502" s="13" t="n">
        <x:f>YEAR(B502)</x:f>
        <x:v>2023</x:v>
      </x:c>
      <x:c r="J502" s="13" t="n">
        <x:f>MONTH(B502)</x:f>
        <x:v>7</x:v>
      </x:c>
      <x:c r="K502" s="14" t="n">
        <x:f>ROUND(E502*F502-G502,10)</x:f>
        <x:v>0</x:v>
      </x:c>
      <x:c r="L502" s="2"/>
      <x:c r="M502" s="2"/>
      <x:c r="N502" s="2"/>
      <x:c r="O502" s="2"/>
      <x:c r="P502" s="2"/>
      <x:c r="Q502" s="2"/>
      <x:c r="R502" s="2"/>
    </x:row>
    <x:row r="503" ht="22" customHeight="1">
      <x:c r="A503" s="2" t="n">
        <x:v>100497</x:v>
      </x:c>
      <x:c r="B503" s="10" t="n">
        <x:v>45542</x:v>
      </x:c>
      <x:c r="C503" s="2" t="str">
        <x:v>Argentina</x:v>
      </x:c>
      <x:c r="D503" s="2" t="str">
        <x:v>Acessórios</x:v>
      </x:c>
      <x:c r="E503" s="11" t="n">
        <x:v>32</x:v>
      </x:c>
      <x:c r="F503" s="12" t="n">
        <x:v>163.53</x:v>
      </x:c>
      <x:c r="G503" s="12" t="n">
        <x:v>5232.96</x:v>
      </x:c>
      <x:c r="H503" s="13" t="n">
        <x:v>336</x:v>
      </x:c>
      <x:c r="I503" s="13" t="n">
        <x:f>YEAR(B503)</x:f>
        <x:v>2024</x:v>
      </x:c>
      <x:c r="J503" s="13" t="n">
        <x:f>MONTH(B503)</x:f>
        <x:v>9</x:v>
      </x:c>
      <x:c r="K503" s="14" t="n">
        <x:f>ROUND(E503*F503-G503,10)</x:f>
        <x:v>0</x:v>
      </x:c>
      <x:c r="L503" s="2"/>
      <x:c r="M503" s="2"/>
      <x:c r="N503" s="2"/>
      <x:c r="O503" s="2"/>
      <x:c r="P503" s="2"/>
      <x:c r="Q503" s="2"/>
      <x:c r="R503" s="2"/>
    </x:row>
    <x:row r="504" ht="22" customHeight="1">
      <x:c r="A504" s="2" t="n">
        <x:v>100498</x:v>
      </x:c>
      <x:c r="B504" s="10" t="n">
        <x:v>45026</x:v>
      </x:c>
      <x:c r="C504" s="2" t="str">
        <x:v>Argentina</x:v>
      </x:c>
      <x:c r="D504" s="2" t="str">
        <x:v>Moda Feminina</x:v>
      </x:c>
      <x:c r="E504" s="11" t="n">
        <x:v>40</x:v>
      </x:c>
      <x:c r="F504" s="12" t="n">
        <x:v>111.43</x:v>
      </x:c>
      <x:c r="G504" s="12" t="n">
        <x:v>4457.200000000001</x:v>
      </x:c>
      <x:c r="H504" s="13" t="n">
        <x:v>342</x:v>
      </x:c>
      <x:c r="I504" s="13" t="n">
        <x:f>YEAR(B504)</x:f>
        <x:v>2023</x:v>
      </x:c>
      <x:c r="J504" s="13" t="n">
        <x:f>MONTH(B504)</x:f>
        <x:v>4</x:v>
      </x:c>
      <x:c r="K504" s="14" t="n">
        <x:f>ROUND(E504*F504-G504,10)</x:f>
        <x:v>0</x:v>
      </x:c>
      <x:c r="L504" s="2"/>
      <x:c r="M504" s="2"/>
      <x:c r="N504" s="2"/>
      <x:c r="O504" s="2"/>
      <x:c r="P504" s="2"/>
      <x:c r="Q504" s="2"/>
      <x:c r="R504" s="2"/>
    </x:row>
    <x:row r="505" ht="22" customHeight="1">
      <x:c r="A505" s="2" t="n">
        <x:v>100499</x:v>
      </x:c>
      <x:c r="B505" s="10" t="n">
        <x:v>45266</x:v>
      </x:c>
      <x:c r="C505" s="2" t="str">
        <x:v>México</x:v>
      </x:c>
      <x:c r="D505" s="2" t="str">
        <x:v>Calçados</x:v>
      </x:c>
      <x:c r="E505" s="11" t="n">
        <x:v>13</x:v>
      </x:c>
      <x:c r="F505" s="12" t="n">
        <x:v>155.06</x:v>
      </x:c>
      <x:c r="G505" s="12" t="n">
        <x:v>2015.78</x:v>
      </x:c>
      <x:c r="H505" s="13" t="n">
        <x:v>224</x:v>
      </x:c>
      <x:c r="I505" s="13" t="n">
        <x:f>YEAR(B505)</x:f>
        <x:v>2023</x:v>
      </x:c>
      <x:c r="J505" s="13" t="n">
        <x:f>MONTH(B505)</x:f>
        <x:v>12</x:v>
      </x:c>
      <x:c r="K505" s="14" t="n">
        <x:f>ROUND(E505*F505-G505,10)</x:f>
        <x:v>0</x:v>
      </x:c>
      <x:c r="L505" s="2"/>
      <x:c r="M505" s="2"/>
      <x:c r="N505" s="2"/>
      <x:c r="O505" s="2"/>
      <x:c r="P505" s="2"/>
      <x:c r="Q505" s="2"/>
      <x:c r="R505" s="2"/>
    </x:row>
    <x:row r="506" ht="22" customHeight="1">
      <x:c r="A506" s="2" t="n">
        <x:v>100500</x:v>
      </x:c>
      <x:c r="B506" s="10" t="n">
        <x:v>45603</x:v>
      </x:c>
      <x:c r="C506" s="2" t="str">
        <x:v>Colômbia</x:v>
      </x:c>
      <x:c r="D506" s="2" t="str">
        <x:v>Moda Masculina</x:v>
      </x:c>
      <x:c r="E506" s="11" t="n">
        <x:v>45</x:v>
      </x:c>
      <x:c r="F506" s="12" t="n">
        <x:v>75.93</x:v>
      </x:c>
      <x:c r="G506" s="12" t="n">
        <x:v>3416.85</x:v>
      </x:c>
      <x:c r="H506" s="13" t="n">
        <x:v>396</x:v>
      </x:c>
      <x:c r="I506" s="13" t="n">
        <x:f>YEAR(B506)</x:f>
        <x:v>2024</x:v>
      </x:c>
      <x:c r="J506" s="13" t="n">
        <x:f>MONTH(B506)</x:f>
        <x:v>11</x:v>
      </x:c>
      <x:c r="K506" s="14" t="n">
        <x:f>ROUND(E506*F506-G506,10)</x:f>
        <x:v>0</x:v>
      </x:c>
      <x:c r="L506" s="2"/>
      <x:c r="M506" s="2"/>
      <x:c r="N506" s="2"/>
      <x:c r="O506" s="2"/>
      <x:c r="P506" s="2"/>
      <x:c r="Q506" s="2"/>
      <x:c r="R506" s="2"/>
    </x:row>
    <x:row r="507" ht="22" customHeight="1">
      <x:c r="A507" s="2" t="n">
        <x:v>100501</x:v>
      </x:c>
      <x:c r="B507" s="10" t="n">
        <x:v>45049</x:v>
      </x:c>
      <x:c r="C507" s="2" t="str">
        <x:v>Brasil</x:v>
      </x:c>
      <x:c r="D507" s="2" t="str">
        <x:v>Moda Masculina</x:v>
      </x:c>
      <x:c r="E507" s="11" t="n">
        <x:v>17</x:v>
      </x:c>
      <x:c r="F507" s="12" t="n">
        <x:v>112.61</x:v>
      </x:c>
      <x:c r="G507" s="12" t="n">
        <x:v>1914.37</x:v>
      </x:c>
      <x:c r="H507" s="13" t="n">
        <x:v>419</x:v>
      </x:c>
      <x:c r="I507" s="13" t="n">
        <x:f>YEAR(B507)</x:f>
        <x:v>2023</x:v>
      </x:c>
      <x:c r="J507" s="13" t="n">
        <x:f>MONTH(B507)</x:f>
        <x:v>5</x:v>
      </x:c>
      <x:c r="K507" s="14" t="n">
        <x:f>ROUND(E507*F507-G507,10)</x:f>
        <x:v>0</x:v>
      </x:c>
      <x:c r="L507" s="2"/>
      <x:c r="M507" s="2"/>
      <x:c r="N507" s="2"/>
      <x:c r="O507" s="2"/>
      <x:c r="P507" s="2"/>
      <x:c r="Q507" s="2"/>
      <x:c r="R507" s="2"/>
    </x:row>
    <x:row r="508" ht="22" customHeight="1">
      <x:c r="A508" s="2" t="n">
        <x:v>100502</x:v>
      </x:c>
      <x:c r="B508" s="10" t="n">
        <x:v>45460</x:v>
      </x:c>
      <x:c r="C508" s="2" t="str">
        <x:v>Peru</x:v>
      </x:c>
      <x:c r="D508" s="2" t="str">
        <x:v>Moda Feminina</x:v>
      </x:c>
      <x:c r="E508" s="11" t="n">
        <x:v>49</x:v>
      </x:c>
      <x:c r="F508" s="12" t="n">
        <x:v>174.23</x:v>
      </x:c>
      <x:c r="G508" s="12" t="n">
        <x:v>8537.269999999999</x:v>
      </x:c>
      <x:c r="H508" s="13" t="n">
        <x:v>177</x:v>
      </x:c>
      <x:c r="I508" s="13" t="n">
        <x:f>YEAR(B508)</x:f>
        <x:v>2024</x:v>
      </x:c>
      <x:c r="J508" s="13" t="n">
        <x:f>MONTH(B508)</x:f>
        <x:v>6</x:v>
      </x:c>
      <x:c r="K508" s="14" t="n">
        <x:f>ROUND(E508*F508-G508,10)</x:f>
        <x:v>0</x:v>
      </x:c>
      <x:c r="L508" s="2"/>
      <x:c r="M508" s="2"/>
      <x:c r="N508" s="2"/>
      <x:c r="O508" s="2"/>
      <x:c r="P508" s="2"/>
      <x:c r="Q508" s="2"/>
      <x:c r="R508" s="2"/>
    </x:row>
    <x:row r="509" ht="22" customHeight="1">
      <x:c r="A509" s="2" t="n">
        <x:v>100503</x:v>
      </x:c>
      <x:c r="B509" s="10" t="n">
        <x:v>45586</x:v>
      </x:c>
      <x:c r="C509" s="2" t="str">
        <x:v>Peru</x:v>
      </x:c>
      <x:c r="D509" s="2" t="str">
        <x:v>Acessórios</x:v>
      </x:c>
      <x:c r="E509" s="11" t="n">
        <x:v>37</x:v>
      </x:c>
      <x:c r="F509" s="12" t="n">
        <x:v>104.04</x:v>
      </x:c>
      <x:c r="G509" s="12" t="n">
        <x:v>3849.48</x:v>
      </x:c>
      <x:c r="H509" s="13" t="n">
        <x:v>480</x:v>
      </x:c>
      <x:c r="I509" s="13" t="n">
        <x:f>YEAR(B509)</x:f>
        <x:v>2024</x:v>
      </x:c>
      <x:c r="J509" s="13" t="n">
        <x:f>MONTH(B509)</x:f>
        <x:v>10</x:v>
      </x:c>
      <x:c r="K509" s="14" t="n">
        <x:f>ROUND(E509*F509-G509,10)</x:f>
        <x:v>0</x:v>
      </x:c>
      <x:c r="L509" s="2"/>
      <x:c r="M509" s="2"/>
      <x:c r="N509" s="2"/>
      <x:c r="O509" s="2"/>
      <x:c r="P509" s="2"/>
      <x:c r="Q509" s="2"/>
      <x:c r="R509" s="2"/>
    </x:row>
    <x:row r="510" ht="22" customHeight="1">
      <x:c r="A510" s="2" t="n">
        <x:v>100504</x:v>
      </x:c>
      <x:c r="B510" s="10" t="n">
        <x:v>45336</x:v>
      </x:c>
      <x:c r="C510" s="2" t="str">
        <x:v>México</x:v>
      </x:c>
      <x:c r="D510" s="2" t="str">
        <x:v>Calçados</x:v>
      </x:c>
      <x:c r="E510" s="11" t="n">
        <x:v>6</x:v>
      </x:c>
      <x:c r="F510" s="12" t="n">
        <x:v>84.75</x:v>
      </x:c>
      <x:c r="G510" s="12" t="n">
        <x:v>508.5</x:v>
      </x:c>
      <x:c r="H510" s="13" t="n">
        <x:v>427</x:v>
      </x:c>
      <x:c r="I510" s="13" t="n">
        <x:f>YEAR(B510)</x:f>
        <x:v>2024</x:v>
      </x:c>
      <x:c r="J510" s="13" t="n">
        <x:f>MONTH(B510)</x:f>
        <x:v>2</x:v>
      </x:c>
      <x:c r="K510" s="14" t="n">
        <x:f>ROUND(E510*F510-G510,10)</x:f>
        <x:v>0</x:v>
      </x:c>
      <x:c r="L510" s="2"/>
      <x:c r="M510" s="2"/>
      <x:c r="N510" s="2"/>
      <x:c r="O510" s="2"/>
      <x:c r="P510" s="2"/>
      <x:c r="Q510" s="2"/>
      <x:c r="R510" s="2"/>
    </x:row>
    <x:row r="511" ht="22" customHeight="1">
      <x:c r="A511" s="2" t="n">
        <x:v>100505</x:v>
      </x:c>
      <x:c r="B511" s="10" t="n">
        <x:v>45317</x:v>
      </x:c>
      <x:c r="C511" s="2" t="str">
        <x:v>Argentina</x:v>
      </x:c>
      <x:c r="D511" s="2" t="str">
        <x:v>Moda Infantil</x:v>
      </x:c>
      <x:c r="E511" s="11" t="n">
        <x:v>19</x:v>
      </x:c>
      <x:c r="F511" s="12" t="n">
        <x:v>116.51</x:v>
      </x:c>
      <x:c r="G511" s="12" t="n">
        <x:v>2213.69</x:v>
      </x:c>
      <x:c r="H511" s="13" t="n">
        <x:v>374</x:v>
      </x:c>
      <x:c r="I511" s="13" t="n">
        <x:f>YEAR(B511)</x:f>
        <x:v>2024</x:v>
      </x:c>
      <x:c r="J511" s="13" t="n">
        <x:f>MONTH(B511)</x:f>
        <x:v>1</x:v>
      </x:c>
      <x:c r="K511" s="14" t="n">
        <x:f>ROUND(E511*F511-G511,10)</x:f>
        <x:v>0</x:v>
      </x:c>
      <x:c r="L511" s="2"/>
      <x:c r="M511" s="2"/>
      <x:c r="N511" s="2"/>
      <x:c r="O511" s="2"/>
      <x:c r="P511" s="2"/>
      <x:c r="Q511" s="2"/>
      <x:c r="R511" s="2"/>
    </x:row>
    <x:row r="512" ht="22" customHeight="1">
      <x:c r="A512" s="2" t="n">
        <x:v>100506</x:v>
      </x:c>
      <x:c r="B512" s="10" t="n">
        <x:v>45097</x:v>
      </x:c>
      <x:c r="C512" s="2" t="str">
        <x:v>Argentina</x:v>
      </x:c>
      <x:c r="D512" s="2" t="str">
        <x:v>Moda Feminina</x:v>
      </x:c>
      <x:c r="E512" s="11" t="n">
        <x:v>13</x:v>
      </x:c>
      <x:c r="F512" s="12" t="n">
        <x:v>149.13</x:v>
      </x:c>
      <x:c r="G512" s="12" t="n">
        <x:v>1938.69</x:v>
      </x:c>
      <x:c r="H512" s="13" t="n">
        <x:v>491</x:v>
      </x:c>
      <x:c r="I512" s="13" t="n">
        <x:f>YEAR(B512)</x:f>
        <x:v>2023</x:v>
      </x:c>
      <x:c r="J512" s="13" t="n">
        <x:f>MONTH(B512)</x:f>
        <x:v>6</x:v>
      </x:c>
      <x:c r="K512" s="14" t="n">
        <x:f>ROUND(E512*F512-G512,10)</x:f>
        <x:v>0</x:v>
      </x:c>
      <x:c r="L512" s="2"/>
      <x:c r="M512" s="2"/>
      <x:c r="N512" s="2"/>
      <x:c r="O512" s="2"/>
      <x:c r="P512" s="2"/>
      <x:c r="Q512" s="2"/>
      <x:c r="R512" s="2"/>
    </x:row>
    <x:row r="513" ht="22" customHeight="1">
      <x:c r="A513" s="2" t="n">
        <x:v>100507</x:v>
      </x:c>
      <x:c r="B513" s="10" t="n">
        <x:v>45629</x:v>
      </x:c>
      <x:c r="C513" s="2" t="str">
        <x:v>Peru</x:v>
      </x:c>
      <x:c r="D513" s="2" t="str">
        <x:v>Acessórios</x:v>
      </x:c>
      <x:c r="E513" s="11" t="n">
        <x:v>26</x:v>
      </x:c>
      <x:c r="F513" s="12" t="n">
        <x:v>99.84</x:v>
      </x:c>
      <x:c r="G513" s="12" t="n">
        <x:v>2595.84</x:v>
      </x:c>
      <x:c r="H513" s="13" t="n">
        <x:v>341</x:v>
      </x:c>
      <x:c r="I513" s="13" t="n">
        <x:f>YEAR(B513)</x:f>
        <x:v>2024</x:v>
      </x:c>
      <x:c r="J513" s="13" t="n">
        <x:f>MONTH(B513)</x:f>
        <x:v>12</x:v>
      </x:c>
      <x:c r="K513" s="14" t="n">
        <x:f>ROUND(E513*F513-G513,10)</x:f>
        <x:v>0</x:v>
      </x:c>
      <x:c r="L513" s="2"/>
      <x:c r="M513" s="2"/>
      <x:c r="N513" s="2"/>
      <x:c r="O513" s="2"/>
      <x:c r="P513" s="2"/>
      <x:c r="Q513" s="2"/>
      <x:c r="R513" s="2"/>
    </x:row>
    <x:row r="514" ht="22" customHeight="1">
      <x:c r="A514" s="2" t="n">
        <x:v>100508</x:v>
      </x:c>
      <x:c r="B514" s="10" t="n">
        <x:v>45494</x:v>
      </x:c>
      <x:c r="C514" s="2" t="str">
        <x:v>México</x:v>
      </x:c>
      <x:c r="D514" s="2" t="str">
        <x:v>Moda Infantil</x:v>
      </x:c>
      <x:c r="E514" s="11" t="n">
        <x:v>14</x:v>
      </x:c>
      <x:c r="F514" s="12" t="n">
        <x:v>189</x:v>
      </x:c>
      <x:c r="G514" s="12" t="n">
        <x:v>2646</x:v>
      </x:c>
      <x:c r="H514" s="13" t="n">
        <x:v>337</x:v>
      </x:c>
      <x:c r="I514" s="13" t="n">
        <x:f>YEAR(B514)</x:f>
        <x:v>2024</x:v>
      </x:c>
      <x:c r="J514" s="13" t="n">
        <x:f>MONTH(B514)</x:f>
        <x:v>7</x:v>
      </x:c>
      <x:c r="K514" s="14" t="n">
        <x:f>ROUND(E514*F514-G514,10)</x:f>
        <x:v>0</x:v>
      </x:c>
      <x:c r="L514" s="2"/>
      <x:c r="M514" s="2"/>
      <x:c r="N514" s="2"/>
      <x:c r="O514" s="2"/>
      <x:c r="P514" s="2"/>
      <x:c r="Q514" s="2"/>
      <x:c r="R514" s="2"/>
    </x:row>
    <x:row r="515" ht="22" customHeight="1">
      <x:c r="A515" s="2" t="n">
        <x:v>100509</x:v>
      </x:c>
      <x:c r="B515" s="10" t="n">
        <x:v>44947</x:v>
      </x:c>
      <x:c r="C515" s="2" t="str">
        <x:v>Colômbia</x:v>
      </x:c>
      <x:c r="D515" s="2" t="str">
        <x:v>Moda Masculina</x:v>
      </x:c>
      <x:c r="E515" s="11" t="n">
        <x:v>31</x:v>
      </x:c>
      <x:c r="F515" s="12" t="n">
        <x:v>73.09</x:v>
      </x:c>
      <x:c r="G515" s="12" t="n">
        <x:v>2265.79</x:v>
      </x:c>
      <x:c r="H515" s="13" t="n">
        <x:v>275</x:v>
      </x:c>
      <x:c r="I515" s="13" t="n">
        <x:f>YEAR(B515)</x:f>
        <x:v>2023</x:v>
      </x:c>
      <x:c r="J515" s="13" t="n">
        <x:f>MONTH(B515)</x:f>
        <x:v>1</x:v>
      </x:c>
      <x:c r="K515" s="14" t="n">
        <x:f>ROUND(E515*F515-G515,10)</x:f>
        <x:v>0</x:v>
      </x:c>
      <x:c r="L515" s="2"/>
      <x:c r="M515" s="2"/>
      <x:c r="N515" s="2"/>
      <x:c r="O515" s="2"/>
      <x:c r="P515" s="2"/>
      <x:c r="Q515" s="2"/>
      <x:c r="R515" s="2"/>
    </x:row>
    <x:row r="516" ht="22" customHeight="1">
      <x:c r="A516" s="2" t="n">
        <x:v>100510</x:v>
      </x:c>
      <x:c r="B516" s="10" t="n">
        <x:v>45187</x:v>
      </x:c>
      <x:c r="C516" s="2" t="str">
        <x:v>Argentina</x:v>
      </x:c>
      <x:c r="D516" s="2" t="str">
        <x:v>Moda Masculina</x:v>
      </x:c>
      <x:c r="E516" s="11" t="n">
        <x:v>4</x:v>
      </x:c>
      <x:c r="F516" s="12" t="n">
        <x:v>105.58</x:v>
      </x:c>
      <x:c r="G516" s="12" t="n">
        <x:v>422.32</x:v>
      </x:c>
      <x:c r="H516" s="13" t="n">
        <x:v>113</x:v>
      </x:c>
      <x:c r="I516" s="13" t="n">
        <x:f>YEAR(B516)</x:f>
        <x:v>2023</x:v>
      </x:c>
      <x:c r="J516" s="13" t="n">
        <x:f>MONTH(B516)</x:f>
        <x:v>9</x:v>
      </x:c>
      <x:c r="K516" s="14" t="n">
        <x:f>ROUND(E516*F516-G516,10)</x:f>
        <x:v>0</x:v>
      </x:c>
      <x:c r="L516" s="2"/>
      <x:c r="M516" s="2"/>
      <x:c r="N516" s="2"/>
      <x:c r="O516" s="2"/>
      <x:c r="P516" s="2"/>
      <x:c r="Q516" s="2"/>
      <x:c r="R516" s="2"/>
    </x:row>
    <x:row r="517" ht="22" customHeight="1">
      <x:c r="A517" s="2" t="n">
        <x:v>100511</x:v>
      </x:c>
      <x:c r="B517" s="10" t="n">
        <x:v>44960</x:v>
      </x:c>
      <x:c r="C517" s="2" t="str">
        <x:v>Colômbia</x:v>
      </x:c>
      <x:c r="D517" s="2" t="str">
        <x:v>Moda Infantil</x:v>
      </x:c>
      <x:c r="E517" s="11" t="n">
        <x:v>39</x:v>
      </x:c>
      <x:c r="F517" s="12" t="n">
        <x:v>156.25</x:v>
      </x:c>
      <x:c r="G517" s="12" t="n">
        <x:v>6093.75</x:v>
      </x:c>
      <x:c r="H517" s="13" t="n">
        <x:v>475</x:v>
      </x:c>
      <x:c r="I517" s="13" t="n">
        <x:f>YEAR(B517)</x:f>
        <x:v>2023</x:v>
      </x:c>
      <x:c r="J517" s="13" t="n">
        <x:f>MONTH(B517)</x:f>
        <x:v>2</x:v>
      </x:c>
      <x:c r="K517" s="14" t="n">
        <x:f>ROUND(E517*F517-G517,10)</x:f>
        <x:v>0</x:v>
      </x:c>
      <x:c r="L517" s="2"/>
      <x:c r="M517" s="2"/>
      <x:c r="N517" s="2"/>
      <x:c r="O517" s="2"/>
      <x:c r="P517" s="2"/>
      <x:c r="Q517" s="2"/>
      <x:c r="R517" s="2"/>
    </x:row>
    <x:row r="518" ht="22" customHeight="1">
      <x:c r="A518" s="2" t="n">
        <x:v>100512</x:v>
      </x:c>
      <x:c r="B518" s="10" t="n">
        <x:v>45342</x:v>
      </x:c>
      <x:c r="C518" s="2" t="str">
        <x:v>Argentina</x:v>
      </x:c>
      <x:c r="D518" s="2" t="str">
        <x:v>Moda Feminina</x:v>
      </x:c>
      <x:c r="E518" s="11" t="n">
        <x:v>8</x:v>
      </x:c>
      <x:c r="F518" s="12" t="n">
        <x:v>144.04</x:v>
      </x:c>
      <x:c r="G518" s="12" t="n">
        <x:v>1152.32</x:v>
      </x:c>
      <x:c r="H518" s="13" t="n">
        <x:v>97</x:v>
      </x:c>
      <x:c r="I518" s="13" t="n">
        <x:f>YEAR(B518)</x:f>
        <x:v>2024</x:v>
      </x:c>
      <x:c r="J518" s="13" t="n">
        <x:f>MONTH(B518)</x:f>
        <x:v>2</x:v>
      </x:c>
      <x:c r="K518" s="14" t="n">
        <x:f>ROUND(E518*F518-G518,10)</x:f>
        <x:v>0</x:v>
      </x:c>
      <x:c r="L518" s="2"/>
      <x:c r="M518" s="2"/>
      <x:c r="N518" s="2"/>
      <x:c r="O518" s="2"/>
      <x:c r="P518" s="2"/>
      <x:c r="Q518" s="2"/>
      <x:c r="R518" s="2"/>
    </x:row>
    <x:row r="519" ht="22" customHeight="1">
      <x:c r="A519" s="2" t="n">
        <x:v>100513</x:v>
      </x:c>
      <x:c r="B519" s="10" t="n">
        <x:v>45375</x:v>
      </x:c>
      <x:c r="C519" s="2" t="str">
        <x:v>Argentina</x:v>
      </x:c>
      <x:c r="D519" s="2" t="str">
        <x:v>Moda Masculina</x:v>
      </x:c>
      <x:c r="E519" s="11" t="n">
        <x:v>25</x:v>
      </x:c>
      <x:c r="F519" s="12" t="n">
        <x:v>175.46</x:v>
      </x:c>
      <x:c r="G519" s="12" t="n">
        <x:v>4386.5</x:v>
      </x:c>
      <x:c r="H519" s="13" t="n">
        <x:v>251</x:v>
      </x:c>
      <x:c r="I519" s="13" t="n">
        <x:f>YEAR(B519)</x:f>
        <x:v>2024</x:v>
      </x:c>
      <x:c r="J519" s="13" t="n">
        <x:f>MONTH(B519)</x:f>
        <x:v>3</x:v>
      </x:c>
      <x:c r="K519" s="14" t="n">
        <x:f>ROUND(E519*F519-G519,10)</x:f>
        <x:v>0</x:v>
      </x:c>
      <x:c r="L519" s="2"/>
      <x:c r="M519" s="2"/>
      <x:c r="N519" s="2"/>
      <x:c r="O519" s="2"/>
      <x:c r="P519" s="2"/>
      <x:c r="Q519" s="2"/>
      <x:c r="R519" s="2"/>
    </x:row>
    <x:row r="520" ht="22" customHeight="1">
      <x:c r="A520" s="2" t="n">
        <x:v>100514</x:v>
      </x:c>
      <x:c r="B520" s="10" t="n">
        <x:v>45227</x:v>
      </x:c>
      <x:c r="C520" s="2" t="str">
        <x:v>Chile</x:v>
      </x:c>
      <x:c r="D520" s="2" t="str">
        <x:v>Calçados</x:v>
      </x:c>
      <x:c r="E520" s="11" t="n">
        <x:v>13</x:v>
      </x:c>
      <x:c r="F520" s="12" t="n">
        <x:v>199.43</x:v>
      </x:c>
      <x:c r="G520" s="12" t="n">
        <x:v>2592.59</x:v>
      </x:c>
      <x:c r="H520" s="13" t="n">
        <x:v>386</x:v>
      </x:c>
      <x:c r="I520" s="13" t="n">
        <x:f>YEAR(B520)</x:f>
        <x:v>2023</x:v>
      </x:c>
      <x:c r="J520" s="13" t="n">
        <x:f>MONTH(B520)</x:f>
        <x:v>10</x:v>
      </x:c>
      <x:c r="K520" s="14" t="n">
        <x:f>ROUND(E520*F520-G520,10)</x:f>
        <x:v>0</x:v>
      </x:c>
      <x:c r="L520" s="2"/>
      <x:c r="M520" s="2"/>
      <x:c r="N520" s="2"/>
      <x:c r="O520" s="2"/>
      <x:c r="P520" s="2"/>
      <x:c r="Q520" s="2"/>
      <x:c r="R520" s="2"/>
    </x:row>
    <x:row r="521" ht="22" customHeight="1">
      <x:c r="A521" s="2" t="n">
        <x:v>100515</x:v>
      </x:c>
      <x:c r="B521" s="10" t="n">
        <x:v>44942</x:v>
      </x:c>
      <x:c r="C521" s="2" t="str">
        <x:v>Argentina</x:v>
      </x:c>
      <x:c r="D521" s="2" t="str">
        <x:v>Moda Infantil</x:v>
      </x:c>
      <x:c r="E521" s="11" t="n">
        <x:v>32</x:v>
      </x:c>
      <x:c r="F521" s="12" t="n">
        <x:v>96.83</x:v>
      </x:c>
      <x:c r="G521" s="12" t="n">
        <x:v>3098.56</x:v>
      </x:c>
      <x:c r="H521" s="13" t="n">
        <x:v>463</x:v>
      </x:c>
      <x:c r="I521" s="13" t="n">
        <x:f>YEAR(B521)</x:f>
        <x:v>2023</x:v>
      </x:c>
      <x:c r="J521" s="13" t="n">
        <x:f>MONTH(B521)</x:f>
        <x:v>1</x:v>
      </x:c>
      <x:c r="K521" s="14" t="n">
        <x:f>ROUND(E521*F521-G521,10)</x:f>
        <x:v>0</x:v>
      </x:c>
      <x:c r="L521" s="2"/>
      <x:c r="M521" s="2"/>
      <x:c r="N521" s="2"/>
      <x:c r="O521" s="2"/>
      <x:c r="P521" s="2"/>
      <x:c r="Q521" s="2"/>
      <x:c r="R521" s="2"/>
    </x:row>
    <x:row r="522" ht="22" customHeight="1">
      <x:c r="A522" s="2" t="n">
        <x:v>100516</x:v>
      </x:c>
      <x:c r="B522" s="10" t="n">
        <x:v>45122</x:v>
      </x:c>
      <x:c r="C522" s="2" t="str">
        <x:v>Brasil</x:v>
      </x:c>
      <x:c r="D522" s="2" t="str">
        <x:v>Moda Infantil</x:v>
      </x:c>
      <x:c r="E522" s="11" t="n">
        <x:v>38</x:v>
      </x:c>
      <x:c r="F522" s="12" t="n">
        <x:v>40.01</x:v>
      </x:c>
      <x:c r="G522" s="12" t="n">
        <x:v>1520.38</x:v>
      </x:c>
      <x:c r="H522" s="13" t="n">
        <x:v>454</x:v>
      </x:c>
      <x:c r="I522" s="13" t="n">
        <x:f>YEAR(B522)</x:f>
        <x:v>2023</x:v>
      </x:c>
      <x:c r="J522" s="13" t="n">
        <x:f>MONTH(B522)</x:f>
        <x:v>7</x:v>
      </x:c>
      <x:c r="K522" s="14" t="n">
        <x:f>ROUND(E522*F522-G522,10)</x:f>
        <x:v>0</x:v>
      </x:c>
      <x:c r="L522" s="2"/>
      <x:c r="M522" s="2"/>
      <x:c r="N522" s="2"/>
      <x:c r="O522" s="2"/>
      <x:c r="P522" s="2"/>
      <x:c r="Q522" s="2"/>
      <x:c r="R522" s="2"/>
    </x:row>
    <x:row r="523" ht="22" customHeight="1">
      <x:c r="A523" s="2" t="n">
        <x:v>100517</x:v>
      </x:c>
      <x:c r="B523" s="10" t="n">
        <x:v>45111</x:v>
      </x:c>
      <x:c r="C523" s="2" t="str">
        <x:v>México</x:v>
      </x:c>
      <x:c r="D523" s="2" t="str">
        <x:v>Moda Masculina</x:v>
      </x:c>
      <x:c r="E523" s="11" t="n">
        <x:v>38</x:v>
      </x:c>
      <x:c r="F523" s="12" t="n">
        <x:v>25.47</x:v>
      </x:c>
      <x:c r="G523" s="12" t="n">
        <x:v>967.8599999999999</x:v>
      </x:c>
      <x:c r="H523" s="13" t="n">
        <x:v>109</x:v>
      </x:c>
      <x:c r="I523" s="13" t="n">
        <x:f>YEAR(B523)</x:f>
        <x:v>2023</x:v>
      </x:c>
      <x:c r="J523" s="13" t="n">
        <x:f>MONTH(B523)</x:f>
        <x:v>7</x:v>
      </x:c>
      <x:c r="K523" s="14" t="n">
        <x:f>ROUND(E523*F523-G523,10)</x:f>
        <x:v>0</x:v>
      </x:c>
      <x:c r="L523" s="2"/>
      <x:c r="M523" s="2"/>
      <x:c r="N523" s="2"/>
      <x:c r="O523" s="2"/>
      <x:c r="P523" s="2"/>
      <x:c r="Q523" s="2"/>
      <x:c r="R523" s="2"/>
    </x:row>
    <x:row r="524" ht="22" customHeight="1">
      <x:c r="A524" s="2" t="n">
        <x:v>100518</x:v>
      </x:c>
      <x:c r="B524" s="10" t="n">
        <x:v>45612</x:v>
      </x:c>
      <x:c r="C524" s="2" t="str">
        <x:v>México</x:v>
      </x:c>
      <x:c r="D524" s="2" t="str">
        <x:v>Moda Feminina</x:v>
      </x:c>
      <x:c r="E524" s="11" t="n">
        <x:v>28</x:v>
      </x:c>
      <x:c r="F524" s="12" t="n">
        <x:v>150.84</x:v>
      </x:c>
      <x:c r="G524" s="12" t="n">
        <x:v>4223.52</x:v>
      </x:c>
      <x:c r="H524" s="13" t="n">
        <x:v>446</x:v>
      </x:c>
      <x:c r="I524" s="13" t="n">
        <x:f>YEAR(B524)</x:f>
        <x:v>2024</x:v>
      </x:c>
      <x:c r="J524" s="13" t="n">
        <x:f>MONTH(B524)</x:f>
        <x:v>11</x:v>
      </x:c>
      <x:c r="K524" s="14" t="n">
        <x:f>ROUND(E524*F524-G524,10)</x:f>
        <x:v>0</x:v>
      </x:c>
      <x:c r="L524" s="2"/>
      <x:c r="M524" s="2"/>
      <x:c r="N524" s="2"/>
      <x:c r="O524" s="2"/>
      <x:c r="P524" s="2"/>
      <x:c r="Q524" s="2"/>
      <x:c r="R524" s="2"/>
    </x:row>
    <x:row r="525" ht="22" customHeight="1">
      <x:c r="A525" s="2" t="n">
        <x:v>100519</x:v>
      </x:c>
      <x:c r="B525" s="10" t="n">
        <x:v>45361</x:v>
      </x:c>
      <x:c r="C525" s="2" t="str">
        <x:v>Colômbia</x:v>
      </x:c>
      <x:c r="D525" s="2" t="str">
        <x:v>Calçados</x:v>
      </x:c>
      <x:c r="E525" s="11" t="n">
        <x:v>30</x:v>
      </x:c>
      <x:c r="F525" s="12" t="n">
        <x:v>177.32</x:v>
      </x:c>
      <x:c r="G525" s="12" t="n">
        <x:v>5319.599999999999</x:v>
      </x:c>
      <x:c r="H525" s="13" t="n">
        <x:v>306</x:v>
      </x:c>
      <x:c r="I525" s="13" t="n">
        <x:f>YEAR(B525)</x:f>
        <x:v>2024</x:v>
      </x:c>
      <x:c r="J525" s="13" t="n">
        <x:f>MONTH(B525)</x:f>
        <x:v>3</x:v>
      </x:c>
      <x:c r="K525" s="14" t="n">
        <x:f>ROUND(E525*F525-G525,10)</x:f>
        <x:v>0</x:v>
      </x:c>
      <x:c r="L525" s="2"/>
      <x:c r="M525" s="2"/>
      <x:c r="N525" s="2"/>
      <x:c r="O525" s="2"/>
      <x:c r="P525" s="2"/>
      <x:c r="Q525" s="2"/>
      <x:c r="R525" s="2"/>
    </x:row>
    <x:row r="526" ht="22" customHeight="1">
      <x:c r="A526" s="2" t="n">
        <x:v>100520</x:v>
      </x:c>
      <x:c r="B526" s="10" t="n">
        <x:v>45173</x:v>
      </x:c>
      <x:c r="C526" s="2" t="str">
        <x:v>Argentina</x:v>
      </x:c>
      <x:c r="D526" s="2" t="str">
        <x:v>Moda Feminina</x:v>
      </x:c>
      <x:c r="E526" s="11" t="n">
        <x:v>3</x:v>
      </x:c>
      <x:c r="F526" s="12" t="n">
        <x:v>59.73</x:v>
      </x:c>
      <x:c r="G526" s="12" t="n">
        <x:v>179.19</x:v>
      </x:c>
      <x:c r="H526" s="13" t="n">
        <x:v>114</x:v>
      </x:c>
      <x:c r="I526" s="13" t="n">
        <x:f>YEAR(B526)</x:f>
        <x:v>2023</x:v>
      </x:c>
      <x:c r="J526" s="13" t="n">
        <x:f>MONTH(B526)</x:f>
        <x:v>9</x:v>
      </x:c>
      <x:c r="K526" s="14" t="n">
        <x:f>ROUND(E526*F526-G526,10)</x:f>
        <x:v>0</x:v>
      </x:c>
      <x:c r="L526" s="2"/>
      <x:c r="M526" s="2"/>
      <x:c r="N526" s="2"/>
      <x:c r="O526" s="2"/>
      <x:c r="P526" s="2"/>
      <x:c r="Q526" s="2"/>
      <x:c r="R526" s="2"/>
    </x:row>
    <x:row r="527" ht="22" customHeight="1">
      <x:c r="A527" s="2" t="n">
        <x:v>100521</x:v>
      </x:c>
      <x:c r="B527" s="10" t="n">
        <x:v>45023</x:v>
      </x:c>
      <x:c r="C527" s="2" t="str">
        <x:v>Brasil</x:v>
      </x:c>
      <x:c r="D527" s="2" t="str">
        <x:v>Acessórios</x:v>
      </x:c>
      <x:c r="E527" s="11" t="n">
        <x:v>28</x:v>
      </x:c>
      <x:c r="F527" s="12" t="n">
        <x:v>48.52</x:v>
      </x:c>
      <x:c r="G527" s="12" t="n">
        <x:v>1358.56</x:v>
      </x:c>
      <x:c r="H527" s="13" t="n">
        <x:v>288</x:v>
      </x:c>
      <x:c r="I527" s="13" t="n">
        <x:f>YEAR(B527)</x:f>
        <x:v>2023</x:v>
      </x:c>
      <x:c r="J527" s="13" t="n">
        <x:f>MONTH(B527)</x:f>
        <x:v>4</x:v>
      </x:c>
      <x:c r="K527" s="14" t="n">
        <x:f>ROUND(E527*F527-G527,10)</x:f>
        <x:v>0</x:v>
      </x:c>
      <x:c r="L527" s="2"/>
      <x:c r="M527" s="2"/>
      <x:c r="N527" s="2"/>
      <x:c r="O527" s="2"/>
      <x:c r="P527" s="2"/>
      <x:c r="Q527" s="2"/>
      <x:c r="R527" s="2"/>
    </x:row>
    <x:row r="528" ht="22" customHeight="1">
      <x:c r="A528" s="2" t="n">
        <x:v>100522</x:v>
      </x:c>
      <x:c r="B528" s="10" t="n">
        <x:v>45505</x:v>
      </x:c>
      <x:c r="C528" s="2" t="str">
        <x:v>Colômbia</x:v>
      </x:c>
      <x:c r="D528" s="2" t="str">
        <x:v>Acessórios</x:v>
      </x:c>
      <x:c r="E528" s="11" t="n">
        <x:v>3</x:v>
      </x:c>
      <x:c r="F528" s="12" t="n">
        <x:v>31.2</x:v>
      </x:c>
      <x:c r="G528" s="12" t="n">
        <x:v>93.6</x:v>
      </x:c>
      <x:c r="H528" s="13" t="n">
        <x:v>338</x:v>
      </x:c>
      <x:c r="I528" s="13" t="n">
        <x:f>YEAR(B528)</x:f>
        <x:v>2024</x:v>
      </x:c>
      <x:c r="J528" s="13" t="n">
        <x:f>MONTH(B528)</x:f>
        <x:v>8</x:v>
      </x:c>
      <x:c r="K528" s="14" t="n">
        <x:f>ROUND(E528*F528-G528,10)</x:f>
        <x:v>0</x:v>
      </x:c>
      <x:c r="L528" s="2"/>
      <x:c r="M528" s="2"/>
      <x:c r="N528" s="2"/>
      <x:c r="O528" s="2"/>
      <x:c r="P528" s="2"/>
      <x:c r="Q528" s="2"/>
      <x:c r="R528" s="2"/>
    </x:row>
    <x:row r="529" ht="22" customHeight="1">
      <x:c r="A529" s="2" t="n">
        <x:v>100523</x:v>
      </x:c>
      <x:c r="B529" s="10" t="n">
        <x:v>45143</x:v>
      </x:c>
      <x:c r="C529" s="2" t="str">
        <x:v>Chile</x:v>
      </x:c>
      <x:c r="D529" s="2" t="str">
        <x:v>Moda Masculina</x:v>
      </x:c>
      <x:c r="E529" s="11" t="n">
        <x:v>45</x:v>
      </x:c>
      <x:c r="F529" s="12" t="n">
        <x:v>168.09</x:v>
      </x:c>
      <x:c r="G529" s="12" t="n">
        <x:v>7564.05</x:v>
      </x:c>
      <x:c r="H529" s="13" t="n">
        <x:v>87</x:v>
      </x:c>
      <x:c r="I529" s="13" t="n">
        <x:f>YEAR(B529)</x:f>
        <x:v>2023</x:v>
      </x:c>
      <x:c r="J529" s="13" t="n">
        <x:f>MONTH(B529)</x:f>
        <x:v>8</x:v>
      </x:c>
      <x:c r="K529" s="14" t="n">
        <x:f>ROUND(E529*F529-G529,10)</x:f>
        <x:v>0</x:v>
      </x:c>
      <x:c r="L529" s="2"/>
      <x:c r="M529" s="2"/>
      <x:c r="N529" s="2"/>
      <x:c r="O529" s="2"/>
      <x:c r="P529" s="2"/>
      <x:c r="Q529" s="2"/>
      <x:c r="R529" s="2"/>
    </x:row>
    <x:row r="530" ht="22" customHeight="1">
      <x:c r="A530" s="2" t="n">
        <x:v>100524</x:v>
      </x:c>
      <x:c r="B530" s="10" t="n">
        <x:v>45524</x:v>
      </x:c>
      <x:c r="C530" s="2" t="str">
        <x:v>Colômbia</x:v>
      </x:c>
      <x:c r="D530" s="2" t="str">
        <x:v>Moda Masculina</x:v>
      </x:c>
      <x:c r="E530" s="11" t="n">
        <x:v>34</x:v>
      </x:c>
      <x:c r="F530" s="12" t="n">
        <x:v>76.05</x:v>
      </x:c>
      <x:c r="G530" s="12" t="n">
        <x:v>2585.7</x:v>
      </x:c>
      <x:c r="H530" s="13" t="n">
        <x:v>74</x:v>
      </x:c>
      <x:c r="I530" s="13" t="n">
        <x:f>YEAR(B530)</x:f>
        <x:v>2024</x:v>
      </x:c>
      <x:c r="J530" s="13" t="n">
        <x:f>MONTH(B530)</x:f>
        <x:v>8</x:v>
      </x:c>
      <x:c r="K530" s="14" t="n">
        <x:f>ROUND(E530*F530-G530,10)</x:f>
        <x:v>0</x:v>
      </x:c>
      <x:c r="L530" s="2"/>
      <x:c r="M530" s="2"/>
      <x:c r="N530" s="2"/>
      <x:c r="O530" s="2"/>
      <x:c r="P530" s="2"/>
      <x:c r="Q530" s="2"/>
      <x:c r="R530" s="2"/>
    </x:row>
    <x:row r="531" ht="22" customHeight="1">
      <x:c r="A531" s="2" t="n">
        <x:v>100525</x:v>
      </x:c>
      <x:c r="B531" s="10" t="n">
        <x:v>45333</x:v>
      </x:c>
      <x:c r="C531" s="2" t="str">
        <x:v>Colômbia</x:v>
      </x:c>
      <x:c r="D531" s="2" t="str">
        <x:v>Moda Masculina</x:v>
      </x:c>
      <x:c r="E531" s="11" t="n">
        <x:v>16</x:v>
      </x:c>
      <x:c r="F531" s="12" t="n">
        <x:v>92.31</x:v>
      </x:c>
      <x:c r="G531" s="12" t="n">
        <x:v>1476.96</x:v>
      </x:c>
      <x:c r="H531" s="13" t="n">
        <x:v>459</x:v>
      </x:c>
      <x:c r="I531" s="13" t="n">
        <x:f>YEAR(B531)</x:f>
        <x:v>2024</x:v>
      </x:c>
      <x:c r="J531" s="13" t="n">
        <x:f>MONTH(B531)</x:f>
        <x:v>2</x:v>
      </x:c>
      <x:c r="K531" s="14" t="n">
        <x:f>ROUND(E531*F531-G531,10)</x:f>
        <x:v>0</x:v>
      </x:c>
      <x:c r="L531" s="2"/>
      <x:c r="M531" s="2"/>
      <x:c r="N531" s="2"/>
      <x:c r="O531" s="2"/>
      <x:c r="P531" s="2"/>
      <x:c r="Q531" s="2"/>
      <x:c r="R531" s="2"/>
    </x:row>
    <x:row r="532" ht="22" customHeight="1">
      <x:c r="A532" s="2" t="n">
        <x:v>100526</x:v>
      </x:c>
      <x:c r="B532" s="10" t="n">
        <x:v>45608</x:v>
      </x:c>
      <x:c r="C532" s="2" t="str">
        <x:v>Argentina</x:v>
      </x:c>
      <x:c r="D532" s="2" t="str">
        <x:v>Acessórios</x:v>
      </x:c>
      <x:c r="E532" s="11" t="n">
        <x:v>22</x:v>
      </x:c>
      <x:c r="F532" s="12" t="n">
        <x:v>110.5</x:v>
      </x:c>
      <x:c r="G532" s="12" t="n">
        <x:v>2431</x:v>
      </x:c>
      <x:c r="H532" s="13" t="n">
        <x:v>108</x:v>
      </x:c>
      <x:c r="I532" s="13" t="n">
        <x:f>YEAR(B532)</x:f>
        <x:v>2024</x:v>
      </x:c>
      <x:c r="J532" s="13" t="n">
        <x:f>MONTH(B532)</x:f>
        <x:v>11</x:v>
      </x:c>
      <x:c r="K532" s="14" t="n">
        <x:f>ROUND(E532*F532-G532,10)</x:f>
        <x:v>0</x:v>
      </x:c>
      <x:c r="L532" s="2"/>
      <x:c r="M532" s="2"/>
      <x:c r="N532" s="2"/>
      <x:c r="O532" s="2"/>
      <x:c r="P532" s="2"/>
      <x:c r="Q532" s="2"/>
      <x:c r="R532" s="2"/>
    </x:row>
    <x:row r="533" ht="22" customHeight="1">
      <x:c r="A533" s="2" t="n">
        <x:v>100527</x:v>
      </x:c>
      <x:c r="B533" s="10" t="n">
        <x:v>45191</x:v>
      </x:c>
      <x:c r="C533" s="2" t="str">
        <x:v>Chile</x:v>
      </x:c>
      <x:c r="D533" s="2" t="str">
        <x:v>Moda Feminina</x:v>
      </x:c>
      <x:c r="E533" s="11" t="n">
        <x:v>32</x:v>
      </x:c>
      <x:c r="F533" s="12" t="n">
        <x:v>171.1</x:v>
      </x:c>
      <x:c r="G533" s="12" t="n">
        <x:v>5475.2</x:v>
      </x:c>
      <x:c r="H533" s="13" t="n">
        <x:v>466</x:v>
      </x:c>
      <x:c r="I533" s="13" t="n">
        <x:f>YEAR(B533)</x:f>
        <x:v>2023</x:v>
      </x:c>
      <x:c r="J533" s="13" t="n">
        <x:f>MONTH(B533)</x:f>
        <x:v>9</x:v>
      </x:c>
      <x:c r="K533" s="14" t="n">
        <x:f>ROUND(E533*F533-G533,10)</x:f>
        <x:v>0</x:v>
      </x:c>
      <x:c r="L533" s="2"/>
      <x:c r="M533" s="2"/>
      <x:c r="N533" s="2"/>
      <x:c r="O533" s="2"/>
      <x:c r="P533" s="2"/>
      <x:c r="Q533" s="2"/>
      <x:c r="R533" s="2"/>
    </x:row>
    <x:row r="534" ht="22" customHeight="1">
      <x:c r="A534" s="2" t="n">
        <x:v>100528</x:v>
      </x:c>
      <x:c r="B534" s="10" t="n">
        <x:v>45486</x:v>
      </x:c>
      <x:c r="C534" s="2" t="str">
        <x:v>Colômbia</x:v>
      </x:c>
      <x:c r="D534" s="2" t="str">
        <x:v>Moda Feminina</x:v>
      </x:c>
      <x:c r="E534" s="11" t="n">
        <x:v>38</x:v>
      </x:c>
      <x:c r="F534" s="12" t="n">
        <x:v>137.15</x:v>
      </x:c>
      <x:c r="G534" s="12" t="n">
        <x:v>5211.7</x:v>
      </x:c>
      <x:c r="H534" s="13" t="n">
        <x:v>406</x:v>
      </x:c>
      <x:c r="I534" s="13" t="n">
        <x:f>YEAR(B534)</x:f>
        <x:v>2024</x:v>
      </x:c>
      <x:c r="J534" s="13" t="n">
        <x:f>MONTH(B534)</x:f>
        <x:v>7</x:v>
      </x:c>
      <x:c r="K534" s="14" t="n">
        <x:f>ROUND(E534*F534-G534,10)</x:f>
        <x:v>0</x:v>
      </x:c>
      <x:c r="L534" s="2"/>
      <x:c r="M534" s="2"/>
      <x:c r="N534" s="2"/>
      <x:c r="O534" s="2"/>
      <x:c r="P534" s="2"/>
      <x:c r="Q534" s="2"/>
      <x:c r="R534" s="2"/>
    </x:row>
    <x:row r="535" ht="22" customHeight="1">
      <x:c r="A535" s="2" t="n">
        <x:v>100529</x:v>
      </x:c>
      <x:c r="B535" s="10" t="n">
        <x:v>45240</x:v>
      </x:c>
      <x:c r="C535" s="2" t="str">
        <x:v>Brasil</x:v>
      </x:c>
      <x:c r="D535" s="2" t="str">
        <x:v>Moda Masculina</x:v>
      </x:c>
      <x:c r="E535" s="11" t="n">
        <x:v>8</x:v>
      </x:c>
      <x:c r="F535" s="12" t="n">
        <x:v>130.71</x:v>
      </x:c>
      <x:c r="G535" s="12" t="n">
        <x:v>1045.68</x:v>
      </x:c>
      <x:c r="H535" s="13" t="n">
        <x:v>432</x:v>
      </x:c>
      <x:c r="I535" s="13" t="n">
        <x:f>YEAR(B535)</x:f>
        <x:v>2023</x:v>
      </x:c>
      <x:c r="J535" s="13" t="n">
        <x:f>MONTH(B535)</x:f>
        <x:v>11</x:v>
      </x:c>
      <x:c r="K535" s="14" t="n">
        <x:f>ROUND(E535*F535-G535,10)</x:f>
        <x:v>0</x:v>
      </x:c>
      <x:c r="L535" s="2"/>
      <x:c r="M535" s="2"/>
      <x:c r="N535" s="2"/>
      <x:c r="O535" s="2"/>
      <x:c r="P535" s="2"/>
      <x:c r="Q535" s="2"/>
      <x:c r="R535" s="2"/>
    </x:row>
    <x:row r="536" ht="22" customHeight="1">
      <x:c r="A536" s="2" t="n">
        <x:v>100530</x:v>
      </x:c>
      <x:c r="B536" s="10" t="n">
        <x:v>45572</x:v>
      </x:c>
      <x:c r="C536" s="2" t="str">
        <x:v>Brasil</x:v>
      </x:c>
      <x:c r="D536" s="2" t="str">
        <x:v>Calçados</x:v>
      </x:c>
      <x:c r="E536" s="11" t="n">
        <x:v>8</x:v>
      </x:c>
      <x:c r="F536" s="12" t="n">
        <x:v>51.62</x:v>
      </x:c>
      <x:c r="G536" s="12" t="n">
        <x:v>412.96</x:v>
      </x:c>
      <x:c r="H536" s="13" t="n">
        <x:v>346</x:v>
      </x:c>
      <x:c r="I536" s="13" t="n">
        <x:f>YEAR(B536)</x:f>
        <x:v>2024</x:v>
      </x:c>
      <x:c r="J536" s="13" t="n">
        <x:f>MONTH(B536)</x:f>
        <x:v>10</x:v>
      </x:c>
      <x:c r="K536" s="14" t="n">
        <x:f>ROUND(E536*F536-G536,10)</x:f>
        <x:v>0</x:v>
      </x:c>
      <x:c r="L536" s="2"/>
      <x:c r="M536" s="2"/>
      <x:c r="N536" s="2"/>
      <x:c r="O536" s="2"/>
      <x:c r="P536" s="2"/>
      <x:c r="Q536" s="2"/>
      <x:c r="R536" s="2"/>
    </x:row>
    <x:row r="537" ht="22" customHeight="1">
      <x:c r="A537" s="2" t="n">
        <x:v>100531</x:v>
      </x:c>
      <x:c r="B537" s="10" t="n">
        <x:v>45104</x:v>
      </x:c>
      <x:c r="C537" s="2" t="str">
        <x:v>México</x:v>
      </x:c>
      <x:c r="D537" s="2" t="str">
        <x:v>Moda Feminina</x:v>
      </x:c>
      <x:c r="E537" s="11" t="n">
        <x:v>6</x:v>
      </x:c>
      <x:c r="F537" s="12" t="n">
        <x:v>112.37</x:v>
      </x:c>
      <x:c r="G537" s="12" t="n">
        <x:v>674.22</x:v>
      </x:c>
      <x:c r="H537" s="13" t="n">
        <x:v>207</x:v>
      </x:c>
      <x:c r="I537" s="13" t="n">
        <x:f>YEAR(B537)</x:f>
        <x:v>2023</x:v>
      </x:c>
      <x:c r="J537" s="13" t="n">
        <x:f>MONTH(B537)</x:f>
        <x:v>6</x:v>
      </x:c>
      <x:c r="K537" s="14" t="n">
        <x:f>ROUND(E537*F537-G537,10)</x:f>
        <x:v>0</x:v>
      </x:c>
      <x:c r="L537" s="2"/>
      <x:c r="M537" s="2"/>
      <x:c r="N537" s="2"/>
      <x:c r="O537" s="2"/>
      <x:c r="P537" s="2"/>
      <x:c r="Q537" s="2"/>
      <x:c r="R537" s="2"/>
    </x:row>
    <x:row r="538" ht="22" customHeight="1">
      <x:c r="A538" s="2" t="n">
        <x:v>100532</x:v>
      </x:c>
      <x:c r="B538" s="10" t="n">
        <x:v>45156</x:v>
      </x:c>
      <x:c r="C538" s="2" t="str">
        <x:v>Chile</x:v>
      </x:c>
      <x:c r="D538" s="2" t="str">
        <x:v>Acessórios</x:v>
      </x:c>
      <x:c r="E538" s="11" t="n">
        <x:v>14</x:v>
      </x:c>
      <x:c r="F538" s="12" t="n">
        <x:v>148.77</x:v>
      </x:c>
      <x:c r="G538" s="12" t="n">
        <x:v>2082.78</x:v>
      </x:c>
      <x:c r="H538" s="13" t="n">
        <x:v>106</x:v>
      </x:c>
      <x:c r="I538" s="13" t="n">
        <x:f>YEAR(B538)</x:f>
        <x:v>2023</x:v>
      </x:c>
      <x:c r="J538" s="13" t="n">
        <x:f>MONTH(B538)</x:f>
        <x:v>8</x:v>
      </x:c>
      <x:c r="K538" s="14" t="n">
        <x:f>ROUND(E538*F538-G538,10)</x:f>
        <x:v>0</x:v>
      </x:c>
      <x:c r="L538" s="2"/>
      <x:c r="M538" s="2"/>
      <x:c r="N538" s="2"/>
      <x:c r="O538" s="2"/>
      <x:c r="P538" s="2"/>
      <x:c r="Q538" s="2"/>
      <x:c r="R538" s="2"/>
    </x:row>
    <x:row r="539" ht="22" customHeight="1">
      <x:c r="A539" s="2" t="n">
        <x:v>100533</x:v>
      </x:c>
      <x:c r="B539" s="10" t="n">
        <x:v>45581</x:v>
      </x:c>
      <x:c r="C539" s="2" t="str">
        <x:v>Chile</x:v>
      </x:c>
      <x:c r="D539" s="2" t="str">
        <x:v>Moda Infantil</x:v>
      </x:c>
      <x:c r="E539" s="11" t="n">
        <x:v>32</x:v>
      </x:c>
      <x:c r="F539" s="12" t="n">
        <x:v>195.19</x:v>
      </x:c>
      <x:c r="G539" s="12" t="n">
        <x:v>6246.08</x:v>
      </x:c>
      <x:c r="H539" s="13" t="n">
        <x:v>482</x:v>
      </x:c>
      <x:c r="I539" s="13" t="n">
        <x:f>YEAR(B539)</x:f>
        <x:v>2024</x:v>
      </x:c>
      <x:c r="J539" s="13" t="n">
        <x:f>MONTH(B539)</x:f>
        <x:v>10</x:v>
      </x:c>
      <x:c r="K539" s="14" t="n">
        <x:f>ROUND(E539*F539-G539,10)</x:f>
        <x:v>0</x:v>
      </x:c>
      <x:c r="L539" s="2"/>
      <x:c r="M539" s="2"/>
      <x:c r="N539" s="2"/>
      <x:c r="O539" s="2"/>
      <x:c r="P539" s="2"/>
      <x:c r="Q539" s="2"/>
      <x:c r="R539" s="2"/>
    </x:row>
    <x:row r="540" ht="22" customHeight="1">
      <x:c r="A540" s="2" t="n">
        <x:v>100534</x:v>
      </x:c>
      <x:c r="B540" s="10" t="n">
        <x:v>45471</x:v>
      </x:c>
      <x:c r="C540" s="2" t="str">
        <x:v>México</x:v>
      </x:c>
      <x:c r="D540" s="2" t="str">
        <x:v>Moda Infantil</x:v>
      </x:c>
      <x:c r="E540" s="11" t="n">
        <x:v>35</x:v>
      </x:c>
      <x:c r="F540" s="12" t="n">
        <x:v>56.25</x:v>
      </x:c>
      <x:c r="G540" s="12" t="n">
        <x:v>1968.75</x:v>
      </x:c>
      <x:c r="H540" s="13" t="n">
        <x:v>97</x:v>
      </x:c>
      <x:c r="I540" s="13" t="n">
        <x:f>YEAR(B540)</x:f>
        <x:v>2024</x:v>
      </x:c>
      <x:c r="J540" s="13" t="n">
        <x:f>MONTH(B540)</x:f>
        <x:v>6</x:v>
      </x:c>
      <x:c r="K540" s="14" t="n">
        <x:f>ROUND(E540*F540-G540,10)</x:f>
        <x:v>0</x:v>
      </x:c>
      <x:c r="L540" s="2"/>
      <x:c r="M540" s="2"/>
      <x:c r="N540" s="2"/>
      <x:c r="O540" s="2"/>
      <x:c r="P540" s="2"/>
      <x:c r="Q540" s="2"/>
      <x:c r="R540" s="2"/>
    </x:row>
    <x:row r="541" ht="22" customHeight="1">
      <x:c r="A541" s="2" t="n">
        <x:v>100535</x:v>
      </x:c>
      <x:c r="B541" s="10" t="n">
        <x:v>45379</x:v>
      </x:c>
      <x:c r="C541" s="2" t="str">
        <x:v>Colômbia</x:v>
      </x:c>
      <x:c r="D541" s="2" t="str">
        <x:v>Moda Infantil</x:v>
      </x:c>
      <x:c r="E541" s="11" t="n">
        <x:v>10</x:v>
      </x:c>
      <x:c r="F541" s="12" t="n">
        <x:v>21.72</x:v>
      </x:c>
      <x:c r="G541" s="12" t="n">
        <x:v>217.2</x:v>
      </x:c>
      <x:c r="H541" s="13" t="n">
        <x:v>377</x:v>
      </x:c>
      <x:c r="I541" s="13" t="n">
        <x:f>YEAR(B541)</x:f>
        <x:v>2024</x:v>
      </x:c>
      <x:c r="J541" s="13" t="n">
        <x:f>MONTH(B541)</x:f>
        <x:v>3</x:v>
      </x:c>
      <x:c r="K541" s="14" t="n">
        <x:f>ROUND(E541*F541-G541,10)</x:f>
        <x:v>0</x:v>
      </x:c>
      <x:c r="L541" s="2"/>
      <x:c r="M541" s="2"/>
      <x:c r="N541" s="2"/>
      <x:c r="O541" s="2"/>
      <x:c r="P541" s="2"/>
      <x:c r="Q541" s="2"/>
      <x:c r="R541" s="2"/>
    </x:row>
    <x:row r="542" ht="22" customHeight="1">
      <x:c r="A542" s="2" t="n">
        <x:v>100536</x:v>
      </x:c>
      <x:c r="B542" s="10" t="n">
        <x:v>45122</x:v>
      </x:c>
      <x:c r="C542" s="2" t="str">
        <x:v>Chile</x:v>
      </x:c>
      <x:c r="D542" s="2" t="str">
        <x:v>Calçados</x:v>
      </x:c>
      <x:c r="E542" s="11" t="n">
        <x:v>3</x:v>
      </x:c>
      <x:c r="F542" s="12" t="n">
        <x:v>33.55</x:v>
      </x:c>
      <x:c r="G542" s="12" t="n">
        <x:v>100.65</x:v>
      </x:c>
      <x:c r="H542" s="13" t="n">
        <x:v>482</x:v>
      </x:c>
      <x:c r="I542" s="13" t="n">
        <x:f>YEAR(B542)</x:f>
        <x:v>2023</x:v>
      </x:c>
      <x:c r="J542" s="13" t="n">
        <x:f>MONTH(B542)</x:f>
        <x:v>7</x:v>
      </x:c>
      <x:c r="K542" s="14" t="n">
        <x:f>ROUND(E542*F542-G542,10)</x:f>
        <x:v>0</x:v>
      </x:c>
      <x:c r="L542" s="2"/>
      <x:c r="M542" s="2"/>
      <x:c r="N542" s="2"/>
      <x:c r="O542" s="2"/>
      <x:c r="P542" s="2"/>
      <x:c r="Q542" s="2"/>
      <x:c r="R542" s="2"/>
    </x:row>
    <x:row r="543" ht="22" customHeight="1">
      <x:c r="A543" s="2" t="n">
        <x:v>100537</x:v>
      </x:c>
      <x:c r="B543" s="10" t="n">
        <x:v>45108</x:v>
      </x:c>
      <x:c r="C543" s="2" t="str">
        <x:v>Brasil</x:v>
      </x:c>
      <x:c r="D543" s="2" t="str">
        <x:v>Moda Masculina</x:v>
      </x:c>
      <x:c r="E543" s="11" t="n">
        <x:v>12</x:v>
      </x:c>
      <x:c r="F543" s="12" t="n">
        <x:v>87.65</x:v>
      </x:c>
      <x:c r="G543" s="12" t="n">
        <x:v>1051.8</x:v>
      </x:c>
      <x:c r="H543" s="13" t="n">
        <x:v>480</x:v>
      </x:c>
      <x:c r="I543" s="13" t="n">
        <x:f>YEAR(B543)</x:f>
        <x:v>2023</x:v>
      </x:c>
      <x:c r="J543" s="13" t="n">
        <x:f>MONTH(B543)</x:f>
        <x:v>7</x:v>
      </x:c>
      <x:c r="K543" s="14" t="n">
        <x:f>ROUND(E543*F543-G543,10)</x:f>
        <x:v>0</x:v>
      </x:c>
      <x:c r="L543" s="2"/>
      <x:c r="M543" s="2"/>
      <x:c r="N543" s="2"/>
      <x:c r="O543" s="2"/>
      <x:c r="P543" s="2"/>
      <x:c r="Q543" s="2"/>
      <x:c r="R543" s="2"/>
    </x:row>
    <x:row r="544" ht="22" customHeight="1">
      <x:c r="A544" s="2" t="n">
        <x:v>100538</x:v>
      </x:c>
      <x:c r="B544" s="10" t="n">
        <x:v>45546</x:v>
      </x:c>
      <x:c r="C544" s="2" t="str">
        <x:v>Brasil</x:v>
      </x:c>
      <x:c r="D544" s="2" t="str">
        <x:v>Acessórios</x:v>
      </x:c>
      <x:c r="E544" s="11" t="n">
        <x:v>49</x:v>
      </x:c>
      <x:c r="F544" s="12" t="n">
        <x:v>167.7</x:v>
      </x:c>
      <x:c r="G544" s="12" t="n">
        <x:v>8217.3</x:v>
      </x:c>
      <x:c r="H544" s="13" t="n">
        <x:v>105</x:v>
      </x:c>
      <x:c r="I544" s="13" t="n">
        <x:f>YEAR(B544)</x:f>
        <x:v>2024</x:v>
      </x:c>
      <x:c r="J544" s="13" t="n">
        <x:f>MONTH(B544)</x:f>
        <x:v>9</x:v>
      </x:c>
      <x:c r="K544" s="14" t="n">
        <x:f>ROUND(E544*F544-G544,10)</x:f>
        <x:v>0</x:v>
      </x:c>
      <x:c r="L544" s="2"/>
      <x:c r="M544" s="2"/>
      <x:c r="N544" s="2"/>
      <x:c r="O544" s="2"/>
      <x:c r="P544" s="2"/>
      <x:c r="Q544" s="2"/>
      <x:c r="R544" s="2"/>
    </x:row>
    <x:row r="545" ht="22" customHeight="1">
      <x:c r="A545" s="2" t="n">
        <x:v>100539</x:v>
      </x:c>
      <x:c r="B545" s="10" t="n">
        <x:v>45278</x:v>
      </x:c>
      <x:c r="C545" s="2" t="str">
        <x:v>Argentina</x:v>
      </x:c>
      <x:c r="D545" s="2" t="str">
        <x:v>Calçados</x:v>
      </x:c>
      <x:c r="E545" s="11" t="n">
        <x:v>31</x:v>
      </x:c>
      <x:c r="F545" s="12" t="n">
        <x:v>21.29</x:v>
      </x:c>
      <x:c r="G545" s="12" t="n">
        <x:v>659.99</x:v>
      </x:c>
      <x:c r="H545" s="13" t="n">
        <x:v>114</x:v>
      </x:c>
      <x:c r="I545" s="13" t="n">
        <x:f>YEAR(B545)</x:f>
        <x:v>2023</x:v>
      </x:c>
      <x:c r="J545" s="13" t="n">
        <x:f>MONTH(B545)</x:f>
        <x:v>12</x:v>
      </x:c>
      <x:c r="K545" s="14" t="n">
        <x:f>ROUND(E545*F545-G545,10)</x:f>
        <x:v>0</x:v>
      </x:c>
      <x:c r="L545" s="2"/>
      <x:c r="M545" s="2"/>
      <x:c r="N545" s="2"/>
      <x:c r="O545" s="2"/>
      <x:c r="P545" s="2"/>
      <x:c r="Q545" s="2"/>
      <x:c r="R545" s="2"/>
    </x:row>
    <x:row r="546" ht="22" customHeight="1">
      <x:c r="A546" s="2" t="n">
        <x:v>100540</x:v>
      </x:c>
      <x:c r="B546" s="10" t="n">
        <x:v>45549</x:v>
      </x:c>
      <x:c r="C546" s="2" t="str">
        <x:v>Chile</x:v>
      </x:c>
      <x:c r="D546" s="2" t="str">
        <x:v>Acessórios</x:v>
      </x:c>
      <x:c r="E546" s="11" t="n">
        <x:v>29</x:v>
      </x:c>
      <x:c r="F546" s="12" t="n">
        <x:v>102.21</x:v>
      </x:c>
      <x:c r="G546" s="12" t="n">
        <x:v>2964.09</x:v>
      </x:c>
      <x:c r="H546" s="13" t="n">
        <x:v>317</x:v>
      </x:c>
      <x:c r="I546" s="13" t="n">
        <x:f>YEAR(B546)</x:f>
        <x:v>2024</x:v>
      </x:c>
      <x:c r="J546" s="13" t="n">
        <x:f>MONTH(B546)</x:f>
        <x:v>9</x:v>
      </x:c>
      <x:c r="K546" s="14" t="n">
        <x:f>ROUND(E546*F546-G546,10)</x:f>
        <x:v>0</x:v>
      </x:c>
      <x:c r="L546" s="2"/>
      <x:c r="M546" s="2"/>
      <x:c r="N546" s="2"/>
      <x:c r="O546" s="2"/>
      <x:c r="P546" s="2"/>
      <x:c r="Q546" s="2"/>
      <x:c r="R546" s="2"/>
    </x:row>
    <x:row r="547" ht="22" customHeight="1">
      <x:c r="A547" s="2" t="n">
        <x:v>100541</x:v>
      </x:c>
      <x:c r="B547" s="10" t="n">
        <x:v>45335</x:v>
      </x:c>
      <x:c r="C547" s="2" t="str">
        <x:v>Colômbia</x:v>
      </x:c>
      <x:c r="D547" s="2" t="str">
        <x:v>Acessórios</x:v>
      </x:c>
      <x:c r="E547" s="11" t="n">
        <x:v>5</x:v>
      </x:c>
      <x:c r="F547" s="12" t="n">
        <x:v>79.26</x:v>
      </x:c>
      <x:c r="G547" s="12" t="n">
        <x:v>396.3</x:v>
      </x:c>
      <x:c r="H547" s="13" t="n">
        <x:v>118</x:v>
      </x:c>
      <x:c r="I547" s="13" t="n">
        <x:f>YEAR(B547)</x:f>
        <x:v>2024</x:v>
      </x:c>
      <x:c r="J547" s="13" t="n">
        <x:f>MONTH(B547)</x:f>
        <x:v>2</x:v>
      </x:c>
      <x:c r="K547" s="14" t="n">
        <x:f>ROUND(E547*F547-G547,10)</x:f>
        <x:v>0</x:v>
      </x:c>
      <x:c r="L547" s="2"/>
      <x:c r="M547" s="2"/>
      <x:c r="N547" s="2"/>
      <x:c r="O547" s="2"/>
      <x:c r="P547" s="2"/>
      <x:c r="Q547" s="2"/>
      <x:c r="R547" s="2"/>
    </x:row>
    <x:row r="548" ht="22" customHeight="1">
      <x:c r="A548" s="2" t="n">
        <x:v>100542</x:v>
      </x:c>
      <x:c r="B548" s="10" t="n">
        <x:v>45247</x:v>
      </x:c>
      <x:c r="C548" s="2" t="str">
        <x:v>México</x:v>
      </x:c>
      <x:c r="D548" s="2" t="str">
        <x:v>Moda Masculina</x:v>
      </x:c>
      <x:c r="E548" s="11" t="n">
        <x:v>25</x:v>
      </x:c>
      <x:c r="F548" s="12" t="n">
        <x:v>29.45</x:v>
      </x:c>
      <x:c r="G548" s="12" t="n">
        <x:v>736.25</x:v>
      </x:c>
      <x:c r="H548" s="13" t="n">
        <x:v>265</x:v>
      </x:c>
      <x:c r="I548" s="13" t="n">
        <x:f>YEAR(B548)</x:f>
        <x:v>2023</x:v>
      </x:c>
      <x:c r="J548" s="13" t="n">
        <x:f>MONTH(B548)</x:f>
        <x:v>11</x:v>
      </x:c>
      <x:c r="K548" s="14" t="n">
        <x:f>ROUND(E548*F548-G548,10)</x:f>
        <x:v>0</x:v>
      </x:c>
      <x:c r="L548" s="2"/>
      <x:c r="M548" s="2"/>
      <x:c r="N548" s="2"/>
      <x:c r="O548" s="2"/>
      <x:c r="P548" s="2"/>
      <x:c r="Q548" s="2"/>
      <x:c r="R548" s="2"/>
    </x:row>
    <x:row r="549" ht="22" customHeight="1">
      <x:c r="A549" s="2" t="n">
        <x:v>100543</x:v>
      </x:c>
      <x:c r="B549" s="10" t="n">
        <x:v>45084</x:v>
      </x:c>
      <x:c r="C549" s="2" t="str">
        <x:v>México</x:v>
      </x:c>
      <x:c r="D549" s="2" t="str">
        <x:v>Moda Infantil</x:v>
      </x:c>
      <x:c r="E549" s="11" t="n">
        <x:v>41</x:v>
      </x:c>
      <x:c r="F549" s="12" t="n">
        <x:v>101.04</x:v>
      </x:c>
      <x:c r="G549" s="12" t="n">
        <x:v>4142.64</x:v>
      </x:c>
      <x:c r="H549" s="13" t="n">
        <x:v>439</x:v>
      </x:c>
      <x:c r="I549" s="13" t="n">
        <x:f>YEAR(B549)</x:f>
        <x:v>2023</x:v>
      </x:c>
      <x:c r="J549" s="13" t="n">
        <x:f>MONTH(B549)</x:f>
        <x:v>6</x:v>
      </x:c>
      <x:c r="K549" s="14" t="n">
        <x:f>ROUND(E549*F549-G549,10)</x:f>
        <x:v>0</x:v>
      </x:c>
      <x:c r="L549" s="2"/>
      <x:c r="M549" s="2"/>
      <x:c r="N549" s="2"/>
      <x:c r="O549" s="2"/>
      <x:c r="P549" s="2"/>
      <x:c r="Q549" s="2"/>
      <x:c r="R549" s="2"/>
    </x:row>
    <x:row r="550" ht="22" customHeight="1">
      <x:c r="A550" s="2" t="n">
        <x:v>100544</x:v>
      </x:c>
      <x:c r="B550" s="10" t="n">
        <x:v>45561</x:v>
      </x:c>
      <x:c r="C550" s="2" t="str">
        <x:v>Colômbia</x:v>
      </x:c>
      <x:c r="D550" s="2" t="str">
        <x:v>Moda Masculina</x:v>
      </x:c>
      <x:c r="E550" s="11" t="n">
        <x:v>31</x:v>
      </x:c>
      <x:c r="F550" s="12" t="n">
        <x:v>65.85</x:v>
      </x:c>
      <x:c r="G550" s="12" t="n">
        <x:v>2041.35</x:v>
      </x:c>
      <x:c r="H550" s="13" t="n">
        <x:v>138</x:v>
      </x:c>
      <x:c r="I550" s="13" t="n">
        <x:f>YEAR(B550)</x:f>
        <x:v>2024</x:v>
      </x:c>
      <x:c r="J550" s="13" t="n">
        <x:f>MONTH(B550)</x:f>
        <x:v>9</x:v>
      </x:c>
      <x:c r="K550" s="14" t="n">
        <x:f>ROUND(E550*F550-G550,10)</x:f>
        <x:v>0</x:v>
      </x:c>
      <x:c r="L550" s="2"/>
      <x:c r="M550" s="2"/>
      <x:c r="N550" s="2"/>
      <x:c r="O550" s="2"/>
      <x:c r="P550" s="2"/>
      <x:c r="Q550" s="2"/>
      <x:c r="R550" s="2"/>
    </x:row>
    <x:row r="551" ht="22" customHeight="1">
      <x:c r="A551" s="2" t="n">
        <x:v>100545</x:v>
      </x:c>
      <x:c r="B551" s="10" t="n">
        <x:v>45207</x:v>
      </x:c>
      <x:c r="C551" s="2" t="str">
        <x:v>Peru</x:v>
      </x:c>
      <x:c r="D551" s="2" t="str">
        <x:v>Calçados</x:v>
      </x:c>
      <x:c r="E551" s="11" t="n">
        <x:v>21</x:v>
      </x:c>
      <x:c r="F551" s="12" t="n">
        <x:v>83.34</x:v>
      </x:c>
      <x:c r="G551" s="12" t="n">
        <x:v>1750.14</x:v>
      </x:c>
      <x:c r="H551" s="13" t="n">
        <x:v>498</x:v>
      </x:c>
      <x:c r="I551" s="13" t="n">
        <x:f>YEAR(B551)</x:f>
        <x:v>2023</x:v>
      </x:c>
      <x:c r="J551" s="13" t="n">
        <x:f>MONTH(B551)</x:f>
        <x:v>10</x:v>
      </x:c>
      <x:c r="K551" s="14" t="n">
        <x:f>ROUND(E551*F551-G551,10)</x:f>
        <x:v>0</x:v>
      </x:c>
      <x:c r="L551" s="2"/>
      <x:c r="M551" s="2"/>
      <x:c r="N551" s="2"/>
      <x:c r="O551" s="2"/>
      <x:c r="P551" s="2"/>
      <x:c r="Q551" s="2"/>
      <x:c r="R551" s="2"/>
    </x:row>
    <x:row r="552" ht="22" customHeight="1">
      <x:c r="A552" s="2" t="n">
        <x:v>100546</x:v>
      </x:c>
      <x:c r="B552" s="10" t="n">
        <x:v>44976</x:v>
      </x:c>
      <x:c r="C552" s="2" t="str">
        <x:v>Argentina</x:v>
      </x:c>
      <x:c r="D552" s="2" t="str">
        <x:v>Calçados</x:v>
      </x:c>
      <x:c r="E552" s="11" t="n">
        <x:v>20</x:v>
      </x:c>
      <x:c r="F552" s="12" t="n">
        <x:v>147.01</x:v>
      </x:c>
      <x:c r="G552" s="12" t="n">
        <x:v>2940.2</x:v>
      </x:c>
      <x:c r="H552" s="13" t="n">
        <x:v>330</x:v>
      </x:c>
      <x:c r="I552" s="13" t="n">
        <x:f>YEAR(B552)</x:f>
        <x:v>2023</x:v>
      </x:c>
      <x:c r="J552" s="13" t="n">
        <x:f>MONTH(B552)</x:f>
        <x:v>2</x:v>
      </x:c>
      <x:c r="K552" s="14" t="n">
        <x:f>ROUND(E552*F552-G552,10)</x:f>
        <x:v>0</x:v>
      </x:c>
      <x:c r="L552" s="2"/>
      <x:c r="M552" s="2"/>
      <x:c r="N552" s="2"/>
      <x:c r="O552" s="2"/>
      <x:c r="P552" s="2"/>
      <x:c r="Q552" s="2"/>
      <x:c r="R552" s="2"/>
    </x:row>
    <x:row r="553" ht="22" customHeight="1">
      <x:c r="A553" s="2" t="n">
        <x:v>100547</x:v>
      </x:c>
      <x:c r="B553" s="10" t="n">
        <x:v>45336</x:v>
      </x:c>
      <x:c r="C553" s="2" t="str">
        <x:v>México</x:v>
      </x:c>
      <x:c r="D553" s="2" t="str">
        <x:v>Calçados</x:v>
      </x:c>
      <x:c r="E553" s="11" t="n">
        <x:v>39</x:v>
      </x:c>
      <x:c r="F553" s="12" t="n">
        <x:v>113.88</x:v>
      </x:c>
      <x:c r="G553" s="12" t="n">
        <x:v>4441.32</x:v>
      </x:c>
      <x:c r="H553" s="13" t="n">
        <x:v>306</x:v>
      </x:c>
      <x:c r="I553" s="13" t="n">
        <x:f>YEAR(B553)</x:f>
        <x:v>2024</x:v>
      </x:c>
      <x:c r="J553" s="13" t="n">
        <x:f>MONTH(B553)</x:f>
        <x:v>2</x:v>
      </x:c>
      <x:c r="K553" s="14" t="n">
        <x:f>ROUND(E553*F553-G553,10)</x:f>
        <x:v>0</x:v>
      </x:c>
      <x:c r="L553" s="2"/>
      <x:c r="M553" s="2"/>
      <x:c r="N553" s="2"/>
      <x:c r="O553" s="2"/>
      <x:c r="P553" s="2"/>
      <x:c r="Q553" s="2"/>
      <x:c r="R553" s="2"/>
    </x:row>
    <x:row r="554" ht="22" customHeight="1">
      <x:c r="A554" s="2" t="n">
        <x:v>100548</x:v>
      </x:c>
      <x:c r="B554" s="10" t="n">
        <x:v>44927</x:v>
      </x:c>
      <x:c r="C554" s="2" t="str">
        <x:v>Chile</x:v>
      </x:c>
      <x:c r="D554" s="2" t="str">
        <x:v>Moda Masculina</x:v>
      </x:c>
      <x:c r="E554" s="11" t="n">
        <x:v>22</x:v>
      </x:c>
      <x:c r="F554" s="12" t="n">
        <x:v>42.44</x:v>
      </x:c>
      <x:c r="G554" s="12" t="n">
        <x:v>933.68</x:v>
      </x:c>
      <x:c r="H554" s="13" t="n">
        <x:v>209</x:v>
      </x:c>
      <x:c r="I554" s="13" t="n">
        <x:f>YEAR(B554)</x:f>
        <x:v>2023</x:v>
      </x:c>
      <x:c r="J554" s="13" t="n">
        <x:f>MONTH(B554)</x:f>
        <x:v>1</x:v>
      </x:c>
      <x:c r="K554" s="14" t="n">
        <x:f>ROUND(E554*F554-G554,10)</x:f>
        <x:v>0</x:v>
      </x:c>
      <x:c r="L554" s="2"/>
      <x:c r="M554" s="2"/>
      <x:c r="N554" s="2"/>
      <x:c r="O554" s="2"/>
      <x:c r="P554" s="2"/>
      <x:c r="Q554" s="2"/>
      <x:c r="R554" s="2"/>
    </x:row>
    <x:row r="555" ht="22" customHeight="1">
      <x:c r="A555" s="2" t="n">
        <x:v>100549</x:v>
      </x:c>
      <x:c r="B555" s="10" t="n">
        <x:v>45312</x:v>
      </x:c>
      <x:c r="C555" s="2" t="str">
        <x:v>Argentina</x:v>
      </x:c>
      <x:c r="D555" s="2" t="str">
        <x:v>Acessórios</x:v>
      </x:c>
      <x:c r="E555" s="11" t="n">
        <x:v>4</x:v>
      </x:c>
      <x:c r="F555" s="12" t="n">
        <x:v>193.05</x:v>
      </x:c>
      <x:c r="G555" s="12" t="n">
        <x:v>772.2</x:v>
      </x:c>
      <x:c r="H555" s="13" t="n">
        <x:v>283</x:v>
      </x:c>
      <x:c r="I555" s="13" t="n">
        <x:f>YEAR(B555)</x:f>
        <x:v>2024</x:v>
      </x:c>
      <x:c r="J555" s="13" t="n">
        <x:f>MONTH(B555)</x:f>
        <x:v>1</x:v>
      </x:c>
      <x:c r="K555" s="14" t="n">
        <x:f>ROUND(E555*F555-G555,10)</x:f>
        <x:v>0</x:v>
      </x:c>
      <x:c r="L555" s="2"/>
      <x:c r="M555" s="2"/>
      <x:c r="N555" s="2"/>
      <x:c r="O555" s="2"/>
      <x:c r="P555" s="2"/>
      <x:c r="Q555" s="2"/>
      <x:c r="R555" s="2"/>
    </x:row>
    <x:row r="556" ht="22" customHeight="1">
      <x:c r="A556" s="2" t="n">
        <x:v>100550</x:v>
      </x:c>
      <x:c r="B556" s="10" t="n">
        <x:v>45207</x:v>
      </x:c>
      <x:c r="C556" s="2" t="str">
        <x:v>Chile</x:v>
      </x:c>
      <x:c r="D556" s="2" t="str">
        <x:v>Acessórios</x:v>
      </x:c>
      <x:c r="E556" s="11" t="n">
        <x:v>13</x:v>
      </x:c>
      <x:c r="F556" s="12" t="n">
        <x:v>134.46</x:v>
      </x:c>
      <x:c r="G556" s="12" t="n">
        <x:v>1747.98</x:v>
      </x:c>
      <x:c r="H556" s="13" t="n">
        <x:v>180</x:v>
      </x:c>
      <x:c r="I556" s="13" t="n">
        <x:f>YEAR(B556)</x:f>
        <x:v>2023</x:v>
      </x:c>
      <x:c r="J556" s="13" t="n">
        <x:f>MONTH(B556)</x:f>
        <x:v>10</x:v>
      </x:c>
      <x:c r="K556" s="14" t="n">
        <x:f>ROUND(E556*F556-G556,10)</x:f>
        <x:v>0</x:v>
      </x:c>
      <x:c r="L556" s="2"/>
      <x:c r="M556" s="2"/>
      <x:c r="N556" s="2"/>
      <x:c r="O556" s="2"/>
      <x:c r="P556" s="2"/>
      <x:c r="Q556" s="2"/>
      <x:c r="R556" s="2"/>
    </x:row>
    <x:row r="557" ht="22" customHeight="1">
      <x:c r="A557" s="2" t="n">
        <x:v>100551</x:v>
      </x:c>
      <x:c r="B557" s="10" t="n">
        <x:v>44980</x:v>
      </x:c>
      <x:c r="C557" s="2" t="str">
        <x:v>Brasil</x:v>
      </x:c>
      <x:c r="D557" s="2" t="str">
        <x:v>Moda Feminina</x:v>
      </x:c>
      <x:c r="E557" s="11" t="n">
        <x:v>45</x:v>
      </x:c>
      <x:c r="F557" s="12" t="n">
        <x:v>157.86</x:v>
      </x:c>
      <x:c r="G557" s="12" t="n">
        <x:v>7103.700000000001</x:v>
      </x:c>
      <x:c r="H557" s="13" t="n">
        <x:v>98</x:v>
      </x:c>
      <x:c r="I557" s="13" t="n">
        <x:f>YEAR(B557)</x:f>
        <x:v>2023</x:v>
      </x:c>
      <x:c r="J557" s="13" t="n">
        <x:f>MONTH(B557)</x:f>
        <x:v>2</x:v>
      </x:c>
      <x:c r="K557" s="14" t="n">
        <x:f>ROUND(E557*F557-G557,10)</x:f>
        <x:v>0</x:v>
      </x:c>
      <x:c r="L557" s="2"/>
      <x:c r="M557" s="2"/>
      <x:c r="N557" s="2"/>
      <x:c r="O557" s="2"/>
      <x:c r="P557" s="2"/>
      <x:c r="Q557" s="2"/>
      <x:c r="R557" s="2"/>
    </x:row>
    <x:row r="558" ht="22" customHeight="1">
      <x:c r="A558" s="2" t="n">
        <x:v>100552</x:v>
      </x:c>
      <x:c r="B558" s="10" t="n">
        <x:v>45604</x:v>
      </x:c>
      <x:c r="C558" s="2" t="str">
        <x:v>Argentina</x:v>
      </x:c>
      <x:c r="D558" s="2" t="str">
        <x:v>Calçados</x:v>
      </x:c>
      <x:c r="E558" s="11" t="n">
        <x:v>42</x:v>
      </x:c>
      <x:c r="F558" s="12" t="n">
        <x:v>34.26</x:v>
      </x:c>
      <x:c r="G558" s="12" t="n">
        <x:v>1438.92</x:v>
      </x:c>
      <x:c r="H558" s="13" t="n">
        <x:v>196</x:v>
      </x:c>
      <x:c r="I558" s="13" t="n">
        <x:f>YEAR(B558)</x:f>
        <x:v>2024</x:v>
      </x:c>
      <x:c r="J558" s="13" t="n">
        <x:f>MONTH(B558)</x:f>
        <x:v>11</x:v>
      </x:c>
      <x:c r="K558" s="14" t="n">
        <x:f>ROUND(E558*F558-G558,10)</x:f>
        <x:v>0</x:v>
      </x:c>
      <x:c r="L558" s="2"/>
      <x:c r="M558" s="2"/>
      <x:c r="N558" s="2"/>
      <x:c r="O558" s="2"/>
      <x:c r="P558" s="2"/>
      <x:c r="Q558" s="2"/>
      <x:c r="R558" s="2"/>
    </x:row>
    <x:row r="559" ht="22" customHeight="1">
      <x:c r="A559" s="2" t="n">
        <x:v>100553</x:v>
      </x:c>
      <x:c r="B559" s="10" t="n">
        <x:v>45555</x:v>
      </x:c>
      <x:c r="C559" s="2" t="str">
        <x:v>México</x:v>
      </x:c>
      <x:c r="D559" s="2" t="str">
        <x:v>Acessórios</x:v>
      </x:c>
      <x:c r="E559" s="11" t="n">
        <x:v>49</x:v>
      </x:c>
      <x:c r="F559" s="12" t="n">
        <x:v>28.47</x:v>
      </x:c>
      <x:c r="G559" s="12" t="n">
        <x:v>1395.03</x:v>
      </x:c>
      <x:c r="H559" s="13" t="n">
        <x:v>365</x:v>
      </x:c>
      <x:c r="I559" s="13" t="n">
        <x:f>YEAR(B559)</x:f>
        <x:v>2024</x:v>
      </x:c>
      <x:c r="J559" s="13" t="n">
        <x:f>MONTH(B559)</x:f>
        <x:v>9</x:v>
      </x:c>
      <x:c r="K559" s="14" t="n">
        <x:f>ROUND(E559*F559-G559,10)</x:f>
        <x:v>0</x:v>
      </x:c>
      <x:c r="L559" s="2"/>
      <x:c r="M559" s="2"/>
      <x:c r="N559" s="2"/>
      <x:c r="O559" s="2"/>
      <x:c r="P559" s="2"/>
      <x:c r="Q559" s="2"/>
      <x:c r="R559" s="2"/>
    </x:row>
    <x:row r="560" ht="22" customHeight="1">
      <x:c r="A560" s="2" t="n">
        <x:v>100554</x:v>
      </x:c>
      <x:c r="B560" s="10" t="n">
        <x:v>45294</x:v>
      </x:c>
      <x:c r="C560" s="2" t="str">
        <x:v>Argentina</x:v>
      </x:c>
      <x:c r="D560" s="2" t="str">
        <x:v>Moda Feminina</x:v>
      </x:c>
      <x:c r="E560" s="11" t="n">
        <x:v>20</x:v>
      </x:c>
      <x:c r="F560" s="12" t="n">
        <x:v>23.5</x:v>
      </x:c>
      <x:c r="G560" s="12" t="n">
        <x:v>470</x:v>
      </x:c>
      <x:c r="H560" s="13" t="n">
        <x:v>462</x:v>
      </x:c>
      <x:c r="I560" s="13" t="n">
        <x:f>YEAR(B560)</x:f>
        <x:v>2024</x:v>
      </x:c>
      <x:c r="J560" s="13" t="n">
        <x:f>MONTH(B560)</x:f>
        <x:v>1</x:v>
      </x:c>
      <x:c r="K560" s="14" t="n">
        <x:f>ROUND(E560*F560-G560,10)</x:f>
        <x:v>0</x:v>
      </x:c>
      <x:c r="L560" s="2"/>
      <x:c r="M560" s="2"/>
      <x:c r="N560" s="2"/>
      <x:c r="O560" s="2"/>
      <x:c r="P560" s="2"/>
      <x:c r="Q560" s="2"/>
      <x:c r="R560" s="2"/>
    </x:row>
    <x:row r="561" ht="22" customHeight="1">
      <x:c r="A561" s="2" t="n">
        <x:v>100555</x:v>
      </x:c>
      <x:c r="B561" s="10" t="n">
        <x:v>45172</x:v>
      </x:c>
      <x:c r="C561" s="2" t="str">
        <x:v>Argentina</x:v>
      </x:c>
      <x:c r="D561" s="2" t="str">
        <x:v>Acessórios</x:v>
      </x:c>
      <x:c r="E561" s="11" t="n">
        <x:v>13</x:v>
      </x:c>
      <x:c r="F561" s="12" t="n">
        <x:v>53.98</x:v>
      </x:c>
      <x:c r="G561" s="12" t="n">
        <x:v>701.74</x:v>
      </x:c>
      <x:c r="H561" s="13" t="n">
        <x:v>483</x:v>
      </x:c>
      <x:c r="I561" s="13" t="n">
        <x:f>YEAR(B561)</x:f>
        <x:v>2023</x:v>
      </x:c>
      <x:c r="J561" s="13" t="n">
        <x:f>MONTH(B561)</x:f>
        <x:v>9</x:v>
      </x:c>
      <x:c r="K561" s="14" t="n">
        <x:f>ROUND(E561*F561-G561,10)</x:f>
        <x:v>0</x:v>
      </x:c>
      <x:c r="L561" s="2"/>
      <x:c r="M561" s="2"/>
      <x:c r="N561" s="2"/>
      <x:c r="O561" s="2"/>
      <x:c r="P561" s="2"/>
      <x:c r="Q561" s="2"/>
      <x:c r="R561" s="2"/>
    </x:row>
    <x:row r="562" ht="22" customHeight="1">
      <x:c r="A562" s="2" t="n">
        <x:v>100556</x:v>
      </x:c>
      <x:c r="B562" s="10" t="n">
        <x:v>45469</x:v>
      </x:c>
      <x:c r="C562" s="2" t="str">
        <x:v>Argentina</x:v>
      </x:c>
      <x:c r="D562" s="2" t="str">
        <x:v>Calçados</x:v>
      </x:c>
      <x:c r="E562" s="11" t="n">
        <x:v>17</x:v>
      </x:c>
      <x:c r="F562" s="12" t="n">
        <x:v>94.59</x:v>
      </x:c>
      <x:c r="G562" s="12" t="n">
        <x:v>1608.03</x:v>
      </x:c>
      <x:c r="H562" s="13" t="n">
        <x:v>51</x:v>
      </x:c>
      <x:c r="I562" s="13" t="n">
        <x:f>YEAR(B562)</x:f>
        <x:v>2024</x:v>
      </x:c>
      <x:c r="J562" s="13" t="n">
        <x:f>MONTH(B562)</x:f>
        <x:v>6</x:v>
      </x:c>
      <x:c r="K562" s="14" t="n">
        <x:f>ROUND(E562*F562-G562,10)</x:f>
        <x:v>0</x:v>
      </x:c>
      <x:c r="L562" s="2"/>
      <x:c r="M562" s="2"/>
      <x:c r="N562" s="2"/>
      <x:c r="O562" s="2"/>
      <x:c r="P562" s="2"/>
      <x:c r="Q562" s="2"/>
      <x:c r="R562" s="2"/>
    </x:row>
    <x:row r="563" ht="22" customHeight="1">
      <x:c r="A563" s="2" t="n">
        <x:v>100557</x:v>
      </x:c>
      <x:c r="B563" s="10" t="n">
        <x:v>45195</x:v>
      </x:c>
      <x:c r="C563" s="2" t="str">
        <x:v>Peru</x:v>
      </x:c>
      <x:c r="D563" s="2" t="str">
        <x:v>Moda Infantil</x:v>
      </x:c>
      <x:c r="E563" s="11" t="n">
        <x:v>36</x:v>
      </x:c>
      <x:c r="F563" s="12" t="n">
        <x:v>188.45</x:v>
      </x:c>
      <x:c r="G563" s="12" t="n">
        <x:v>6784.2</x:v>
      </x:c>
      <x:c r="H563" s="13" t="n">
        <x:v>378</x:v>
      </x:c>
      <x:c r="I563" s="13" t="n">
        <x:f>YEAR(B563)</x:f>
        <x:v>2023</x:v>
      </x:c>
      <x:c r="J563" s="13" t="n">
        <x:f>MONTH(B563)</x:f>
        <x:v>9</x:v>
      </x:c>
      <x:c r="K563" s="14" t="n">
        <x:f>ROUND(E563*F563-G563,10)</x:f>
        <x:v>0</x:v>
      </x:c>
      <x:c r="L563" s="2"/>
      <x:c r="M563" s="2"/>
      <x:c r="N563" s="2"/>
      <x:c r="O563" s="2"/>
      <x:c r="P563" s="2"/>
      <x:c r="Q563" s="2"/>
      <x:c r="R563" s="2"/>
    </x:row>
    <x:row r="564" ht="22" customHeight="1">
      <x:c r="A564" s="2" t="n">
        <x:v>100558</x:v>
      </x:c>
      <x:c r="B564" s="10" t="n">
        <x:v>45405</x:v>
      </x:c>
      <x:c r="C564" s="2" t="str">
        <x:v>Argentina</x:v>
      </x:c>
      <x:c r="D564" s="2" t="str">
        <x:v>Calçados</x:v>
      </x:c>
      <x:c r="E564" s="11" t="n">
        <x:v>33</x:v>
      </x:c>
      <x:c r="F564" s="12" t="n">
        <x:v>102.27</x:v>
      </x:c>
      <x:c r="G564" s="12" t="n">
        <x:v>3374.91</x:v>
      </x:c>
      <x:c r="H564" s="13" t="n">
        <x:v>489</x:v>
      </x:c>
      <x:c r="I564" s="13" t="n">
        <x:f>YEAR(B564)</x:f>
        <x:v>2024</x:v>
      </x:c>
      <x:c r="J564" s="13" t="n">
        <x:f>MONTH(B564)</x:f>
        <x:v>4</x:v>
      </x:c>
      <x:c r="K564" s="14" t="n">
        <x:f>ROUND(E564*F564-G564,10)</x:f>
        <x:v>0</x:v>
      </x:c>
      <x:c r="L564" s="2"/>
      <x:c r="M564" s="2"/>
      <x:c r="N564" s="2"/>
      <x:c r="O564" s="2"/>
      <x:c r="P564" s="2"/>
      <x:c r="Q564" s="2"/>
      <x:c r="R564" s="2"/>
    </x:row>
    <x:row r="565" ht="22" customHeight="1">
      <x:c r="A565" s="2" t="n">
        <x:v>100559</x:v>
      </x:c>
      <x:c r="B565" s="10" t="n">
        <x:v>45591</x:v>
      </x:c>
      <x:c r="C565" s="2" t="str">
        <x:v>Chile</x:v>
      </x:c>
      <x:c r="D565" s="2" t="str">
        <x:v>Moda Masculina</x:v>
      </x:c>
      <x:c r="E565" s="11" t="n">
        <x:v>1</x:v>
      </x:c>
      <x:c r="F565" s="12" t="n">
        <x:v>72.25</x:v>
      </x:c>
      <x:c r="G565" s="12" t="n">
        <x:v>72.25</x:v>
      </x:c>
      <x:c r="H565" s="13" t="n">
        <x:v>194</x:v>
      </x:c>
      <x:c r="I565" s="13" t="n">
        <x:f>YEAR(B565)</x:f>
        <x:v>2024</x:v>
      </x:c>
      <x:c r="J565" s="13" t="n">
        <x:f>MONTH(B565)</x:f>
        <x:v>10</x:v>
      </x:c>
      <x:c r="K565" s="14" t="n">
        <x:f>ROUND(E565*F565-G565,10)</x:f>
        <x:v>0</x:v>
      </x:c>
      <x:c r="L565" s="2"/>
      <x:c r="M565" s="2"/>
      <x:c r="N565" s="2"/>
      <x:c r="O565" s="2"/>
      <x:c r="P565" s="2"/>
      <x:c r="Q565" s="2"/>
      <x:c r="R565" s="2"/>
    </x:row>
    <x:row r="566" ht="22" customHeight="1">
      <x:c r="A566" s="2" t="n">
        <x:v>100560</x:v>
      </x:c>
      <x:c r="B566" s="10" t="n">
        <x:v>45128</x:v>
      </x:c>
      <x:c r="C566" s="2" t="str">
        <x:v>Brasil</x:v>
      </x:c>
      <x:c r="D566" s="2" t="str">
        <x:v>Acessórios</x:v>
      </x:c>
      <x:c r="E566" s="11" t="n">
        <x:v>15</x:v>
      </x:c>
      <x:c r="F566" s="12" t="n">
        <x:v>121.15</x:v>
      </x:c>
      <x:c r="G566" s="12" t="n">
        <x:v>1817.25</x:v>
      </x:c>
      <x:c r="H566" s="13" t="n">
        <x:v>493</x:v>
      </x:c>
      <x:c r="I566" s="13" t="n">
        <x:f>YEAR(B566)</x:f>
        <x:v>2023</x:v>
      </x:c>
      <x:c r="J566" s="13" t="n">
        <x:f>MONTH(B566)</x:f>
        <x:v>7</x:v>
      </x:c>
      <x:c r="K566" s="14" t="n">
        <x:f>ROUND(E566*F566-G566,10)</x:f>
        <x:v>0</x:v>
      </x:c>
      <x:c r="L566" s="2"/>
      <x:c r="M566" s="2"/>
      <x:c r="N566" s="2"/>
      <x:c r="O566" s="2"/>
      <x:c r="P566" s="2"/>
      <x:c r="Q566" s="2"/>
      <x:c r="R566" s="2"/>
    </x:row>
    <x:row r="567" ht="22" customHeight="1">
      <x:c r="A567" s="2" t="n">
        <x:v>100561</x:v>
      </x:c>
      <x:c r="B567" s="10" t="n">
        <x:v>45244</x:v>
      </x:c>
      <x:c r="C567" s="2" t="str">
        <x:v>Colômbia</x:v>
      </x:c>
      <x:c r="D567" s="2" t="str">
        <x:v>Acessórios</x:v>
      </x:c>
      <x:c r="E567" s="11" t="n">
        <x:v>13</x:v>
      </x:c>
      <x:c r="F567" s="12" t="n">
        <x:v>40.15</x:v>
      </x:c>
      <x:c r="G567" s="12" t="n">
        <x:v>521.9499999999999</x:v>
      </x:c>
      <x:c r="H567" s="13" t="n">
        <x:v>415</x:v>
      </x:c>
      <x:c r="I567" s="13" t="n">
        <x:f>YEAR(B567)</x:f>
        <x:v>2023</x:v>
      </x:c>
      <x:c r="J567" s="13" t="n">
        <x:f>MONTH(B567)</x:f>
        <x:v>11</x:v>
      </x:c>
      <x:c r="K567" s="14" t="n">
        <x:f>ROUND(E567*F567-G567,10)</x:f>
        <x:v>0</x:v>
      </x:c>
      <x:c r="L567" s="2"/>
      <x:c r="M567" s="2"/>
      <x:c r="N567" s="2"/>
      <x:c r="O567" s="2"/>
      <x:c r="P567" s="2"/>
      <x:c r="Q567" s="2"/>
      <x:c r="R567" s="2"/>
    </x:row>
    <x:row r="568" ht="22" customHeight="1">
      <x:c r="A568" s="2" t="n">
        <x:v>100562</x:v>
      </x:c>
      <x:c r="B568" s="10" t="n">
        <x:v>45519</x:v>
      </x:c>
      <x:c r="C568" s="2" t="str">
        <x:v>Argentina</x:v>
      </x:c>
      <x:c r="D568" s="2" t="str">
        <x:v>Moda Masculina</x:v>
      </x:c>
      <x:c r="E568" s="11" t="n">
        <x:v>17</x:v>
      </x:c>
      <x:c r="F568" s="12" t="n">
        <x:v>129.71</x:v>
      </x:c>
      <x:c r="G568" s="12" t="n">
        <x:v>2205.07</x:v>
      </x:c>
      <x:c r="H568" s="13" t="n">
        <x:v>469</x:v>
      </x:c>
      <x:c r="I568" s="13" t="n">
        <x:f>YEAR(B568)</x:f>
        <x:v>2024</x:v>
      </x:c>
      <x:c r="J568" s="13" t="n">
        <x:f>MONTH(B568)</x:f>
        <x:v>8</x:v>
      </x:c>
      <x:c r="K568" s="14" t="n">
        <x:f>ROUND(E568*F568-G568,10)</x:f>
        <x:v>0</x:v>
      </x:c>
      <x:c r="L568" s="2"/>
      <x:c r="M568" s="2"/>
      <x:c r="N568" s="2"/>
      <x:c r="O568" s="2"/>
      <x:c r="P568" s="2"/>
      <x:c r="Q568" s="2"/>
      <x:c r="R568" s="2"/>
    </x:row>
    <x:row r="569" ht="22" customHeight="1">
      <x:c r="A569" s="2" t="n">
        <x:v>100563</x:v>
      </x:c>
      <x:c r="B569" s="10" t="n">
        <x:v>45579</x:v>
      </x:c>
      <x:c r="C569" s="2" t="str">
        <x:v>México</x:v>
      </x:c>
      <x:c r="D569" s="2" t="str">
        <x:v>Moda Masculina</x:v>
      </x:c>
      <x:c r="E569" s="11" t="n">
        <x:v>24</x:v>
      </x:c>
      <x:c r="F569" s="12" t="n">
        <x:v>122.32</x:v>
      </x:c>
      <x:c r="G569" s="12" t="n">
        <x:v>2935.68</x:v>
      </x:c>
      <x:c r="H569" s="13" t="n">
        <x:v>110</x:v>
      </x:c>
      <x:c r="I569" s="13" t="n">
        <x:f>YEAR(B569)</x:f>
        <x:v>2024</x:v>
      </x:c>
      <x:c r="J569" s="13" t="n">
        <x:f>MONTH(B569)</x:f>
        <x:v>10</x:v>
      </x:c>
      <x:c r="K569" s="14" t="n">
        <x:f>ROUND(E569*F569-G569,10)</x:f>
        <x:v>0</x:v>
      </x:c>
      <x:c r="L569" s="2"/>
      <x:c r="M569" s="2"/>
      <x:c r="N569" s="2"/>
      <x:c r="O569" s="2"/>
      <x:c r="P569" s="2"/>
      <x:c r="Q569" s="2"/>
      <x:c r="R569" s="2"/>
    </x:row>
    <x:row r="570" ht="22" customHeight="1">
      <x:c r="A570" s="2" t="n">
        <x:v>100564</x:v>
      </x:c>
      <x:c r="B570" s="10" t="n">
        <x:v>44945</x:v>
      </x:c>
      <x:c r="C570" s="2" t="str">
        <x:v>Argentina</x:v>
      </x:c>
      <x:c r="D570" s="2" t="str">
        <x:v>Moda Infantil</x:v>
      </x:c>
      <x:c r="E570" s="11" t="n">
        <x:v>8</x:v>
      </x:c>
      <x:c r="F570" s="12" t="n">
        <x:v>162.56</x:v>
      </x:c>
      <x:c r="G570" s="12" t="n">
        <x:v>1300.48</x:v>
      </x:c>
      <x:c r="H570" s="13" t="n">
        <x:v>322</x:v>
      </x:c>
      <x:c r="I570" s="13" t="n">
        <x:f>YEAR(B570)</x:f>
        <x:v>2023</x:v>
      </x:c>
      <x:c r="J570" s="13" t="n">
        <x:f>MONTH(B570)</x:f>
        <x:v>1</x:v>
      </x:c>
      <x:c r="K570" s="14" t="n">
        <x:f>ROUND(E570*F570-G570,10)</x:f>
        <x:v>0</x:v>
      </x:c>
      <x:c r="L570" s="2"/>
      <x:c r="M570" s="2"/>
      <x:c r="N570" s="2"/>
      <x:c r="O570" s="2"/>
      <x:c r="P570" s="2"/>
      <x:c r="Q570" s="2"/>
      <x:c r="R570" s="2"/>
    </x:row>
    <x:row r="571" ht="22" customHeight="1">
      <x:c r="A571" s="2" t="n">
        <x:v>100565</x:v>
      </x:c>
      <x:c r="B571" s="10" t="n">
        <x:v>45476</x:v>
      </x:c>
      <x:c r="C571" s="2" t="str">
        <x:v>México</x:v>
      </x:c>
      <x:c r="D571" s="2" t="str">
        <x:v>Acessórios</x:v>
      </x:c>
      <x:c r="E571" s="11" t="n">
        <x:v>27</x:v>
      </x:c>
      <x:c r="F571" s="12" t="n">
        <x:v>197.6</x:v>
      </x:c>
      <x:c r="G571" s="12" t="n">
        <x:v>5335.2</x:v>
      </x:c>
      <x:c r="H571" s="13" t="n">
        <x:v>98</x:v>
      </x:c>
      <x:c r="I571" s="13" t="n">
        <x:f>YEAR(B571)</x:f>
        <x:v>2024</x:v>
      </x:c>
      <x:c r="J571" s="13" t="n">
        <x:f>MONTH(B571)</x:f>
        <x:v>7</x:v>
      </x:c>
      <x:c r="K571" s="14" t="n">
        <x:f>ROUND(E571*F571-G571,10)</x:f>
        <x:v>0</x:v>
      </x:c>
      <x:c r="L571" s="2"/>
      <x:c r="M571" s="2"/>
      <x:c r="N571" s="2"/>
      <x:c r="O571" s="2"/>
      <x:c r="P571" s="2"/>
      <x:c r="Q571" s="2"/>
      <x:c r="R571" s="2"/>
    </x:row>
    <x:row r="572" ht="22" customHeight="1">
      <x:c r="A572" s="2" t="n">
        <x:v>100566</x:v>
      </x:c>
      <x:c r="B572" s="10" t="n">
        <x:v>45387</x:v>
      </x:c>
      <x:c r="C572" s="2" t="str">
        <x:v>Chile</x:v>
      </x:c>
      <x:c r="D572" s="2" t="str">
        <x:v>Acessórios</x:v>
      </x:c>
      <x:c r="E572" s="11" t="n">
        <x:v>45</x:v>
      </x:c>
      <x:c r="F572" s="12" t="n">
        <x:v>65.16</x:v>
      </x:c>
      <x:c r="G572" s="12" t="n">
        <x:v>2932.2</x:v>
      </x:c>
      <x:c r="H572" s="13" t="n">
        <x:v>381</x:v>
      </x:c>
      <x:c r="I572" s="13" t="n">
        <x:f>YEAR(B572)</x:f>
        <x:v>2024</x:v>
      </x:c>
      <x:c r="J572" s="13" t="n">
        <x:f>MONTH(B572)</x:f>
        <x:v>4</x:v>
      </x:c>
      <x:c r="K572" s="14" t="n">
        <x:f>ROUND(E572*F572-G572,10)</x:f>
        <x:v>0</x:v>
      </x:c>
      <x:c r="L572" s="2"/>
      <x:c r="M572" s="2"/>
      <x:c r="N572" s="2"/>
      <x:c r="O572" s="2"/>
      <x:c r="P572" s="2"/>
      <x:c r="Q572" s="2"/>
      <x:c r="R572" s="2"/>
    </x:row>
    <x:row r="573" ht="22" customHeight="1">
      <x:c r="A573" s="2" t="n">
        <x:v>100567</x:v>
      </x:c>
      <x:c r="B573" s="10" t="n">
        <x:v>44933</x:v>
      </x:c>
      <x:c r="C573" s="2" t="str">
        <x:v>México</x:v>
      </x:c>
      <x:c r="D573" s="2" t="str">
        <x:v>Moda Infantil</x:v>
      </x:c>
      <x:c r="E573" s="11" t="n">
        <x:v>23</x:v>
      </x:c>
      <x:c r="F573" s="12" t="n">
        <x:v>111.74</x:v>
      </x:c>
      <x:c r="G573" s="12" t="n">
        <x:v>2570.02</x:v>
      </x:c>
      <x:c r="H573" s="13" t="n">
        <x:v>493</x:v>
      </x:c>
      <x:c r="I573" s="13" t="n">
        <x:f>YEAR(B573)</x:f>
        <x:v>2023</x:v>
      </x:c>
      <x:c r="J573" s="13" t="n">
        <x:f>MONTH(B573)</x:f>
        <x:v>1</x:v>
      </x:c>
      <x:c r="K573" s="14" t="n">
        <x:f>ROUND(E573*F573-G573,10)</x:f>
        <x:v>0</x:v>
      </x:c>
      <x:c r="L573" s="2"/>
      <x:c r="M573" s="2"/>
      <x:c r="N573" s="2"/>
      <x:c r="O573" s="2"/>
      <x:c r="P573" s="2"/>
      <x:c r="Q573" s="2"/>
      <x:c r="R573" s="2"/>
    </x:row>
    <x:row r="574" ht="22" customHeight="1">
      <x:c r="A574" s="2" t="n">
        <x:v>100568</x:v>
      </x:c>
      <x:c r="B574" s="10" t="n">
        <x:v>44962</x:v>
      </x:c>
      <x:c r="C574" s="2" t="str">
        <x:v>Colômbia</x:v>
      </x:c>
      <x:c r="D574" s="2" t="str">
        <x:v>Moda Feminina</x:v>
      </x:c>
      <x:c r="E574" s="11" t="n">
        <x:v>46</x:v>
      </x:c>
      <x:c r="F574" s="12" t="n">
        <x:v>183.6</x:v>
      </x:c>
      <x:c r="G574" s="12" t="n">
        <x:v>8445.6</x:v>
      </x:c>
      <x:c r="H574" s="13" t="n">
        <x:v>453</x:v>
      </x:c>
      <x:c r="I574" s="13" t="n">
        <x:f>YEAR(B574)</x:f>
        <x:v>2023</x:v>
      </x:c>
      <x:c r="J574" s="13" t="n">
        <x:f>MONTH(B574)</x:f>
        <x:v>2</x:v>
      </x:c>
      <x:c r="K574" s="14" t="n">
        <x:f>ROUND(E574*F574-G574,10)</x:f>
        <x:v>0</x:v>
      </x:c>
      <x:c r="L574" s="2"/>
      <x:c r="M574" s="2"/>
      <x:c r="N574" s="2"/>
      <x:c r="O574" s="2"/>
      <x:c r="P574" s="2"/>
      <x:c r="Q574" s="2"/>
      <x:c r="R574" s="2"/>
    </x:row>
    <x:row r="575" ht="22" customHeight="1">
      <x:c r="A575" s="2" t="n">
        <x:v>100569</x:v>
      </x:c>
      <x:c r="B575" s="10" t="n">
        <x:v>45448</x:v>
      </x:c>
      <x:c r="C575" s="2" t="str">
        <x:v>Brasil</x:v>
      </x:c>
      <x:c r="D575" s="2" t="str">
        <x:v>Moda Infantil</x:v>
      </x:c>
      <x:c r="E575" s="11" t="n">
        <x:v>8</x:v>
      </x:c>
      <x:c r="F575" s="12" t="n">
        <x:v>161.33</x:v>
      </x:c>
      <x:c r="G575" s="12" t="n">
        <x:v>1290.64</x:v>
      </x:c>
      <x:c r="H575" s="13" t="n">
        <x:v>483</x:v>
      </x:c>
      <x:c r="I575" s="13" t="n">
        <x:f>YEAR(B575)</x:f>
        <x:v>2024</x:v>
      </x:c>
      <x:c r="J575" s="13" t="n">
        <x:f>MONTH(B575)</x:f>
        <x:v>6</x:v>
      </x:c>
      <x:c r="K575" s="14" t="n">
        <x:f>ROUND(E575*F575-G575,10)</x:f>
        <x:v>0</x:v>
      </x:c>
      <x:c r="L575" s="2"/>
      <x:c r="M575" s="2"/>
      <x:c r="N575" s="2"/>
      <x:c r="O575" s="2"/>
      <x:c r="P575" s="2"/>
      <x:c r="Q575" s="2"/>
      <x:c r="R575" s="2"/>
    </x:row>
    <x:row r="576" ht="22" customHeight="1">
      <x:c r="A576" s="2" t="n">
        <x:v>100570</x:v>
      </x:c>
      <x:c r="B576" s="10" t="n">
        <x:v>45521</x:v>
      </x:c>
      <x:c r="C576" s="2" t="str">
        <x:v>México</x:v>
      </x:c>
      <x:c r="D576" s="2" t="str">
        <x:v>Calçados</x:v>
      </x:c>
      <x:c r="E576" s="11" t="n">
        <x:v>8</x:v>
      </x:c>
      <x:c r="F576" s="12" t="n">
        <x:v>107.73</x:v>
      </x:c>
      <x:c r="G576" s="12" t="n">
        <x:v>861.84</x:v>
      </x:c>
      <x:c r="H576" s="13" t="n">
        <x:v>180</x:v>
      </x:c>
      <x:c r="I576" s="13" t="n">
        <x:f>YEAR(B576)</x:f>
        <x:v>2024</x:v>
      </x:c>
      <x:c r="J576" s="13" t="n">
        <x:f>MONTH(B576)</x:f>
        <x:v>8</x:v>
      </x:c>
      <x:c r="K576" s="14" t="n">
        <x:f>ROUND(E576*F576-G576,10)</x:f>
        <x:v>0</x:v>
      </x:c>
      <x:c r="L576" s="2"/>
      <x:c r="M576" s="2"/>
      <x:c r="N576" s="2"/>
      <x:c r="O576" s="2"/>
      <x:c r="P576" s="2"/>
      <x:c r="Q576" s="2"/>
      <x:c r="R576" s="2"/>
    </x:row>
    <x:row r="577" ht="22" customHeight="1">
      <x:c r="A577" s="2" t="n">
        <x:v>100571</x:v>
      </x:c>
      <x:c r="B577" s="10" t="n">
        <x:v>45269</x:v>
      </x:c>
      <x:c r="C577" s="2" t="str">
        <x:v>México</x:v>
      </x:c>
      <x:c r="D577" s="2" t="str">
        <x:v>Acessórios</x:v>
      </x:c>
      <x:c r="E577" s="11" t="n">
        <x:v>26</x:v>
      </x:c>
      <x:c r="F577" s="12" t="n">
        <x:v>190.17</x:v>
      </x:c>
      <x:c r="G577" s="12" t="n">
        <x:v>4944.42</x:v>
      </x:c>
      <x:c r="H577" s="13" t="n">
        <x:v>92</x:v>
      </x:c>
      <x:c r="I577" s="13" t="n">
        <x:f>YEAR(B577)</x:f>
        <x:v>2023</x:v>
      </x:c>
      <x:c r="J577" s="13" t="n">
        <x:f>MONTH(B577)</x:f>
        <x:v>12</x:v>
      </x:c>
      <x:c r="K577" s="14" t="n">
        <x:f>ROUND(E577*F577-G577,10)</x:f>
        <x:v>0</x:v>
      </x:c>
      <x:c r="L577" s="2"/>
      <x:c r="M577" s="2"/>
      <x:c r="N577" s="2"/>
      <x:c r="O577" s="2"/>
      <x:c r="P577" s="2"/>
      <x:c r="Q577" s="2"/>
      <x:c r="R577" s="2"/>
    </x:row>
    <x:row r="578" ht="22" customHeight="1">
      <x:c r="A578" s="2" t="n">
        <x:v>100572</x:v>
      </x:c>
      <x:c r="B578" s="10" t="n">
        <x:v>45636</x:v>
      </x:c>
      <x:c r="C578" s="2" t="str">
        <x:v>Brasil</x:v>
      </x:c>
      <x:c r="D578" s="2" t="str">
        <x:v>Moda Masculina</x:v>
      </x:c>
      <x:c r="E578" s="11" t="n">
        <x:v>47</x:v>
      </x:c>
      <x:c r="F578" s="12" t="n">
        <x:v>30.3</x:v>
      </x:c>
      <x:c r="G578" s="12" t="n">
        <x:v>1424.1</x:v>
      </x:c>
      <x:c r="H578" s="13" t="n">
        <x:v>106</x:v>
      </x:c>
      <x:c r="I578" s="13" t="n">
        <x:f>YEAR(B578)</x:f>
        <x:v>2024</x:v>
      </x:c>
      <x:c r="J578" s="13" t="n">
        <x:f>MONTH(B578)</x:f>
        <x:v>12</x:v>
      </x:c>
      <x:c r="K578" s="14" t="n">
        <x:f>ROUND(E578*F578-G578,10)</x:f>
        <x:v>0</x:v>
      </x:c>
      <x:c r="L578" s="2"/>
      <x:c r="M578" s="2"/>
      <x:c r="N578" s="2"/>
      <x:c r="O578" s="2"/>
      <x:c r="P578" s="2"/>
      <x:c r="Q578" s="2"/>
      <x:c r="R578" s="2"/>
    </x:row>
    <x:row r="579" ht="22" customHeight="1">
      <x:c r="A579" s="2" t="n">
        <x:v>100573</x:v>
      </x:c>
      <x:c r="B579" s="10" t="n">
        <x:v>45402</x:v>
      </x:c>
      <x:c r="C579" s="2" t="str">
        <x:v>Colômbia</x:v>
      </x:c>
      <x:c r="D579" s="2" t="str">
        <x:v>Calçados</x:v>
      </x:c>
      <x:c r="E579" s="11" t="n">
        <x:v>13</x:v>
      </x:c>
      <x:c r="F579" s="12" t="n">
        <x:v>187.58</x:v>
      </x:c>
      <x:c r="G579" s="12" t="n">
        <x:v>2438.54</x:v>
      </x:c>
      <x:c r="H579" s="13" t="n">
        <x:v>99</x:v>
      </x:c>
      <x:c r="I579" s="13" t="n">
        <x:f>YEAR(B579)</x:f>
        <x:v>2024</x:v>
      </x:c>
      <x:c r="J579" s="13" t="n">
        <x:f>MONTH(B579)</x:f>
        <x:v>4</x:v>
      </x:c>
      <x:c r="K579" s="14" t="n">
        <x:f>ROUND(E579*F579-G579,10)</x:f>
        <x:v>0</x:v>
      </x:c>
      <x:c r="L579" s="2"/>
      <x:c r="M579" s="2"/>
      <x:c r="N579" s="2"/>
      <x:c r="O579" s="2"/>
      <x:c r="P579" s="2"/>
      <x:c r="Q579" s="2"/>
      <x:c r="R579" s="2"/>
    </x:row>
    <x:row r="580" ht="22" customHeight="1">
      <x:c r="A580" s="2" t="n">
        <x:v>100574</x:v>
      </x:c>
      <x:c r="B580" s="10" t="n">
        <x:v>45266</x:v>
      </x:c>
      <x:c r="C580" s="2" t="str">
        <x:v>Argentina</x:v>
      </x:c>
      <x:c r="D580" s="2" t="str">
        <x:v>Acessórios</x:v>
      </x:c>
      <x:c r="E580" s="11" t="n">
        <x:v>39</x:v>
      </x:c>
      <x:c r="F580" s="12" t="n">
        <x:v>29.09</x:v>
      </x:c>
      <x:c r="G580" s="12" t="n">
        <x:v>1134.51</x:v>
      </x:c>
      <x:c r="H580" s="13" t="n">
        <x:v>227</x:v>
      </x:c>
      <x:c r="I580" s="13" t="n">
        <x:f>YEAR(B580)</x:f>
        <x:v>2023</x:v>
      </x:c>
      <x:c r="J580" s="13" t="n">
        <x:f>MONTH(B580)</x:f>
        <x:v>12</x:v>
      </x:c>
      <x:c r="K580" s="14" t="n">
        <x:f>ROUND(E580*F580-G580,10)</x:f>
        <x:v>0</x:v>
      </x:c>
      <x:c r="L580" s="2"/>
      <x:c r="M580" s="2"/>
      <x:c r="N580" s="2"/>
      <x:c r="O580" s="2"/>
      <x:c r="P580" s="2"/>
      <x:c r="Q580" s="2"/>
      <x:c r="R580" s="2"/>
    </x:row>
    <x:row r="581" ht="22" customHeight="1">
      <x:c r="A581" s="2" t="n">
        <x:v>100575</x:v>
      </x:c>
      <x:c r="B581" s="10" t="n">
        <x:v>45399</x:v>
      </x:c>
      <x:c r="C581" s="2" t="str">
        <x:v>México</x:v>
      </x:c>
      <x:c r="D581" s="2" t="str">
        <x:v>Moda Infantil</x:v>
      </x:c>
      <x:c r="E581" s="11" t="n">
        <x:v>37</x:v>
      </x:c>
      <x:c r="F581" s="12" t="n">
        <x:v>118.51</x:v>
      </x:c>
      <x:c r="G581" s="12" t="n">
        <x:v>4384.87</x:v>
      </x:c>
      <x:c r="H581" s="13" t="n">
        <x:v>342</x:v>
      </x:c>
      <x:c r="I581" s="13" t="n">
        <x:f>YEAR(B581)</x:f>
        <x:v>2024</x:v>
      </x:c>
      <x:c r="J581" s="13" t="n">
        <x:f>MONTH(B581)</x:f>
        <x:v>4</x:v>
      </x:c>
      <x:c r="K581" s="14" t="n">
        <x:f>ROUND(E581*F581-G581,10)</x:f>
        <x:v>0</x:v>
      </x:c>
      <x:c r="L581" s="2"/>
      <x:c r="M581" s="2"/>
      <x:c r="N581" s="2"/>
      <x:c r="O581" s="2"/>
      <x:c r="P581" s="2"/>
      <x:c r="Q581" s="2"/>
      <x:c r="R581" s="2"/>
    </x:row>
    <x:row r="582" ht="22" customHeight="1">
      <x:c r="A582" s="2" t="n">
        <x:v>100576</x:v>
      </x:c>
      <x:c r="B582" s="10" t="n">
        <x:v>45276</x:v>
      </x:c>
      <x:c r="C582" s="2" t="str">
        <x:v>Brasil</x:v>
      </x:c>
      <x:c r="D582" s="2" t="str">
        <x:v>Calçados</x:v>
      </x:c>
      <x:c r="E582" s="11" t="n">
        <x:v>49</x:v>
      </x:c>
      <x:c r="F582" s="12" t="n">
        <x:v>180.28</x:v>
      </x:c>
      <x:c r="G582" s="12" t="n">
        <x:v>8833.72</x:v>
      </x:c>
      <x:c r="H582" s="13" t="n">
        <x:v>95</x:v>
      </x:c>
      <x:c r="I582" s="13" t="n">
        <x:f>YEAR(B582)</x:f>
        <x:v>2023</x:v>
      </x:c>
      <x:c r="J582" s="13" t="n">
        <x:f>MONTH(B582)</x:f>
        <x:v>12</x:v>
      </x:c>
      <x:c r="K582" s="14" t="n">
        <x:f>ROUND(E582*F582-G582,10)</x:f>
        <x:v>0</x:v>
      </x:c>
      <x:c r="L582" s="2"/>
      <x:c r="M582" s="2"/>
      <x:c r="N582" s="2"/>
      <x:c r="O582" s="2"/>
      <x:c r="P582" s="2"/>
      <x:c r="Q582" s="2"/>
      <x:c r="R582" s="2"/>
    </x:row>
    <x:row r="583" ht="22" customHeight="1">
      <x:c r="A583" s="2" t="n">
        <x:v>100577</x:v>
      </x:c>
      <x:c r="B583" s="10" t="n">
        <x:v>45021</x:v>
      </x:c>
      <x:c r="C583" s="2" t="str">
        <x:v>Chile</x:v>
      </x:c>
      <x:c r="D583" s="2" t="str">
        <x:v>Acessórios</x:v>
      </x:c>
      <x:c r="E583" s="11" t="n">
        <x:v>28</x:v>
      </x:c>
      <x:c r="F583" s="12" t="n">
        <x:v>67.29</x:v>
      </x:c>
      <x:c r="G583" s="12" t="n">
        <x:v>1884.12</x:v>
      </x:c>
      <x:c r="H583" s="13" t="n">
        <x:v>219</x:v>
      </x:c>
      <x:c r="I583" s="13" t="n">
        <x:f>YEAR(B583)</x:f>
        <x:v>2023</x:v>
      </x:c>
      <x:c r="J583" s="13" t="n">
        <x:f>MONTH(B583)</x:f>
        <x:v>4</x:v>
      </x:c>
      <x:c r="K583" s="14" t="n">
        <x:f>ROUND(E583*F583-G583,10)</x:f>
        <x:v>0</x:v>
      </x:c>
      <x:c r="L583" s="2"/>
      <x:c r="M583" s="2"/>
      <x:c r="N583" s="2"/>
      <x:c r="O583" s="2"/>
      <x:c r="P583" s="2"/>
      <x:c r="Q583" s="2"/>
      <x:c r="R583" s="2"/>
    </x:row>
    <x:row r="584" ht="22" customHeight="1">
      <x:c r="A584" s="2" t="n">
        <x:v>100578</x:v>
      </x:c>
      <x:c r="B584" s="10" t="n">
        <x:v>45527</x:v>
      </x:c>
      <x:c r="C584" s="2" t="str">
        <x:v>Brasil</x:v>
      </x:c>
      <x:c r="D584" s="2" t="str">
        <x:v>Moda Feminina</x:v>
      </x:c>
      <x:c r="E584" s="11" t="n">
        <x:v>25</x:v>
      </x:c>
      <x:c r="F584" s="12" t="n">
        <x:v>105</x:v>
      </x:c>
      <x:c r="G584" s="12" t="n">
        <x:v>2625</x:v>
      </x:c>
      <x:c r="H584" s="13" t="n">
        <x:v>320</x:v>
      </x:c>
      <x:c r="I584" s="13" t="n">
        <x:f>YEAR(B584)</x:f>
        <x:v>2024</x:v>
      </x:c>
      <x:c r="J584" s="13" t="n">
        <x:f>MONTH(B584)</x:f>
        <x:v>8</x:v>
      </x:c>
      <x:c r="K584" s="14" t="n">
        <x:f>ROUND(E584*F584-G584,10)</x:f>
        <x:v>0</x:v>
      </x:c>
      <x:c r="L584" s="2"/>
      <x:c r="M584" s="2"/>
      <x:c r="N584" s="2"/>
      <x:c r="O584" s="2"/>
      <x:c r="P584" s="2"/>
      <x:c r="Q584" s="2"/>
      <x:c r="R584" s="2"/>
    </x:row>
    <x:row r="585" ht="22" customHeight="1">
      <x:c r="A585" s="2" t="n">
        <x:v>100579</x:v>
      </x:c>
      <x:c r="B585" s="10" t="n">
        <x:v>45652</x:v>
      </x:c>
      <x:c r="C585" s="2" t="str">
        <x:v>Chile</x:v>
      </x:c>
      <x:c r="D585" s="2" t="str">
        <x:v>Moda Feminina</x:v>
      </x:c>
      <x:c r="E585" s="11" t="n">
        <x:v>16</x:v>
      </x:c>
      <x:c r="F585" s="12" t="n">
        <x:v>78.38</x:v>
      </x:c>
      <x:c r="G585" s="12" t="n">
        <x:v>1254.08</x:v>
      </x:c>
      <x:c r="H585" s="13" t="n">
        <x:v>466</x:v>
      </x:c>
      <x:c r="I585" s="13" t="n">
        <x:f>YEAR(B585)</x:f>
        <x:v>2024</x:v>
      </x:c>
      <x:c r="J585" s="13" t="n">
        <x:f>MONTH(B585)</x:f>
        <x:v>12</x:v>
      </x:c>
      <x:c r="K585" s="14" t="n">
        <x:f>ROUND(E585*F585-G585,10)</x:f>
        <x:v>0</x:v>
      </x:c>
      <x:c r="L585" s="2"/>
      <x:c r="M585" s="2"/>
      <x:c r="N585" s="2"/>
      <x:c r="O585" s="2"/>
      <x:c r="P585" s="2"/>
      <x:c r="Q585" s="2"/>
      <x:c r="R585" s="2"/>
    </x:row>
    <x:row r="586" ht="22" customHeight="1">
      <x:c r="A586" s="2" t="n">
        <x:v>100580</x:v>
      </x:c>
      <x:c r="B586" s="10" t="n">
        <x:v>45428</x:v>
      </x:c>
      <x:c r="C586" s="2" t="str">
        <x:v>Colômbia</x:v>
      </x:c>
      <x:c r="D586" s="2" t="str">
        <x:v>Moda Masculina</x:v>
      </x:c>
      <x:c r="E586" s="11" t="n">
        <x:v>2</x:v>
      </x:c>
      <x:c r="F586" s="12" t="n">
        <x:v>191.39</x:v>
      </x:c>
      <x:c r="G586" s="12" t="n">
        <x:v>382.78</x:v>
      </x:c>
      <x:c r="H586" s="13" t="n">
        <x:v>385</x:v>
      </x:c>
      <x:c r="I586" s="13" t="n">
        <x:f>YEAR(B586)</x:f>
        <x:v>2024</x:v>
      </x:c>
      <x:c r="J586" s="13" t="n">
        <x:f>MONTH(B586)</x:f>
        <x:v>5</x:v>
      </x:c>
      <x:c r="K586" s="14" t="n">
        <x:f>ROUND(E586*F586-G586,10)</x:f>
        <x:v>0</x:v>
      </x:c>
      <x:c r="L586" s="2"/>
      <x:c r="M586" s="2"/>
      <x:c r="N586" s="2"/>
      <x:c r="O586" s="2"/>
      <x:c r="P586" s="2"/>
      <x:c r="Q586" s="2"/>
      <x:c r="R586" s="2"/>
    </x:row>
    <x:row r="587" ht="22" customHeight="1">
      <x:c r="A587" s="2" t="n">
        <x:v>100581</x:v>
      </x:c>
      <x:c r="B587" s="10" t="n">
        <x:v>45317</x:v>
      </x:c>
      <x:c r="C587" s="2" t="str">
        <x:v>Argentina</x:v>
      </x:c>
      <x:c r="D587" s="2" t="str">
        <x:v>Acessórios</x:v>
      </x:c>
      <x:c r="E587" s="11" t="n">
        <x:v>18</x:v>
      </x:c>
      <x:c r="F587" s="12" t="n">
        <x:v>168.26</x:v>
      </x:c>
      <x:c r="G587" s="12" t="n">
        <x:v>3028.68</x:v>
      </x:c>
      <x:c r="H587" s="13" t="n">
        <x:v>188</x:v>
      </x:c>
      <x:c r="I587" s="13" t="n">
        <x:f>YEAR(B587)</x:f>
        <x:v>2024</x:v>
      </x:c>
      <x:c r="J587" s="13" t="n">
        <x:f>MONTH(B587)</x:f>
        <x:v>1</x:v>
      </x:c>
      <x:c r="K587" s="14" t="n">
        <x:f>ROUND(E587*F587-G587,10)</x:f>
        <x:v>0</x:v>
      </x:c>
      <x:c r="L587" s="2"/>
      <x:c r="M587" s="2"/>
      <x:c r="N587" s="2"/>
      <x:c r="O587" s="2"/>
      <x:c r="P587" s="2"/>
      <x:c r="Q587" s="2"/>
      <x:c r="R587" s="2"/>
    </x:row>
    <x:row r="588" ht="22" customHeight="1">
      <x:c r="A588" s="2" t="n">
        <x:v>100582</x:v>
      </x:c>
      <x:c r="B588" s="10" t="n">
        <x:v>45601</x:v>
      </x:c>
      <x:c r="C588" s="2" t="str">
        <x:v>Brasil</x:v>
      </x:c>
      <x:c r="D588" s="2" t="str">
        <x:v>Moda Feminina</x:v>
      </x:c>
      <x:c r="E588" s="11" t="n">
        <x:v>17</x:v>
      </x:c>
      <x:c r="F588" s="12" t="n">
        <x:v>147.62</x:v>
      </x:c>
      <x:c r="G588" s="12" t="n">
        <x:v>2509.54</x:v>
      </x:c>
      <x:c r="H588" s="13" t="n">
        <x:v>296</x:v>
      </x:c>
      <x:c r="I588" s="13" t="n">
        <x:f>YEAR(B588)</x:f>
        <x:v>2024</x:v>
      </x:c>
      <x:c r="J588" s="13" t="n">
        <x:f>MONTH(B588)</x:f>
        <x:v>11</x:v>
      </x:c>
      <x:c r="K588" s="14" t="n">
        <x:f>ROUND(E588*F588-G588,10)</x:f>
        <x:v>0</x:v>
      </x:c>
      <x:c r="L588" s="2"/>
      <x:c r="M588" s="2"/>
      <x:c r="N588" s="2"/>
      <x:c r="O588" s="2"/>
      <x:c r="P588" s="2"/>
      <x:c r="Q588" s="2"/>
      <x:c r="R588" s="2"/>
    </x:row>
    <x:row r="589" ht="22" customHeight="1">
      <x:c r="A589" s="2" t="n">
        <x:v>100583</x:v>
      </x:c>
      <x:c r="B589" s="10" t="n">
        <x:v>45314</x:v>
      </x:c>
      <x:c r="C589" s="2" t="str">
        <x:v>Peru</x:v>
      </x:c>
      <x:c r="D589" s="2" t="str">
        <x:v>Moda Infantil</x:v>
      </x:c>
      <x:c r="E589" s="11" t="n">
        <x:v>30</x:v>
      </x:c>
      <x:c r="F589" s="12" t="n">
        <x:v>125.77</x:v>
      </x:c>
      <x:c r="G589" s="12" t="n">
        <x:v>3773.1</x:v>
      </x:c>
      <x:c r="H589" s="13" t="n">
        <x:v>197</x:v>
      </x:c>
      <x:c r="I589" s="13" t="n">
        <x:f>YEAR(B589)</x:f>
        <x:v>2024</x:v>
      </x:c>
      <x:c r="J589" s="13" t="n">
        <x:f>MONTH(B589)</x:f>
        <x:v>1</x:v>
      </x:c>
      <x:c r="K589" s="14" t="n">
        <x:f>ROUND(E589*F589-G589,10)</x:f>
        <x:v>0</x:v>
      </x:c>
      <x:c r="L589" s="2"/>
      <x:c r="M589" s="2"/>
      <x:c r="N589" s="2"/>
      <x:c r="O589" s="2"/>
      <x:c r="P589" s="2"/>
      <x:c r="Q589" s="2"/>
      <x:c r="R589" s="2"/>
    </x:row>
    <x:row r="590" ht="22" customHeight="1">
      <x:c r="A590" s="2" t="n">
        <x:v>100584</x:v>
      </x:c>
      <x:c r="B590" s="10" t="n">
        <x:v>45245</x:v>
      </x:c>
      <x:c r="C590" s="2" t="str">
        <x:v>México</x:v>
      </x:c>
      <x:c r="D590" s="2" t="str">
        <x:v>Acessórios</x:v>
      </x:c>
      <x:c r="E590" s="11" t="n">
        <x:v>39</x:v>
      </x:c>
      <x:c r="F590" s="12" t="n">
        <x:v>167.71</x:v>
      </x:c>
      <x:c r="G590" s="12" t="n">
        <x:v>6540.690000000001</x:v>
      </x:c>
      <x:c r="H590" s="13" t="n">
        <x:v>279</x:v>
      </x:c>
      <x:c r="I590" s="13" t="n">
        <x:f>YEAR(B590)</x:f>
        <x:v>2023</x:v>
      </x:c>
      <x:c r="J590" s="13" t="n">
        <x:f>MONTH(B590)</x:f>
        <x:v>11</x:v>
      </x:c>
      <x:c r="K590" s="14" t="n">
        <x:f>ROUND(E590*F590-G590,10)</x:f>
        <x:v>0</x:v>
      </x:c>
      <x:c r="L590" s="2"/>
      <x:c r="M590" s="2"/>
      <x:c r="N590" s="2"/>
      <x:c r="O590" s="2"/>
      <x:c r="P590" s="2"/>
      <x:c r="Q590" s="2"/>
      <x:c r="R590" s="2"/>
    </x:row>
    <x:row r="591" ht="22" customHeight="1">
      <x:c r="A591" s="2" t="n">
        <x:v>100585</x:v>
      </x:c>
      <x:c r="B591" s="10" t="n">
        <x:v>45474</x:v>
      </x:c>
      <x:c r="C591" s="2" t="str">
        <x:v>Colômbia</x:v>
      </x:c>
      <x:c r="D591" s="2" t="str">
        <x:v>Moda Infantil</x:v>
      </x:c>
      <x:c r="E591" s="11" t="n">
        <x:v>13</x:v>
      </x:c>
      <x:c r="F591" s="12" t="n">
        <x:v>90.61</x:v>
      </x:c>
      <x:c r="G591" s="12" t="n">
        <x:v>1177.93</x:v>
      </x:c>
      <x:c r="H591" s="13" t="n">
        <x:v>329</x:v>
      </x:c>
      <x:c r="I591" s="13" t="n">
        <x:f>YEAR(B591)</x:f>
        <x:v>2024</x:v>
      </x:c>
      <x:c r="J591" s="13" t="n">
        <x:f>MONTH(B591)</x:f>
        <x:v>7</x:v>
      </x:c>
      <x:c r="K591" s="14" t="n">
        <x:f>ROUND(E591*F591-G591,10)</x:f>
        <x:v>0</x:v>
      </x:c>
      <x:c r="L591" s="2"/>
      <x:c r="M591" s="2"/>
      <x:c r="N591" s="2"/>
      <x:c r="O591" s="2"/>
      <x:c r="P591" s="2"/>
      <x:c r="Q591" s="2"/>
      <x:c r="R591" s="2"/>
    </x:row>
    <x:row r="592" ht="22" customHeight="1">
      <x:c r="A592" s="2" t="n">
        <x:v>100586</x:v>
      </x:c>
      <x:c r="B592" s="10" t="n">
        <x:v>45147</x:v>
      </x:c>
      <x:c r="C592" s="2" t="str">
        <x:v>Brasil</x:v>
      </x:c>
      <x:c r="D592" s="2" t="str">
        <x:v>Moda Infantil</x:v>
      </x:c>
      <x:c r="E592" s="11" t="n">
        <x:v>32</x:v>
      </x:c>
      <x:c r="F592" s="12" t="n">
        <x:v>100.56</x:v>
      </x:c>
      <x:c r="G592" s="12" t="n">
        <x:v>3217.92</x:v>
      </x:c>
      <x:c r="H592" s="13" t="n">
        <x:v>174</x:v>
      </x:c>
      <x:c r="I592" s="13" t="n">
        <x:f>YEAR(B592)</x:f>
        <x:v>2023</x:v>
      </x:c>
      <x:c r="J592" s="13" t="n">
        <x:f>MONTH(B592)</x:f>
        <x:v>8</x:v>
      </x:c>
      <x:c r="K592" s="14" t="n">
        <x:f>ROUND(E592*F592-G592,10)</x:f>
        <x:v>0</x:v>
      </x:c>
      <x:c r="L592" s="2"/>
      <x:c r="M592" s="2"/>
      <x:c r="N592" s="2"/>
      <x:c r="O592" s="2"/>
      <x:c r="P592" s="2"/>
      <x:c r="Q592" s="2"/>
      <x:c r="R592" s="2"/>
    </x:row>
    <x:row r="593" ht="22" customHeight="1">
      <x:c r="A593" s="2" t="n">
        <x:v>100587</x:v>
      </x:c>
      <x:c r="B593" s="10" t="n">
        <x:v>45202</x:v>
      </x:c>
      <x:c r="C593" s="2" t="str">
        <x:v>México</x:v>
      </x:c>
      <x:c r="D593" s="2" t="str">
        <x:v>Moda Feminina</x:v>
      </x:c>
      <x:c r="E593" s="11" t="n">
        <x:v>29</x:v>
      </x:c>
      <x:c r="F593" s="12" t="n">
        <x:v>151.4</x:v>
      </x:c>
      <x:c r="G593" s="12" t="n">
        <x:v>4390.6</x:v>
      </x:c>
      <x:c r="H593" s="13" t="n">
        <x:v>241</x:v>
      </x:c>
      <x:c r="I593" s="13" t="n">
        <x:f>YEAR(B593)</x:f>
        <x:v>2023</x:v>
      </x:c>
      <x:c r="J593" s="13" t="n">
        <x:f>MONTH(B593)</x:f>
        <x:v>10</x:v>
      </x:c>
      <x:c r="K593" s="14" t="n">
        <x:f>ROUND(E593*F593-G593,10)</x:f>
        <x:v>0</x:v>
      </x:c>
      <x:c r="L593" s="2"/>
      <x:c r="M593" s="2"/>
      <x:c r="N593" s="2"/>
      <x:c r="O593" s="2"/>
      <x:c r="P593" s="2"/>
      <x:c r="Q593" s="2"/>
      <x:c r="R593" s="2"/>
    </x:row>
    <x:row r="594" ht="22" customHeight="1">
      <x:c r="A594" s="2" t="n">
        <x:v>100588</x:v>
      </x:c>
      <x:c r="B594" s="10" t="n">
        <x:v>45536</x:v>
      </x:c>
      <x:c r="C594" s="2" t="str">
        <x:v>Brasil</x:v>
      </x:c>
      <x:c r="D594" s="2" t="str">
        <x:v>Acessórios</x:v>
      </x:c>
      <x:c r="E594" s="11" t="n">
        <x:v>46</x:v>
      </x:c>
      <x:c r="F594" s="12" t="n">
        <x:v>84.4</x:v>
      </x:c>
      <x:c r="G594" s="12" t="n">
        <x:v>3882.4</x:v>
      </x:c>
      <x:c r="H594" s="13" t="n">
        <x:v>423</x:v>
      </x:c>
      <x:c r="I594" s="13" t="n">
        <x:f>YEAR(B594)</x:f>
        <x:v>2024</x:v>
      </x:c>
      <x:c r="J594" s="13" t="n">
        <x:f>MONTH(B594)</x:f>
        <x:v>9</x:v>
      </x:c>
      <x:c r="K594" s="14" t="n">
        <x:f>ROUND(E594*F594-G594,10)</x:f>
        <x:v>0</x:v>
      </x:c>
      <x:c r="L594" s="2"/>
      <x:c r="M594" s="2"/>
      <x:c r="N594" s="2"/>
      <x:c r="O594" s="2"/>
      <x:c r="P594" s="2"/>
      <x:c r="Q594" s="2"/>
      <x:c r="R594" s="2"/>
    </x:row>
    <x:row r="595" ht="22" customHeight="1">
      <x:c r="A595" s="2" t="n">
        <x:v>100589</x:v>
      </x:c>
      <x:c r="B595" s="10" t="n">
        <x:v>45005</x:v>
      </x:c>
      <x:c r="C595" s="2" t="str">
        <x:v>Chile</x:v>
      </x:c>
      <x:c r="D595" s="2" t="str">
        <x:v>Calçados</x:v>
      </x:c>
      <x:c r="E595" s="11" t="n">
        <x:v>30</x:v>
      </x:c>
      <x:c r="F595" s="12" t="n">
        <x:v>31.5</x:v>
      </x:c>
      <x:c r="G595" s="12" t="n">
        <x:v>945</x:v>
      </x:c>
      <x:c r="H595" s="13" t="n">
        <x:v>129</x:v>
      </x:c>
      <x:c r="I595" s="13" t="n">
        <x:f>YEAR(B595)</x:f>
        <x:v>2023</x:v>
      </x:c>
      <x:c r="J595" s="13" t="n">
        <x:f>MONTH(B595)</x:f>
        <x:v>3</x:v>
      </x:c>
      <x:c r="K595" s="14" t="n">
        <x:f>ROUND(E595*F595-G595,10)</x:f>
        <x:v>0</x:v>
      </x:c>
      <x:c r="L595" s="2"/>
      <x:c r="M595" s="2"/>
      <x:c r="N595" s="2"/>
      <x:c r="O595" s="2"/>
      <x:c r="P595" s="2"/>
      <x:c r="Q595" s="2"/>
      <x:c r="R595" s="2"/>
    </x:row>
    <x:row r="596" ht="22" customHeight="1">
      <x:c r="A596" s="2" t="n">
        <x:v>100590</x:v>
      </x:c>
      <x:c r="B596" s="10" t="n">
        <x:v>45156</x:v>
      </x:c>
      <x:c r="C596" s="2" t="str">
        <x:v>Brasil</x:v>
      </x:c>
      <x:c r="D596" s="2" t="str">
        <x:v>Moda Feminina</x:v>
      </x:c>
      <x:c r="E596" s="11" t="n">
        <x:v>18</x:v>
      </x:c>
      <x:c r="F596" s="12" t="n">
        <x:v>33.38</x:v>
      </x:c>
      <x:c r="G596" s="12" t="n">
        <x:v>600.84</x:v>
      </x:c>
      <x:c r="H596" s="13" t="n">
        <x:v>143</x:v>
      </x:c>
      <x:c r="I596" s="13" t="n">
        <x:f>YEAR(B596)</x:f>
        <x:v>2023</x:v>
      </x:c>
      <x:c r="J596" s="13" t="n">
        <x:f>MONTH(B596)</x:f>
        <x:v>8</x:v>
      </x:c>
      <x:c r="K596" s="14" t="n">
        <x:f>ROUND(E596*F596-G596,10)</x:f>
        <x:v>0</x:v>
      </x:c>
      <x:c r="L596" s="2"/>
      <x:c r="M596" s="2"/>
      <x:c r="N596" s="2"/>
      <x:c r="O596" s="2"/>
      <x:c r="P596" s="2"/>
      <x:c r="Q596" s="2"/>
      <x:c r="R596" s="2"/>
    </x:row>
    <x:row r="597" ht="22" customHeight="1">
      <x:c r="A597" s="2" t="n">
        <x:v>100591</x:v>
      </x:c>
      <x:c r="B597" s="10" t="n">
        <x:v>45390</x:v>
      </x:c>
      <x:c r="C597" s="2" t="str">
        <x:v>Peru</x:v>
      </x:c>
      <x:c r="D597" s="2" t="str">
        <x:v>Moda Feminina</x:v>
      </x:c>
      <x:c r="E597" s="11" t="n">
        <x:v>13</x:v>
      </x:c>
      <x:c r="F597" s="12" t="n">
        <x:v>40.77</x:v>
      </x:c>
      <x:c r="G597" s="12" t="n">
        <x:v>530.01</x:v>
      </x:c>
      <x:c r="H597" s="13" t="n">
        <x:v>275</x:v>
      </x:c>
      <x:c r="I597" s="13" t="n">
        <x:f>YEAR(B597)</x:f>
        <x:v>2024</x:v>
      </x:c>
      <x:c r="J597" s="13" t="n">
        <x:f>MONTH(B597)</x:f>
        <x:v>4</x:v>
      </x:c>
      <x:c r="K597" s="14" t="n">
        <x:f>ROUND(E597*F597-G597,10)</x:f>
        <x:v>0</x:v>
      </x:c>
      <x:c r="L597" s="2"/>
      <x:c r="M597" s="2"/>
      <x:c r="N597" s="2"/>
      <x:c r="O597" s="2"/>
      <x:c r="P597" s="2"/>
      <x:c r="Q597" s="2"/>
      <x:c r="R597" s="2"/>
    </x:row>
    <x:row r="598" ht="22" customHeight="1">
      <x:c r="A598" s="2" t="n">
        <x:v>100592</x:v>
      </x:c>
      <x:c r="B598" s="10" t="n">
        <x:v>45444</x:v>
      </x:c>
      <x:c r="C598" s="2" t="str">
        <x:v>Brasil</x:v>
      </x:c>
      <x:c r="D598" s="2" t="str">
        <x:v>Acessórios</x:v>
      </x:c>
      <x:c r="E598" s="11" t="n">
        <x:v>43</x:v>
      </x:c>
      <x:c r="F598" s="12" t="n">
        <x:v>176.54</x:v>
      </x:c>
      <x:c r="G598" s="12" t="n">
        <x:v>7591.219999999999</x:v>
      </x:c>
      <x:c r="H598" s="13" t="n">
        <x:v>114</x:v>
      </x:c>
      <x:c r="I598" s="13" t="n">
        <x:f>YEAR(B598)</x:f>
        <x:v>2024</x:v>
      </x:c>
      <x:c r="J598" s="13" t="n">
        <x:f>MONTH(B598)</x:f>
        <x:v>6</x:v>
      </x:c>
      <x:c r="K598" s="14" t="n">
        <x:f>ROUND(E598*F598-G598,10)</x:f>
        <x:v>0</x:v>
      </x:c>
      <x:c r="L598" s="2"/>
      <x:c r="M598" s="2"/>
      <x:c r="N598" s="2"/>
      <x:c r="O598" s="2"/>
      <x:c r="P598" s="2"/>
      <x:c r="Q598" s="2"/>
      <x:c r="R598" s="2"/>
    </x:row>
    <x:row r="599" ht="22" customHeight="1">
      <x:c r="A599" s="2" t="n">
        <x:v>100593</x:v>
      </x:c>
      <x:c r="B599" s="10" t="n">
        <x:v>45241</x:v>
      </x:c>
      <x:c r="C599" s="2" t="str">
        <x:v>Brasil</x:v>
      </x:c>
      <x:c r="D599" s="2" t="str">
        <x:v>Acessórios</x:v>
      </x:c>
      <x:c r="E599" s="11" t="n">
        <x:v>21</x:v>
      </x:c>
      <x:c r="F599" s="12" t="n">
        <x:v>105</x:v>
      </x:c>
      <x:c r="G599" s="12" t="n">
        <x:v>2205</x:v>
      </x:c>
      <x:c r="H599" s="13" t="n">
        <x:v>137</x:v>
      </x:c>
      <x:c r="I599" s="13" t="n">
        <x:f>YEAR(B599)</x:f>
        <x:v>2023</x:v>
      </x:c>
      <x:c r="J599" s="13" t="n">
        <x:f>MONTH(B599)</x:f>
        <x:v>11</x:v>
      </x:c>
      <x:c r="K599" s="14" t="n">
        <x:f>ROUND(E599*F599-G599,10)</x:f>
        <x:v>0</x:v>
      </x:c>
      <x:c r="L599" s="2"/>
      <x:c r="M599" s="2"/>
      <x:c r="N599" s="2"/>
      <x:c r="O599" s="2"/>
      <x:c r="P599" s="2"/>
      <x:c r="Q599" s="2"/>
      <x:c r="R599" s="2"/>
    </x:row>
    <x:row r="600" ht="22" customHeight="1">
      <x:c r="A600" s="2" t="n">
        <x:v>100594</x:v>
      </x:c>
      <x:c r="B600" s="10" t="n">
        <x:v>45150</x:v>
      </x:c>
      <x:c r="C600" s="2" t="str">
        <x:v>Peru</x:v>
      </x:c>
      <x:c r="D600" s="2" t="str">
        <x:v>Moda Infantil</x:v>
      </x:c>
      <x:c r="E600" s="11" t="n">
        <x:v>30</x:v>
      </x:c>
      <x:c r="F600" s="12" t="n">
        <x:v>148.32</x:v>
      </x:c>
      <x:c r="G600" s="12" t="n">
        <x:v>4449.599999999999</x:v>
      </x:c>
      <x:c r="H600" s="13" t="n">
        <x:v>137</x:v>
      </x:c>
      <x:c r="I600" s="13" t="n">
        <x:f>YEAR(B600)</x:f>
        <x:v>2023</x:v>
      </x:c>
      <x:c r="J600" s="13" t="n">
        <x:f>MONTH(B600)</x:f>
        <x:v>8</x:v>
      </x:c>
      <x:c r="K600" s="14" t="n">
        <x:f>ROUND(E600*F600-G600,10)</x:f>
        <x:v>0</x:v>
      </x:c>
      <x:c r="L600" s="2"/>
      <x:c r="M600" s="2"/>
      <x:c r="N600" s="2"/>
      <x:c r="O600" s="2"/>
      <x:c r="P600" s="2"/>
      <x:c r="Q600" s="2"/>
      <x:c r="R600" s="2"/>
    </x:row>
    <x:row r="601" ht="22" customHeight="1">
      <x:c r="A601" s="2" t="n">
        <x:v>100595</x:v>
      </x:c>
      <x:c r="B601" s="10" t="n">
        <x:v>45362</x:v>
      </x:c>
      <x:c r="C601" s="2" t="str">
        <x:v>Colômbia</x:v>
      </x:c>
      <x:c r="D601" s="2" t="str">
        <x:v>Acessórios</x:v>
      </x:c>
      <x:c r="E601" s="11" t="n">
        <x:v>21</x:v>
      </x:c>
      <x:c r="F601" s="12" t="n">
        <x:v>90.72</x:v>
      </x:c>
      <x:c r="G601" s="12" t="n">
        <x:v>1905.12</x:v>
      </x:c>
      <x:c r="H601" s="13" t="n">
        <x:v>250</x:v>
      </x:c>
      <x:c r="I601" s="13" t="n">
        <x:f>YEAR(B601)</x:f>
        <x:v>2024</x:v>
      </x:c>
      <x:c r="J601" s="13" t="n">
        <x:f>MONTH(B601)</x:f>
        <x:v>3</x:v>
      </x:c>
      <x:c r="K601" s="14" t="n">
        <x:f>ROUND(E601*F601-G601,10)</x:f>
        <x:v>0</x:v>
      </x:c>
      <x:c r="L601" s="2"/>
      <x:c r="M601" s="2"/>
      <x:c r="N601" s="2"/>
      <x:c r="O601" s="2"/>
      <x:c r="P601" s="2"/>
      <x:c r="Q601" s="2"/>
      <x:c r="R601" s="2"/>
    </x:row>
    <x:row r="602" ht="22" customHeight="1">
      <x:c r="A602" s="2" t="n">
        <x:v>100596</x:v>
      </x:c>
      <x:c r="B602" s="10" t="n">
        <x:v>45065</x:v>
      </x:c>
      <x:c r="C602" s="2" t="str">
        <x:v>Brasil</x:v>
      </x:c>
      <x:c r="D602" s="2" t="str">
        <x:v>Moda Infantil</x:v>
      </x:c>
      <x:c r="E602" s="11" t="n">
        <x:v>48</x:v>
      </x:c>
      <x:c r="F602" s="12" t="n">
        <x:v>66.57</x:v>
      </x:c>
      <x:c r="G602" s="12" t="n">
        <x:v>3195.36</x:v>
      </x:c>
      <x:c r="H602" s="13" t="n">
        <x:v>263</x:v>
      </x:c>
      <x:c r="I602" s="13" t="n">
        <x:f>YEAR(B602)</x:f>
        <x:v>2023</x:v>
      </x:c>
      <x:c r="J602" s="13" t="n">
        <x:f>MONTH(B602)</x:f>
        <x:v>5</x:v>
      </x:c>
      <x:c r="K602" s="14" t="n">
        <x:f>ROUND(E602*F602-G602,10)</x:f>
        <x:v>0</x:v>
      </x:c>
      <x:c r="L602" s="2"/>
      <x:c r="M602" s="2"/>
      <x:c r="N602" s="2"/>
      <x:c r="O602" s="2"/>
      <x:c r="P602" s="2"/>
      <x:c r="Q602" s="2"/>
      <x:c r="R602" s="2"/>
    </x:row>
    <x:row r="603" ht="22" customHeight="1">
      <x:c r="A603" s="2" t="n">
        <x:v>100597</x:v>
      </x:c>
      <x:c r="B603" s="10" t="n">
        <x:v>45606</x:v>
      </x:c>
      <x:c r="C603" s="2" t="str">
        <x:v>Peru</x:v>
      </x:c>
      <x:c r="D603" s="2" t="str">
        <x:v>Moda Feminina</x:v>
      </x:c>
      <x:c r="E603" s="11" t="n">
        <x:v>17</x:v>
      </x:c>
      <x:c r="F603" s="12" t="n">
        <x:v>82.49</x:v>
      </x:c>
      <x:c r="G603" s="12" t="n">
        <x:v>1402.33</x:v>
      </x:c>
      <x:c r="H603" s="13" t="n">
        <x:v>253</x:v>
      </x:c>
      <x:c r="I603" s="13" t="n">
        <x:f>YEAR(B603)</x:f>
        <x:v>2024</x:v>
      </x:c>
      <x:c r="J603" s="13" t="n">
        <x:f>MONTH(B603)</x:f>
        <x:v>11</x:v>
      </x:c>
      <x:c r="K603" s="14" t="n">
        <x:f>ROUND(E603*F603-G603,10)</x:f>
        <x:v>0</x:v>
      </x:c>
      <x:c r="L603" s="2"/>
      <x:c r="M603" s="2"/>
      <x:c r="N603" s="2"/>
      <x:c r="O603" s="2"/>
      <x:c r="P603" s="2"/>
      <x:c r="Q603" s="2"/>
      <x:c r="R603" s="2"/>
    </x:row>
    <x:row r="604" ht="22" customHeight="1">
      <x:c r="A604" s="2" t="n">
        <x:v>100598</x:v>
      </x:c>
      <x:c r="B604" s="10" t="n">
        <x:v>45113</x:v>
      </x:c>
      <x:c r="C604" s="2" t="str">
        <x:v>México</x:v>
      </x:c>
      <x:c r="D604" s="2" t="str">
        <x:v>Moda Masculina</x:v>
      </x:c>
      <x:c r="E604" s="11" t="n">
        <x:v>40</x:v>
      </x:c>
      <x:c r="F604" s="12" t="n">
        <x:v>162.95</x:v>
      </x:c>
      <x:c r="G604" s="12" t="n">
        <x:v>6518</x:v>
      </x:c>
      <x:c r="H604" s="13" t="n">
        <x:v>450</x:v>
      </x:c>
      <x:c r="I604" s="13" t="n">
        <x:f>YEAR(B604)</x:f>
        <x:v>2023</x:v>
      </x:c>
      <x:c r="J604" s="13" t="n">
        <x:f>MONTH(B604)</x:f>
        <x:v>7</x:v>
      </x:c>
      <x:c r="K604" s="14" t="n">
        <x:f>ROUND(E604*F604-G604,10)</x:f>
        <x:v>0</x:v>
      </x:c>
      <x:c r="L604" s="2"/>
      <x:c r="M604" s="2"/>
      <x:c r="N604" s="2"/>
      <x:c r="O604" s="2"/>
      <x:c r="P604" s="2"/>
      <x:c r="Q604" s="2"/>
      <x:c r="R604" s="2"/>
    </x:row>
    <x:row r="605" ht="22" customHeight="1">
      <x:c r="A605" s="2" t="n">
        <x:v>100599</x:v>
      </x:c>
      <x:c r="B605" s="10" t="n">
        <x:v>45023</x:v>
      </x:c>
      <x:c r="C605" s="2" t="str">
        <x:v>Chile</x:v>
      </x:c>
      <x:c r="D605" s="2" t="str">
        <x:v>Calçados</x:v>
      </x:c>
      <x:c r="E605" s="11" t="n">
        <x:v>19</x:v>
      </x:c>
      <x:c r="F605" s="12" t="n">
        <x:v>132.54</x:v>
      </x:c>
      <x:c r="G605" s="12" t="n">
        <x:v>2518.26</x:v>
      </x:c>
      <x:c r="H605" s="13" t="n">
        <x:v>431</x:v>
      </x:c>
      <x:c r="I605" s="13" t="n">
        <x:f>YEAR(B605)</x:f>
        <x:v>2023</x:v>
      </x:c>
      <x:c r="J605" s="13" t="n">
        <x:f>MONTH(B605)</x:f>
        <x:v>4</x:v>
      </x:c>
      <x:c r="K605" s="14" t="n">
        <x:f>ROUND(E605*F605-G605,10)</x:f>
        <x:v>0</x:v>
      </x:c>
      <x:c r="L605" s="2"/>
      <x:c r="M605" s="2"/>
      <x:c r="N605" s="2"/>
      <x:c r="O605" s="2"/>
      <x:c r="P605" s="2"/>
      <x:c r="Q605" s="2"/>
      <x:c r="R605" s="2"/>
    </x:row>
    <x:row r="606" ht="22" customHeight="1">
      <x:c r="A606" s="2" t="n">
        <x:v>100600</x:v>
      </x:c>
      <x:c r="B606" s="10" t="n">
        <x:v>45604</x:v>
      </x:c>
      <x:c r="C606" s="2" t="str">
        <x:v>Chile</x:v>
      </x:c>
      <x:c r="D606" s="2" t="str">
        <x:v>Moda Feminina</x:v>
      </x:c>
      <x:c r="E606" s="11" t="n">
        <x:v>15</x:v>
      </x:c>
      <x:c r="F606" s="12" t="n">
        <x:v>188.78</x:v>
      </x:c>
      <x:c r="G606" s="12" t="n">
        <x:v>2831.7</x:v>
      </x:c>
      <x:c r="H606" s="13" t="n">
        <x:v>138</x:v>
      </x:c>
      <x:c r="I606" s="13" t="n">
        <x:f>YEAR(B606)</x:f>
        <x:v>2024</x:v>
      </x:c>
      <x:c r="J606" s="13" t="n">
        <x:f>MONTH(B606)</x:f>
        <x:v>11</x:v>
      </x:c>
      <x:c r="K606" s="14" t="n">
        <x:f>ROUND(E606*F606-G606,10)</x:f>
        <x:v>0</x:v>
      </x:c>
      <x:c r="L606" s="2"/>
      <x:c r="M606" s="2"/>
      <x:c r="N606" s="2"/>
      <x:c r="O606" s="2"/>
      <x:c r="P606" s="2"/>
      <x:c r="Q606" s="2"/>
      <x:c r="R606" s="2"/>
    </x:row>
    <x:row r="607" ht="22" customHeight="1">
      <x:c r="A607" s="2" t="n">
        <x:v>100601</x:v>
      </x:c>
      <x:c r="B607" s="10" t="n">
        <x:v>45267</x:v>
      </x:c>
      <x:c r="C607" s="2" t="str">
        <x:v>Brasil</x:v>
      </x:c>
      <x:c r="D607" s="2" t="str">
        <x:v>Acessórios</x:v>
      </x:c>
      <x:c r="E607" s="11" t="n">
        <x:v>9</x:v>
      </x:c>
      <x:c r="F607" s="12" t="n">
        <x:v>142.35</x:v>
      </x:c>
      <x:c r="G607" s="12" t="n">
        <x:v>1281.15</x:v>
      </x:c>
      <x:c r="H607" s="13" t="n">
        <x:v>110</x:v>
      </x:c>
      <x:c r="I607" s="13" t="n">
        <x:f>YEAR(B607)</x:f>
        <x:v>2023</x:v>
      </x:c>
      <x:c r="J607" s="13" t="n">
        <x:f>MONTH(B607)</x:f>
        <x:v>12</x:v>
      </x:c>
      <x:c r="K607" s="14" t="n">
        <x:f>ROUND(E607*F607-G607,10)</x:f>
        <x:v>0</x:v>
      </x:c>
      <x:c r="L607" s="2"/>
      <x:c r="M607" s="2"/>
      <x:c r="N607" s="2"/>
      <x:c r="O607" s="2"/>
      <x:c r="P607" s="2"/>
      <x:c r="Q607" s="2"/>
      <x:c r="R607" s="2"/>
    </x:row>
    <x:row r="608" ht="22" customHeight="1">
      <x:c r="A608" s="2" t="n">
        <x:v>100602</x:v>
      </x:c>
      <x:c r="B608" s="10" t="n">
        <x:v>45494</x:v>
      </x:c>
      <x:c r="C608" s="2" t="str">
        <x:v>Colômbia</x:v>
      </x:c>
      <x:c r="D608" s="2" t="str">
        <x:v>Calçados</x:v>
      </x:c>
      <x:c r="E608" s="11" t="n">
        <x:v>10</x:v>
      </x:c>
      <x:c r="F608" s="12" t="n">
        <x:v>122.63</x:v>
      </x:c>
      <x:c r="G608" s="12" t="n">
        <x:v>1226.3</x:v>
      </x:c>
      <x:c r="H608" s="13" t="n">
        <x:v>320</x:v>
      </x:c>
      <x:c r="I608" s="13" t="n">
        <x:f>YEAR(B608)</x:f>
        <x:v>2024</x:v>
      </x:c>
      <x:c r="J608" s="13" t="n">
        <x:f>MONTH(B608)</x:f>
        <x:v>7</x:v>
      </x:c>
      <x:c r="K608" s="14" t="n">
        <x:f>ROUND(E608*F608-G608,10)</x:f>
        <x:v>0</x:v>
      </x:c>
      <x:c r="L608" s="2"/>
      <x:c r="M608" s="2"/>
      <x:c r="N608" s="2"/>
      <x:c r="O608" s="2"/>
      <x:c r="P608" s="2"/>
      <x:c r="Q608" s="2"/>
      <x:c r="R608" s="2"/>
    </x:row>
    <x:row r="609" ht="22" customHeight="1">
      <x:c r="A609" s="2" t="n">
        <x:v>100603</x:v>
      </x:c>
      <x:c r="B609" s="10" t="n">
        <x:v>45171</x:v>
      </x:c>
      <x:c r="C609" s="2" t="str">
        <x:v>Colômbia</x:v>
      </x:c>
      <x:c r="D609" s="2" t="str">
        <x:v>Moda Masculina</x:v>
      </x:c>
      <x:c r="E609" s="11" t="n">
        <x:v>44</x:v>
      </x:c>
      <x:c r="F609" s="12" t="n">
        <x:v>129.84</x:v>
      </x:c>
      <x:c r="G609" s="12" t="n">
        <x:v>5712.96</x:v>
      </x:c>
      <x:c r="H609" s="13" t="n">
        <x:v>143</x:v>
      </x:c>
      <x:c r="I609" s="13" t="n">
        <x:f>YEAR(B609)</x:f>
        <x:v>2023</x:v>
      </x:c>
      <x:c r="J609" s="13" t="n">
        <x:f>MONTH(B609)</x:f>
        <x:v>9</x:v>
      </x:c>
      <x:c r="K609" s="14" t="n">
        <x:f>ROUND(E609*F609-G609,10)</x:f>
        <x:v>0</x:v>
      </x:c>
      <x:c r="L609" s="2"/>
      <x:c r="M609" s="2"/>
      <x:c r="N609" s="2"/>
      <x:c r="O609" s="2"/>
      <x:c r="P609" s="2"/>
      <x:c r="Q609" s="2"/>
      <x:c r="R609" s="2"/>
    </x:row>
    <x:row r="610" ht="22" customHeight="1">
      <x:c r="A610" s="2" t="n">
        <x:v>100604</x:v>
      </x:c>
      <x:c r="B610" s="10" t="n">
        <x:v>45084</x:v>
      </x:c>
      <x:c r="C610" s="2" t="str">
        <x:v>México</x:v>
      </x:c>
      <x:c r="D610" s="2" t="str">
        <x:v>Moda Masculina</x:v>
      </x:c>
      <x:c r="E610" s="11" t="n">
        <x:v>31</x:v>
      </x:c>
      <x:c r="F610" s="12" t="n">
        <x:v>189.63</x:v>
      </x:c>
      <x:c r="G610" s="12" t="n">
        <x:v>5878.53</x:v>
      </x:c>
      <x:c r="H610" s="13" t="n">
        <x:v>356</x:v>
      </x:c>
      <x:c r="I610" s="13" t="n">
        <x:f>YEAR(B610)</x:f>
        <x:v>2023</x:v>
      </x:c>
      <x:c r="J610" s="13" t="n">
        <x:f>MONTH(B610)</x:f>
        <x:v>6</x:v>
      </x:c>
      <x:c r="K610" s="14" t="n">
        <x:f>ROUND(E610*F610-G610,10)</x:f>
        <x:v>0</x:v>
      </x:c>
      <x:c r="L610" s="2"/>
      <x:c r="M610" s="2"/>
      <x:c r="N610" s="2"/>
      <x:c r="O610" s="2"/>
      <x:c r="P610" s="2"/>
      <x:c r="Q610" s="2"/>
      <x:c r="R610" s="2"/>
    </x:row>
    <x:row r="611" ht="22" customHeight="1">
      <x:c r="A611" s="2" t="n">
        <x:v>100605</x:v>
      </x:c>
      <x:c r="B611" s="10" t="n">
        <x:v>45570</x:v>
      </x:c>
      <x:c r="C611" s="2" t="str">
        <x:v>Brasil</x:v>
      </x:c>
      <x:c r="D611" s="2" t="str">
        <x:v>Moda Infantil</x:v>
      </x:c>
      <x:c r="E611" s="11" t="n">
        <x:v>23</x:v>
      </x:c>
      <x:c r="F611" s="12" t="n">
        <x:v>161.88</x:v>
      </x:c>
      <x:c r="G611" s="12" t="n">
        <x:v>3723.24</x:v>
      </x:c>
      <x:c r="H611" s="13" t="n">
        <x:v>76</x:v>
      </x:c>
      <x:c r="I611" s="13" t="n">
        <x:f>YEAR(B611)</x:f>
        <x:v>2024</x:v>
      </x:c>
      <x:c r="J611" s="13" t="n">
        <x:f>MONTH(B611)</x:f>
        <x:v>10</x:v>
      </x:c>
      <x:c r="K611" s="14" t="n">
        <x:f>ROUND(E611*F611-G611,10)</x:f>
        <x:v>0</x:v>
      </x:c>
      <x:c r="L611" s="2"/>
      <x:c r="M611" s="2"/>
      <x:c r="N611" s="2"/>
      <x:c r="O611" s="2"/>
      <x:c r="P611" s="2"/>
      <x:c r="Q611" s="2"/>
      <x:c r="R611" s="2"/>
    </x:row>
    <x:row r="612" ht="22" customHeight="1">
      <x:c r="A612" s="2" t="n">
        <x:v>100606</x:v>
      </x:c>
      <x:c r="B612" s="10" t="n">
        <x:v>45553</x:v>
      </x:c>
      <x:c r="C612" s="2" t="str">
        <x:v>Chile</x:v>
      </x:c>
      <x:c r="D612" s="2" t="str">
        <x:v>Calçados</x:v>
      </x:c>
      <x:c r="E612" s="11" t="n">
        <x:v>30</x:v>
      </x:c>
      <x:c r="F612" s="12" t="n">
        <x:v>24.33</x:v>
      </x:c>
      <x:c r="G612" s="12" t="n">
        <x:v>729.9</x:v>
      </x:c>
      <x:c r="H612" s="13" t="n">
        <x:v>263</x:v>
      </x:c>
      <x:c r="I612" s="13" t="n">
        <x:f>YEAR(B612)</x:f>
        <x:v>2024</x:v>
      </x:c>
      <x:c r="J612" s="13" t="n">
        <x:f>MONTH(B612)</x:f>
        <x:v>9</x:v>
      </x:c>
      <x:c r="K612" s="14" t="n">
        <x:f>ROUND(E612*F612-G612,10)</x:f>
        <x:v>0</x:v>
      </x:c>
      <x:c r="L612" s="2"/>
      <x:c r="M612" s="2"/>
      <x:c r="N612" s="2"/>
      <x:c r="O612" s="2"/>
      <x:c r="P612" s="2"/>
      <x:c r="Q612" s="2"/>
      <x:c r="R612" s="2"/>
    </x:row>
    <x:row r="613" ht="22" customHeight="1">
      <x:c r="A613" s="2" t="n">
        <x:v>100607</x:v>
      </x:c>
      <x:c r="B613" s="10" t="n">
        <x:v>44979</x:v>
      </x:c>
      <x:c r="C613" s="2" t="str">
        <x:v>Colômbia</x:v>
      </x:c>
      <x:c r="D613" s="2" t="str">
        <x:v>Moda Infantil</x:v>
      </x:c>
      <x:c r="E613" s="11" t="n">
        <x:v>33</x:v>
      </x:c>
      <x:c r="F613" s="12" t="n">
        <x:v>116.15</x:v>
      </x:c>
      <x:c r="G613" s="12" t="n">
        <x:v>3832.95</x:v>
      </x:c>
      <x:c r="H613" s="13" t="n">
        <x:v>123</x:v>
      </x:c>
      <x:c r="I613" s="13" t="n">
        <x:f>YEAR(B613)</x:f>
        <x:v>2023</x:v>
      </x:c>
      <x:c r="J613" s="13" t="n">
        <x:f>MONTH(B613)</x:f>
        <x:v>2</x:v>
      </x:c>
      <x:c r="K613" s="14" t="n">
        <x:f>ROUND(E613*F613-G613,10)</x:f>
        <x:v>0</x:v>
      </x:c>
      <x:c r="L613" s="2"/>
      <x:c r="M613" s="2"/>
      <x:c r="N613" s="2"/>
      <x:c r="O613" s="2"/>
      <x:c r="P613" s="2"/>
      <x:c r="Q613" s="2"/>
      <x:c r="R613" s="2"/>
    </x:row>
    <x:row r="614" ht="22" customHeight="1">
      <x:c r="A614" s="2" t="n">
        <x:v>100608</x:v>
      </x:c>
      <x:c r="B614" s="10" t="n">
        <x:v>45267</x:v>
      </x:c>
      <x:c r="C614" s="2" t="str">
        <x:v>Brasil</x:v>
      </x:c>
      <x:c r="D614" s="2" t="str">
        <x:v>Moda Feminina</x:v>
      </x:c>
      <x:c r="E614" s="11" t="n">
        <x:v>9</x:v>
      </x:c>
      <x:c r="F614" s="12" t="n">
        <x:v>143.9</x:v>
      </x:c>
      <x:c r="G614" s="12" t="n">
        <x:v>1295.1</x:v>
      </x:c>
      <x:c r="H614" s="13" t="n">
        <x:v>110</x:v>
      </x:c>
      <x:c r="I614" s="13" t="n">
        <x:f>YEAR(B614)</x:f>
        <x:v>2023</x:v>
      </x:c>
      <x:c r="J614" s="13" t="n">
        <x:f>MONTH(B614)</x:f>
        <x:v>12</x:v>
      </x:c>
      <x:c r="K614" s="14" t="n">
        <x:f>ROUND(E614*F614-G614,10)</x:f>
        <x:v>0</x:v>
      </x:c>
      <x:c r="L614" s="2"/>
      <x:c r="M614" s="2"/>
      <x:c r="N614" s="2"/>
      <x:c r="O614" s="2"/>
      <x:c r="P614" s="2"/>
      <x:c r="Q614" s="2"/>
      <x:c r="R614" s="2"/>
    </x:row>
    <x:row r="615" ht="22" customHeight="1">
      <x:c r="A615" s="2" t="n">
        <x:v>100609</x:v>
      </x:c>
      <x:c r="B615" s="10" t="n">
        <x:v>44990</x:v>
      </x:c>
      <x:c r="C615" s="2" t="str">
        <x:v>Colômbia</x:v>
      </x:c>
      <x:c r="D615" s="2" t="str">
        <x:v>Calçados</x:v>
      </x:c>
      <x:c r="E615" s="11" t="n">
        <x:v>47</x:v>
      </x:c>
      <x:c r="F615" s="12" t="n">
        <x:v>154.77</x:v>
      </x:c>
      <x:c r="G615" s="12" t="n">
        <x:v>7274.190000000001</x:v>
      </x:c>
      <x:c r="H615" s="13" t="n">
        <x:v>235</x:v>
      </x:c>
      <x:c r="I615" s="13" t="n">
        <x:f>YEAR(B615)</x:f>
        <x:v>2023</x:v>
      </x:c>
      <x:c r="J615" s="13" t="n">
        <x:f>MONTH(B615)</x:f>
        <x:v>3</x:v>
      </x:c>
      <x:c r="K615" s="14" t="n">
        <x:f>ROUND(E615*F615-G615,10)</x:f>
        <x:v>0</x:v>
      </x:c>
      <x:c r="L615" s="2"/>
      <x:c r="M615" s="2"/>
      <x:c r="N615" s="2"/>
      <x:c r="O615" s="2"/>
      <x:c r="P615" s="2"/>
      <x:c r="Q615" s="2"/>
      <x:c r="R615" s="2"/>
    </x:row>
    <x:row r="616" ht="22" customHeight="1">
      <x:c r="A616" s="2" t="n">
        <x:v>100610</x:v>
      </x:c>
      <x:c r="B616" s="10" t="n">
        <x:v>45018</x:v>
      </x:c>
      <x:c r="C616" s="2" t="str">
        <x:v>Peru</x:v>
      </x:c>
      <x:c r="D616" s="2" t="str">
        <x:v>Moda Feminina</x:v>
      </x:c>
      <x:c r="E616" s="11" t="n">
        <x:v>1</x:v>
      </x:c>
      <x:c r="F616" s="12" t="n">
        <x:v>58.37</x:v>
      </x:c>
      <x:c r="G616" s="12" t="n">
        <x:v>58.37</x:v>
      </x:c>
      <x:c r="H616" s="13" t="n">
        <x:v>80</x:v>
      </x:c>
      <x:c r="I616" s="13" t="n">
        <x:f>YEAR(B616)</x:f>
        <x:v>2023</x:v>
      </x:c>
      <x:c r="J616" s="13" t="n">
        <x:f>MONTH(B616)</x:f>
        <x:v>4</x:v>
      </x:c>
      <x:c r="K616" s="14" t="n">
        <x:f>ROUND(E616*F616-G616,10)</x:f>
        <x:v>0</x:v>
      </x:c>
      <x:c r="L616" s="2"/>
      <x:c r="M616" s="2"/>
      <x:c r="N616" s="2"/>
      <x:c r="O616" s="2"/>
      <x:c r="P616" s="2"/>
      <x:c r="Q616" s="2"/>
      <x:c r="R616" s="2"/>
    </x:row>
    <x:row r="617" ht="22" customHeight="1">
      <x:c r="A617" s="2" t="n">
        <x:v>100611</x:v>
      </x:c>
      <x:c r="B617" s="10" t="n">
        <x:v>45104</x:v>
      </x:c>
      <x:c r="C617" s="2" t="str">
        <x:v>Colômbia</x:v>
      </x:c>
      <x:c r="D617" s="2" t="str">
        <x:v>Moda Infantil</x:v>
      </x:c>
      <x:c r="E617" s="11" t="n">
        <x:v>44</x:v>
      </x:c>
      <x:c r="F617" s="12" t="n">
        <x:v>176.09</x:v>
      </x:c>
      <x:c r="G617" s="12" t="n">
        <x:v>7747.96</x:v>
      </x:c>
      <x:c r="H617" s="13" t="n">
        <x:v>268</x:v>
      </x:c>
      <x:c r="I617" s="13" t="n">
        <x:f>YEAR(B617)</x:f>
        <x:v>2023</x:v>
      </x:c>
      <x:c r="J617" s="13" t="n">
        <x:f>MONTH(B617)</x:f>
        <x:v>6</x:v>
      </x:c>
      <x:c r="K617" s="14" t="n">
        <x:f>ROUND(E617*F617-G617,10)</x:f>
        <x:v>0</x:v>
      </x:c>
      <x:c r="L617" s="2"/>
      <x:c r="M617" s="2"/>
      <x:c r="N617" s="2"/>
      <x:c r="O617" s="2"/>
      <x:c r="P617" s="2"/>
      <x:c r="Q617" s="2"/>
      <x:c r="R617" s="2"/>
    </x:row>
    <x:row r="618" ht="22" customHeight="1">
      <x:c r="A618" s="2" t="n">
        <x:v>100612</x:v>
      </x:c>
      <x:c r="B618" s="10" t="n">
        <x:v>45581</x:v>
      </x:c>
      <x:c r="C618" s="2" t="str">
        <x:v>Chile</x:v>
      </x:c>
      <x:c r="D618" s="2" t="str">
        <x:v>Calçados</x:v>
      </x:c>
      <x:c r="E618" s="11" t="n">
        <x:v>35</x:v>
      </x:c>
      <x:c r="F618" s="12" t="n">
        <x:v>192.05</x:v>
      </x:c>
      <x:c r="G618" s="12" t="n">
        <x:v>6721.75</x:v>
      </x:c>
      <x:c r="H618" s="13" t="n">
        <x:v>61</x:v>
      </x:c>
      <x:c r="I618" s="13" t="n">
        <x:f>YEAR(B618)</x:f>
        <x:v>2024</x:v>
      </x:c>
      <x:c r="J618" s="13" t="n">
        <x:f>MONTH(B618)</x:f>
        <x:v>10</x:v>
      </x:c>
      <x:c r="K618" s="14" t="n">
        <x:f>ROUND(E618*F618-G618,10)</x:f>
        <x:v>0</x:v>
      </x:c>
      <x:c r="L618" s="2"/>
      <x:c r="M618" s="2"/>
      <x:c r="N618" s="2"/>
      <x:c r="O618" s="2"/>
      <x:c r="P618" s="2"/>
      <x:c r="Q618" s="2"/>
      <x:c r="R618" s="2"/>
    </x:row>
    <x:row r="619" ht="22" customHeight="1">
      <x:c r="A619" s="2" t="n">
        <x:v>100613</x:v>
      </x:c>
      <x:c r="B619" s="10" t="n">
        <x:v>45301</x:v>
      </x:c>
      <x:c r="C619" s="2" t="str">
        <x:v>Argentina</x:v>
      </x:c>
      <x:c r="D619" s="2" t="str">
        <x:v>Moda Infantil</x:v>
      </x:c>
      <x:c r="E619" s="11" t="n">
        <x:v>11</x:v>
      </x:c>
      <x:c r="F619" s="12" t="n">
        <x:v>62.61</x:v>
      </x:c>
      <x:c r="G619" s="12" t="n">
        <x:v>688.71</x:v>
      </x:c>
      <x:c r="H619" s="13" t="n">
        <x:v>351</x:v>
      </x:c>
      <x:c r="I619" s="13" t="n">
        <x:f>YEAR(B619)</x:f>
        <x:v>2024</x:v>
      </x:c>
      <x:c r="J619" s="13" t="n">
        <x:f>MONTH(B619)</x:f>
        <x:v>1</x:v>
      </x:c>
      <x:c r="K619" s="14" t="n">
        <x:f>ROUND(E619*F619-G619,10)</x:f>
        <x:v>0</x:v>
      </x:c>
      <x:c r="L619" s="2"/>
      <x:c r="M619" s="2"/>
      <x:c r="N619" s="2"/>
      <x:c r="O619" s="2"/>
      <x:c r="P619" s="2"/>
      <x:c r="Q619" s="2"/>
      <x:c r="R619" s="2"/>
    </x:row>
    <x:row r="620" ht="22" customHeight="1">
      <x:c r="A620" s="2" t="n">
        <x:v>100614</x:v>
      </x:c>
      <x:c r="B620" s="10" t="n">
        <x:v>45539</x:v>
      </x:c>
      <x:c r="C620" s="2" t="str">
        <x:v>México</x:v>
      </x:c>
      <x:c r="D620" s="2" t="str">
        <x:v>Calçados</x:v>
      </x:c>
      <x:c r="E620" s="11" t="n">
        <x:v>34</x:v>
      </x:c>
      <x:c r="F620" s="12" t="n">
        <x:v>178.87</x:v>
      </x:c>
      <x:c r="G620" s="12" t="n">
        <x:v>6081.58</x:v>
      </x:c>
      <x:c r="H620" s="13" t="n">
        <x:v>464</x:v>
      </x:c>
      <x:c r="I620" s="13" t="n">
        <x:f>YEAR(B620)</x:f>
        <x:v>2024</x:v>
      </x:c>
      <x:c r="J620" s="13" t="n">
        <x:f>MONTH(B620)</x:f>
        <x:v>9</x:v>
      </x:c>
      <x:c r="K620" s="14" t="n">
        <x:f>ROUND(E620*F620-G620,10)</x:f>
        <x:v>0</x:v>
      </x:c>
      <x:c r="L620" s="2"/>
      <x:c r="M620" s="2"/>
      <x:c r="N620" s="2"/>
      <x:c r="O620" s="2"/>
      <x:c r="P620" s="2"/>
      <x:c r="Q620" s="2"/>
      <x:c r="R620" s="2"/>
    </x:row>
    <x:row r="621" ht="22" customHeight="1">
      <x:c r="A621" s="2" t="n">
        <x:v>100615</x:v>
      </x:c>
      <x:c r="B621" s="10" t="n">
        <x:v>45383</x:v>
      </x:c>
      <x:c r="C621" s="2" t="str">
        <x:v>México</x:v>
      </x:c>
      <x:c r="D621" s="2" t="str">
        <x:v>Moda Infantil</x:v>
      </x:c>
      <x:c r="E621" s="11" t="n">
        <x:v>16</x:v>
      </x:c>
      <x:c r="F621" s="12" t="n">
        <x:v>37.46</x:v>
      </x:c>
      <x:c r="G621" s="12" t="n">
        <x:v>599.36</x:v>
      </x:c>
      <x:c r="H621" s="13" t="n">
        <x:v>81</x:v>
      </x:c>
      <x:c r="I621" s="13" t="n">
        <x:f>YEAR(B621)</x:f>
        <x:v>2024</x:v>
      </x:c>
      <x:c r="J621" s="13" t="n">
        <x:f>MONTH(B621)</x:f>
        <x:v>4</x:v>
      </x:c>
      <x:c r="K621" s="14" t="n">
        <x:f>ROUND(E621*F621-G621,10)</x:f>
        <x:v>0</x:v>
      </x:c>
      <x:c r="L621" s="2"/>
      <x:c r="M621" s="2"/>
      <x:c r="N621" s="2"/>
      <x:c r="O621" s="2"/>
      <x:c r="P621" s="2"/>
      <x:c r="Q621" s="2"/>
      <x:c r="R621" s="2"/>
    </x:row>
    <x:row r="622" ht="22" customHeight="1">
      <x:c r="A622" s="2" t="n">
        <x:v>100616</x:v>
      </x:c>
      <x:c r="B622" s="10" t="n">
        <x:v>44936</x:v>
      </x:c>
      <x:c r="C622" s="2" t="str">
        <x:v>Chile</x:v>
      </x:c>
      <x:c r="D622" s="2" t="str">
        <x:v>Moda Masculina</x:v>
      </x:c>
      <x:c r="E622" s="11" t="n">
        <x:v>9</x:v>
      </x:c>
      <x:c r="F622" s="12" t="n">
        <x:v>30.03</x:v>
      </x:c>
      <x:c r="G622" s="12" t="n">
        <x:v>270.27</x:v>
      </x:c>
      <x:c r="H622" s="13" t="n">
        <x:v>209</x:v>
      </x:c>
      <x:c r="I622" s="13" t="n">
        <x:f>YEAR(B622)</x:f>
        <x:v>2023</x:v>
      </x:c>
      <x:c r="J622" s="13" t="n">
        <x:f>MONTH(B622)</x:f>
        <x:v>1</x:v>
      </x:c>
      <x:c r="K622" s="14" t="n">
        <x:f>ROUND(E622*F622-G622,10)</x:f>
        <x:v>0</x:v>
      </x:c>
      <x:c r="L622" s="2"/>
      <x:c r="M622" s="2"/>
      <x:c r="N622" s="2"/>
      <x:c r="O622" s="2"/>
      <x:c r="P622" s="2"/>
      <x:c r="Q622" s="2"/>
      <x:c r="R622" s="2"/>
    </x:row>
    <x:row r="623" ht="22" customHeight="1">
      <x:c r="A623" s="2" t="n">
        <x:v>100617</x:v>
      </x:c>
      <x:c r="B623" s="10" t="n">
        <x:v>45450</x:v>
      </x:c>
      <x:c r="C623" s="2" t="str">
        <x:v>Colômbia</x:v>
      </x:c>
      <x:c r="D623" s="2" t="str">
        <x:v>Moda Infantil</x:v>
      </x:c>
      <x:c r="E623" s="11" t="n">
        <x:v>32</x:v>
      </x:c>
      <x:c r="F623" s="12" t="n">
        <x:v>43.26</x:v>
      </x:c>
      <x:c r="G623" s="12" t="n">
        <x:v>1384.32</x:v>
      </x:c>
      <x:c r="H623" s="13" t="n">
        <x:v>286</x:v>
      </x:c>
      <x:c r="I623" s="13" t="n">
        <x:f>YEAR(B623)</x:f>
        <x:v>2024</x:v>
      </x:c>
      <x:c r="J623" s="13" t="n">
        <x:f>MONTH(B623)</x:f>
        <x:v>6</x:v>
      </x:c>
      <x:c r="K623" s="14" t="n">
        <x:f>ROUND(E623*F623-G623,10)</x:f>
        <x:v>0</x:v>
      </x:c>
      <x:c r="L623" s="2"/>
      <x:c r="M623" s="2"/>
      <x:c r="N623" s="2"/>
      <x:c r="O623" s="2"/>
      <x:c r="P623" s="2"/>
      <x:c r="Q623" s="2"/>
      <x:c r="R623" s="2"/>
    </x:row>
    <x:row r="624" ht="22" customHeight="1">
      <x:c r="A624" s="2" t="n">
        <x:v>100618</x:v>
      </x:c>
      <x:c r="B624" s="10" t="n">
        <x:v>45566</x:v>
      </x:c>
      <x:c r="C624" s="2" t="str">
        <x:v>Brasil</x:v>
      </x:c>
      <x:c r="D624" s="2" t="str">
        <x:v>Moda Masculina</x:v>
      </x:c>
      <x:c r="E624" s="11" t="n">
        <x:v>15</x:v>
      </x:c>
      <x:c r="F624" s="12" t="n">
        <x:v>30.39</x:v>
      </x:c>
      <x:c r="G624" s="12" t="n">
        <x:v>455.85</x:v>
      </x:c>
      <x:c r="H624" s="13" t="n">
        <x:v>276</x:v>
      </x:c>
      <x:c r="I624" s="13" t="n">
        <x:f>YEAR(B624)</x:f>
        <x:v>2024</x:v>
      </x:c>
      <x:c r="J624" s="13" t="n">
        <x:f>MONTH(B624)</x:f>
        <x:v>10</x:v>
      </x:c>
      <x:c r="K624" s="14" t="n">
        <x:f>ROUND(E624*F624-G624,10)</x:f>
        <x:v>0</x:v>
      </x:c>
      <x:c r="L624" s="2"/>
      <x:c r="M624" s="2"/>
      <x:c r="N624" s="2"/>
      <x:c r="O624" s="2"/>
      <x:c r="P624" s="2"/>
      <x:c r="Q624" s="2"/>
      <x:c r="R624" s="2"/>
    </x:row>
    <x:row r="625" ht="22" customHeight="1">
      <x:c r="A625" s="2" t="n">
        <x:v>100619</x:v>
      </x:c>
      <x:c r="B625" s="10" t="n">
        <x:v>45080</x:v>
      </x:c>
      <x:c r="C625" s="2" t="str">
        <x:v>Colômbia</x:v>
      </x:c>
      <x:c r="D625" s="2" t="str">
        <x:v>Moda Infantil</x:v>
      </x:c>
      <x:c r="E625" s="11" t="n">
        <x:v>12</x:v>
      </x:c>
      <x:c r="F625" s="12" t="n">
        <x:v>172.1</x:v>
      </x:c>
      <x:c r="G625" s="12" t="n">
        <x:v>2065.2</x:v>
      </x:c>
      <x:c r="H625" s="13" t="n">
        <x:v>230</x:v>
      </x:c>
      <x:c r="I625" s="13" t="n">
        <x:f>YEAR(B625)</x:f>
        <x:v>2023</x:v>
      </x:c>
      <x:c r="J625" s="13" t="n">
        <x:f>MONTH(B625)</x:f>
        <x:v>6</x:v>
      </x:c>
      <x:c r="K625" s="14" t="n">
        <x:f>ROUND(E625*F625-G625,10)</x:f>
        <x:v>0</x:v>
      </x:c>
      <x:c r="L625" s="2"/>
      <x:c r="M625" s="2"/>
      <x:c r="N625" s="2"/>
      <x:c r="O625" s="2"/>
      <x:c r="P625" s="2"/>
      <x:c r="Q625" s="2"/>
      <x:c r="R625" s="2"/>
    </x:row>
    <x:row r="626" ht="22" customHeight="1">
      <x:c r="A626" s="2" t="n">
        <x:v>100620</x:v>
      </x:c>
      <x:c r="B626" s="10" t="n">
        <x:v>45583</x:v>
      </x:c>
      <x:c r="C626" s="2" t="str">
        <x:v>Chile</x:v>
      </x:c>
      <x:c r="D626" s="2" t="str">
        <x:v>Calçados</x:v>
      </x:c>
      <x:c r="E626" s="11" t="n">
        <x:v>33</x:v>
      </x:c>
      <x:c r="F626" s="12" t="n">
        <x:v>30.63</x:v>
      </x:c>
      <x:c r="G626" s="12" t="n">
        <x:v>1010.79</x:v>
      </x:c>
      <x:c r="H626" s="13" t="n">
        <x:v>366</x:v>
      </x:c>
      <x:c r="I626" s="13" t="n">
        <x:f>YEAR(B626)</x:f>
        <x:v>2024</x:v>
      </x:c>
      <x:c r="J626" s="13" t="n">
        <x:f>MONTH(B626)</x:f>
        <x:v>10</x:v>
      </x:c>
      <x:c r="K626" s="14" t="n">
        <x:f>ROUND(E626*F626-G626,10)</x:f>
        <x:v>0</x:v>
      </x:c>
      <x:c r="L626" s="2"/>
      <x:c r="M626" s="2"/>
      <x:c r="N626" s="2"/>
      <x:c r="O626" s="2"/>
      <x:c r="P626" s="2"/>
      <x:c r="Q626" s="2"/>
      <x:c r="R626" s="2"/>
    </x:row>
    <x:row r="627" ht="22" customHeight="1">
      <x:c r="A627" s="2" t="n">
        <x:v>100621</x:v>
      </x:c>
      <x:c r="B627" s="10" t="n">
        <x:v>45530</x:v>
      </x:c>
      <x:c r="C627" s="2" t="str">
        <x:v>México</x:v>
      </x:c>
      <x:c r="D627" s="2" t="str">
        <x:v>Calçados</x:v>
      </x:c>
      <x:c r="E627" s="11" t="n">
        <x:v>45</x:v>
      </x:c>
      <x:c r="F627" s="12" t="n">
        <x:v>68.9</x:v>
      </x:c>
      <x:c r="G627" s="12" t="n">
        <x:v>3100.5</x:v>
      </x:c>
      <x:c r="H627" s="13" t="n">
        <x:v>95</x:v>
      </x:c>
      <x:c r="I627" s="13" t="n">
        <x:f>YEAR(B627)</x:f>
        <x:v>2024</x:v>
      </x:c>
      <x:c r="J627" s="13" t="n">
        <x:f>MONTH(B627)</x:f>
        <x:v>8</x:v>
      </x:c>
      <x:c r="K627" s="14" t="n">
        <x:f>ROUND(E627*F627-G627,10)</x:f>
        <x:v>0</x:v>
      </x:c>
      <x:c r="L627" s="2"/>
      <x:c r="M627" s="2"/>
      <x:c r="N627" s="2"/>
      <x:c r="O627" s="2"/>
      <x:c r="P627" s="2"/>
      <x:c r="Q627" s="2"/>
      <x:c r="R627" s="2"/>
    </x:row>
    <x:row r="628" ht="22" customHeight="1">
      <x:c r="A628" s="2" t="n">
        <x:v>100622</x:v>
      </x:c>
      <x:c r="B628" s="10" t="n">
        <x:v>45048</x:v>
      </x:c>
      <x:c r="C628" s="2" t="str">
        <x:v>Colômbia</x:v>
      </x:c>
      <x:c r="D628" s="2" t="str">
        <x:v>Calçados</x:v>
      </x:c>
      <x:c r="E628" s="11" t="n">
        <x:v>14</x:v>
      </x:c>
      <x:c r="F628" s="12" t="n">
        <x:v>38.68</x:v>
      </x:c>
      <x:c r="G628" s="12" t="n">
        <x:v>541.52</x:v>
      </x:c>
      <x:c r="H628" s="13" t="n">
        <x:v>390</x:v>
      </x:c>
      <x:c r="I628" s="13" t="n">
        <x:f>YEAR(B628)</x:f>
        <x:v>2023</x:v>
      </x:c>
      <x:c r="J628" s="13" t="n">
        <x:f>MONTH(B628)</x:f>
        <x:v>5</x:v>
      </x:c>
      <x:c r="K628" s="14" t="n">
        <x:f>ROUND(E628*F628-G628,10)</x:f>
        <x:v>0</x:v>
      </x:c>
      <x:c r="L628" s="2"/>
      <x:c r="M628" s="2"/>
      <x:c r="N628" s="2"/>
      <x:c r="O628" s="2"/>
      <x:c r="P628" s="2"/>
      <x:c r="Q628" s="2"/>
      <x:c r="R628" s="2"/>
    </x:row>
    <x:row r="629" ht="22" customHeight="1">
      <x:c r="A629" s="2" t="n">
        <x:v>100623</x:v>
      </x:c>
      <x:c r="B629" s="10" t="n">
        <x:v>45063</x:v>
      </x:c>
      <x:c r="C629" s="2" t="str">
        <x:v>México</x:v>
      </x:c>
      <x:c r="D629" s="2" t="str">
        <x:v>Acessórios</x:v>
      </x:c>
      <x:c r="E629" s="11" t="n">
        <x:v>8</x:v>
      </x:c>
      <x:c r="F629" s="12" t="n">
        <x:v>73.18</x:v>
      </x:c>
      <x:c r="G629" s="12" t="n">
        <x:v>585.44</x:v>
      </x:c>
      <x:c r="H629" s="13" t="n">
        <x:v>129</x:v>
      </x:c>
      <x:c r="I629" s="13" t="n">
        <x:f>YEAR(B629)</x:f>
        <x:v>2023</x:v>
      </x:c>
      <x:c r="J629" s="13" t="n">
        <x:f>MONTH(B629)</x:f>
        <x:v>5</x:v>
      </x:c>
      <x:c r="K629" s="14" t="n">
        <x:f>ROUND(E629*F629-G629,10)</x:f>
        <x:v>0</x:v>
      </x:c>
      <x:c r="L629" s="2"/>
      <x:c r="M629" s="2"/>
      <x:c r="N629" s="2"/>
      <x:c r="O629" s="2"/>
      <x:c r="P629" s="2"/>
      <x:c r="Q629" s="2"/>
      <x:c r="R629" s="2"/>
    </x:row>
    <x:row r="630" ht="22" customHeight="1">
      <x:c r="A630" s="2" t="n">
        <x:v>100624</x:v>
      </x:c>
      <x:c r="B630" s="10" t="n">
        <x:v>45237</x:v>
      </x:c>
      <x:c r="C630" s="2" t="str">
        <x:v>Brasil</x:v>
      </x:c>
      <x:c r="D630" s="2" t="str">
        <x:v>Moda Feminina</x:v>
      </x:c>
      <x:c r="E630" s="11" t="n">
        <x:v>8</x:v>
      </x:c>
      <x:c r="F630" s="12" t="n">
        <x:v>36.3</x:v>
      </x:c>
      <x:c r="G630" s="12" t="n">
        <x:v>290.4</x:v>
      </x:c>
      <x:c r="H630" s="13" t="n">
        <x:v>184</x:v>
      </x:c>
      <x:c r="I630" s="13" t="n">
        <x:f>YEAR(B630)</x:f>
        <x:v>2023</x:v>
      </x:c>
      <x:c r="J630" s="13" t="n">
        <x:f>MONTH(B630)</x:f>
        <x:v>11</x:v>
      </x:c>
      <x:c r="K630" s="14" t="n">
        <x:f>ROUND(E630*F630-G630,10)</x:f>
        <x:v>0</x:v>
      </x:c>
      <x:c r="L630" s="2"/>
      <x:c r="M630" s="2"/>
      <x:c r="N630" s="2"/>
      <x:c r="O630" s="2"/>
      <x:c r="P630" s="2"/>
      <x:c r="Q630" s="2"/>
      <x:c r="R630" s="2"/>
    </x:row>
    <x:row r="631" ht="22" customHeight="1">
      <x:c r="A631" s="2" t="n">
        <x:v>100625</x:v>
      </x:c>
      <x:c r="B631" s="10" t="n">
        <x:v>44951</x:v>
      </x:c>
      <x:c r="C631" s="2" t="str">
        <x:v>México</x:v>
      </x:c>
      <x:c r="D631" s="2" t="str">
        <x:v>Calçados</x:v>
      </x:c>
      <x:c r="E631" s="11" t="n">
        <x:v>27</x:v>
      </x:c>
      <x:c r="F631" s="12" t="n">
        <x:v>140.24</x:v>
      </x:c>
      <x:c r="G631" s="12" t="n">
        <x:v>3786.48</x:v>
      </x:c>
      <x:c r="H631" s="13" t="n">
        <x:v>309</x:v>
      </x:c>
      <x:c r="I631" s="13" t="n">
        <x:f>YEAR(B631)</x:f>
        <x:v>2023</x:v>
      </x:c>
      <x:c r="J631" s="13" t="n">
        <x:f>MONTH(B631)</x:f>
        <x:v>1</x:v>
      </x:c>
      <x:c r="K631" s="14" t="n">
        <x:f>ROUND(E631*F631-G631,10)</x:f>
        <x:v>0</x:v>
      </x:c>
      <x:c r="L631" s="2"/>
      <x:c r="M631" s="2"/>
      <x:c r="N631" s="2"/>
      <x:c r="O631" s="2"/>
      <x:c r="P631" s="2"/>
      <x:c r="Q631" s="2"/>
      <x:c r="R631" s="2"/>
    </x:row>
    <x:row r="632" ht="22" customHeight="1">
      <x:c r="A632" s="2" t="n">
        <x:v>100626</x:v>
      </x:c>
      <x:c r="B632" s="10" t="n">
        <x:v>45350</x:v>
      </x:c>
      <x:c r="C632" s="2" t="str">
        <x:v>México</x:v>
      </x:c>
      <x:c r="D632" s="2" t="str">
        <x:v>Moda Masculina</x:v>
      </x:c>
      <x:c r="E632" s="11" t="n">
        <x:v>12</x:v>
      </x:c>
      <x:c r="F632" s="12" t="n">
        <x:v>44</x:v>
      </x:c>
      <x:c r="G632" s="12" t="n">
        <x:v>528</x:v>
      </x:c>
      <x:c r="H632" s="13" t="n">
        <x:v>357</x:v>
      </x:c>
      <x:c r="I632" s="13" t="n">
        <x:f>YEAR(B632)</x:f>
        <x:v>2024</x:v>
      </x:c>
      <x:c r="J632" s="13" t="n">
        <x:f>MONTH(B632)</x:f>
        <x:v>2</x:v>
      </x:c>
      <x:c r="K632" s="14" t="n">
        <x:f>ROUND(E632*F632-G632,10)</x:f>
        <x:v>0</x:v>
      </x:c>
      <x:c r="L632" s="2"/>
      <x:c r="M632" s="2"/>
      <x:c r="N632" s="2"/>
      <x:c r="O632" s="2"/>
      <x:c r="P632" s="2"/>
      <x:c r="Q632" s="2"/>
      <x:c r="R632" s="2"/>
    </x:row>
    <x:row r="633" ht="22" customHeight="1">
      <x:c r="A633" s="2" t="n">
        <x:v>100627</x:v>
      </x:c>
      <x:c r="B633" s="10" t="n">
        <x:v>45181</x:v>
      </x:c>
      <x:c r="C633" s="2" t="str">
        <x:v>Argentina</x:v>
      </x:c>
      <x:c r="D633" s="2" t="str">
        <x:v>Calçados</x:v>
      </x:c>
      <x:c r="E633" s="11" t="n">
        <x:v>1</x:v>
      </x:c>
      <x:c r="F633" s="12" t="n">
        <x:v>173.33</x:v>
      </x:c>
      <x:c r="G633" s="12" t="n">
        <x:v>173.33</x:v>
      </x:c>
      <x:c r="H633" s="13" t="n">
        <x:v>296</x:v>
      </x:c>
      <x:c r="I633" s="13" t="n">
        <x:f>YEAR(B633)</x:f>
        <x:v>2023</x:v>
      </x:c>
      <x:c r="J633" s="13" t="n">
        <x:f>MONTH(B633)</x:f>
        <x:v>9</x:v>
      </x:c>
      <x:c r="K633" s="14" t="n">
        <x:f>ROUND(E633*F633-G633,10)</x:f>
        <x:v>0</x:v>
      </x:c>
      <x:c r="L633" s="2"/>
      <x:c r="M633" s="2"/>
      <x:c r="N633" s="2"/>
      <x:c r="O633" s="2"/>
      <x:c r="P633" s="2"/>
      <x:c r="Q633" s="2"/>
      <x:c r="R633" s="2"/>
    </x:row>
    <x:row r="634" ht="22" customHeight="1">
      <x:c r="A634" s="2" t="n">
        <x:v>100628</x:v>
      </x:c>
      <x:c r="B634" s="10" t="n">
        <x:v>45359</x:v>
      </x:c>
      <x:c r="C634" s="2" t="str">
        <x:v>Argentina</x:v>
      </x:c>
      <x:c r="D634" s="2" t="str">
        <x:v>Acessórios</x:v>
      </x:c>
      <x:c r="E634" s="11" t="n">
        <x:v>43</x:v>
      </x:c>
      <x:c r="F634" s="12" t="n">
        <x:v>167.09</x:v>
      </x:c>
      <x:c r="G634" s="12" t="n">
        <x:v>7184.87</x:v>
      </x:c>
      <x:c r="H634" s="13" t="n">
        <x:v>208</x:v>
      </x:c>
      <x:c r="I634" s="13" t="n">
        <x:f>YEAR(B634)</x:f>
        <x:v>2024</x:v>
      </x:c>
      <x:c r="J634" s="13" t="n">
        <x:f>MONTH(B634)</x:f>
        <x:v>3</x:v>
      </x:c>
      <x:c r="K634" s="14" t="n">
        <x:f>ROUND(E634*F634-G634,10)</x:f>
        <x:v>0</x:v>
      </x:c>
      <x:c r="L634" s="2"/>
      <x:c r="M634" s="2"/>
      <x:c r="N634" s="2"/>
      <x:c r="O634" s="2"/>
      <x:c r="P634" s="2"/>
      <x:c r="Q634" s="2"/>
      <x:c r="R634" s="2"/>
    </x:row>
    <x:row r="635" ht="22" customHeight="1">
      <x:c r="A635" s="2" t="n">
        <x:v>100629</x:v>
      </x:c>
      <x:c r="B635" s="10" t="n">
        <x:v>45268</x:v>
      </x:c>
      <x:c r="C635" s="2" t="str">
        <x:v>Peru</x:v>
      </x:c>
      <x:c r="D635" s="2" t="str">
        <x:v>Moda Masculina</x:v>
      </x:c>
      <x:c r="E635" s="11" t="n">
        <x:v>40</x:v>
      </x:c>
      <x:c r="F635" s="12" t="n">
        <x:v>22.46</x:v>
      </x:c>
      <x:c r="G635" s="12" t="n">
        <x:v>898.4000000000001</x:v>
      </x:c>
      <x:c r="H635" s="13" t="n">
        <x:v>252</x:v>
      </x:c>
      <x:c r="I635" s="13" t="n">
        <x:f>YEAR(B635)</x:f>
        <x:v>2023</x:v>
      </x:c>
      <x:c r="J635" s="13" t="n">
        <x:f>MONTH(B635)</x:f>
        <x:v>12</x:v>
      </x:c>
      <x:c r="K635" s="14" t="n">
        <x:f>ROUND(E635*F635-G635,10)</x:f>
        <x:v>0</x:v>
      </x:c>
      <x:c r="L635" s="2"/>
      <x:c r="M635" s="2"/>
      <x:c r="N635" s="2"/>
      <x:c r="O635" s="2"/>
      <x:c r="P635" s="2"/>
      <x:c r="Q635" s="2"/>
      <x:c r="R635" s="2"/>
    </x:row>
    <x:row r="636" ht="22" customHeight="1">
      <x:c r="A636" s="2" t="n">
        <x:v>100630</x:v>
      </x:c>
      <x:c r="B636" s="10" t="n">
        <x:v>45477</x:v>
      </x:c>
      <x:c r="C636" s="2" t="str">
        <x:v>Argentina</x:v>
      </x:c>
      <x:c r="D636" s="2" t="str">
        <x:v>Acessórios</x:v>
      </x:c>
      <x:c r="E636" s="11" t="n">
        <x:v>42</x:v>
      </x:c>
      <x:c r="F636" s="12" t="n">
        <x:v>181.23</x:v>
      </x:c>
      <x:c r="G636" s="12" t="n">
        <x:v>7611.66</x:v>
      </x:c>
      <x:c r="H636" s="13" t="n">
        <x:v>161</x:v>
      </x:c>
      <x:c r="I636" s="13" t="n">
        <x:f>YEAR(B636)</x:f>
        <x:v>2024</x:v>
      </x:c>
      <x:c r="J636" s="13" t="n">
        <x:f>MONTH(B636)</x:f>
        <x:v>7</x:v>
      </x:c>
      <x:c r="K636" s="14" t="n">
        <x:f>ROUND(E636*F636-G636,10)</x:f>
        <x:v>0</x:v>
      </x:c>
      <x:c r="L636" s="2"/>
      <x:c r="M636" s="2"/>
      <x:c r="N636" s="2"/>
      <x:c r="O636" s="2"/>
      <x:c r="P636" s="2"/>
      <x:c r="Q636" s="2"/>
      <x:c r="R636" s="2"/>
    </x:row>
    <x:row r="637" ht="22" customHeight="1">
      <x:c r="A637" s="2" t="n">
        <x:v>100631</x:v>
      </x:c>
      <x:c r="B637" s="10" t="n">
        <x:v>45370</x:v>
      </x:c>
      <x:c r="C637" s="2" t="str">
        <x:v>México</x:v>
      </x:c>
      <x:c r="D637" s="2" t="str">
        <x:v>Moda Masculina</x:v>
      </x:c>
      <x:c r="E637" s="11" t="n">
        <x:v>11</x:v>
      </x:c>
      <x:c r="F637" s="12" t="n">
        <x:v>25.21</x:v>
      </x:c>
      <x:c r="G637" s="12" t="n">
        <x:v>277.31</x:v>
      </x:c>
      <x:c r="H637" s="13" t="n">
        <x:v>341</x:v>
      </x:c>
      <x:c r="I637" s="13" t="n">
        <x:f>YEAR(B637)</x:f>
        <x:v>2024</x:v>
      </x:c>
      <x:c r="J637" s="13" t="n">
        <x:f>MONTH(B637)</x:f>
        <x:v>3</x:v>
      </x:c>
      <x:c r="K637" s="14" t="n">
        <x:f>ROUND(E637*F637-G637,10)</x:f>
        <x:v>0</x:v>
      </x:c>
      <x:c r="L637" s="2"/>
      <x:c r="M637" s="2"/>
      <x:c r="N637" s="2"/>
      <x:c r="O637" s="2"/>
      <x:c r="P637" s="2"/>
      <x:c r="Q637" s="2"/>
      <x:c r="R637" s="2"/>
    </x:row>
    <x:row r="638" ht="22" customHeight="1">
      <x:c r="A638" s="2" t="n">
        <x:v>100632</x:v>
      </x:c>
      <x:c r="B638" s="10" t="n">
        <x:v>45492</x:v>
      </x:c>
      <x:c r="C638" s="2" t="str">
        <x:v>Chile</x:v>
      </x:c>
      <x:c r="D638" s="2" t="str">
        <x:v>Moda Infantil</x:v>
      </x:c>
      <x:c r="E638" s="11" t="n">
        <x:v>39</x:v>
      </x:c>
      <x:c r="F638" s="12" t="n">
        <x:v>63.14</x:v>
      </x:c>
      <x:c r="G638" s="12" t="n">
        <x:v>2462.46</x:v>
      </x:c>
      <x:c r="H638" s="13" t="n">
        <x:v>487</x:v>
      </x:c>
      <x:c r="I638" s="13" t="n">
        <x:f>YEAR(B638)</x:f>
        <x:v>2024</x:v>
      </x:c>
      <x:c r="J638" s="13" t="n">
        <x:f>MONTH(B638)</x:f>
        <x:v>7</x:v>
      </x:c>
      <x:c r="K638" s="14" t="n">
        <x:f>ROUND(E638*F638-G638,10)</x:f>
        <x:v>0</x:v>
      </x:c>
      <x:c r="L638" s="2"/>
      <x:c r="M638" s="2"/>
      <x:c r="N638" s="2"/>
      <x:c r="O638" s="2"/>
      <x:c r="P638" s="2"/>
      <x:c r="Q638" s="2"/>
      <x:c r="R638" s="2"/>
    </x:row>
    <x:row r="639" ht="22" customHeight="1">
      <x:c r="A639" s="2" t="n">
        <x:v>100633</x:v>
      </x:c>
      <x:c r="B639" s="10" t="n">
        <x:v>44992</x:v>
      </x:c>
      <x:c r="C639" s="2" t="str">
        <x:v>México</x:v>
      </x:c>
      <x:c r="D639" s="2" t="str">
        <x:v>Moda Feminina</x:v>
      </x:c>
      <x:c r="E639" s="11" t="n">
        <x:v>43</x:v>
      </x:c>
      <x:c r="F639" s="12" t="n">
        <x:v>25.83</x:v>
      </x:c>
      <x:c r="G639" s="12" t="n">
        <x:v>1110.69</x:v>
      </x:c>
      <x:c r="H639" s="13" t="n">
        <x:v>359</x:v>
      </x:c>
      <x:c r="I639" s="13" t="n">
        <x:f>YEAR(B639)</x:f>
        <x:v>2023</x:v>
      </x:c>
      <x:c r="J639" s="13" t="n">
        <x:f>MONTH(B639)</x:f>
        <x:v>3</x:v>
      </x:c>
      <x:c r="K639" s="14" t="n">
        <x:f>ROUND(E639*F639-G639,10)</x:f>
        <x:v>0</x:v>
      </x:c>
      <x:c r="L639" s="2"/>
      <x:c r="M639" s="2"/>
      <x:c r="N639" s="2"/>
      <x:c r="O639" s="2"/>
      <x:c r="P639" s="2"/>
      <x:c r="Q639" s="2"/>
      <x:c r="R639" s="2"/>
    </x:row>
    <x:row r="640" ht="22" customHeight="1">
      <x:c r="A640" s="2" t="n">
        <x:v>100634</x:v>
      </x:c>
      <x:c r="B640" s="10" t="n">
        <x:v>45054</x:v>
      </x:c>
      <x:c r="C640" s="2" t="str">
        <x:v>Chile</x:v>
      </x:c>
      <x:c r="D640" s="2" t="str">
        <x:v>Moda Feminina</x:v>
      </x:c>
      <x:c r="E640" s="11" t="n">
        <x:v>31</x:v>
      </x:c>
      <x:c r="F640" s="12" t="n">
        <x:v>80.45</x:v>
      </x:c>
      <x:c r="G640" s="12" t="n">
        <x:v>2493.95</x:v>
      </x:c>
      <x:c r="H640" s="13" t="n">
        <x:v>168</x:v>
      </x:c>
      <x:c r="I640" s="13" t="n">
        <x:f>YEAR(B640)</x:f>
        <x:v>2023</x:v>
      </x:c>
      <x:c r="J640" s="13" t="n">
        <x:f>MONTH(B640)</x:f>
        <x:v>5</x:v>
      </x:c>
      <x:c r="K640" s="14" t="n">
        <x:f>ROUND(E640*F640-G640,10)</x:f>
        <x:v>0</x:v>
      </x:c>
      <x:c r="L640" s="2"/>
      <x:c r="M640" s="2"/>
      <x:c r="N640" s="2"/>
      <x:c r="O640" s="2"/>
      <x:c r="P640" s="2"/>
      <x:c r="Q640" s="2"/>
      <x:c r="R640" s="2"/>
    </x:row>
    <x:row r="641" ht="22" customHeight="1">
      <x:c r="A641" s="2" t="n">
        <x:v>100635</x:v>
      </x:c>
      <x:c r="B641" s="10" t="n">
        <x:v>45599</x:v>
      </x:c>
      <x:c r="C641" s="2" t="str">
        <x:v>Chile</x:v>
      </x:c>
      <x:c r="D641" s="2" t="str">
        <x:v>Acessórios</x:v>
      </x:c>
      <x:c r="E641" s="11" t="n">
        <x:v>17</x:v>
      </x:c>
      <x:c r="F641" s="12" t="n">
        <x:v>112.5</x:v>
      </x:c>
      <x:c r="G641" s="12" t="n">
        <x:v>1912.5</x:v>
      </x:c>
      <x:c r="H641" s="13" t="n">
        <x:v>432</x:v>
      </x:c>
      <x:c r="I641" s="13" t="n">
        <x:f>YEAR(B641)</x:f>
        <x:v>2024</x:v>
      </x:c>
      <x:c r="J641" s="13" t="n">
        <x:f>MONTH(B641)</x:f>
        <x:v>11</x:v>
      </x:c>
      <x:c r="K641" s="14" t="n">
        <x:f>ROUND(E641*F641-G641,10)</x:f>
        <x:v>0</x:v>
      </x:c>
      <x:c r="L641" s="2"/>
      <x:c r="M641" s="2"/>
      <x:c r="N641" s="2"/>
      <x:c r="O641" s="2"/>
      <x:c r="P641" s="2"/>
      <x:c r="Q641" s="2"/>
      <x:c r="R641" s="2"/>
    </x:row>
    <x:row r="642" ht="22" customHeight="1">
      <x:c r="A642" s="2" t="n">
        <x:v>100636</x:v>
      </x:c>
      <x:c r="B642" s="10" t="n">
        <x:v>45471</x:v>
      </x:c>
      <x:c r="C642" s="2" t="str">
        <x:v>Argentina</x:v>
      </x:c>
      <x:c r="D642" s="2" t="str">
        <x:v>Moda Feminina</x:v>
      </x:c>
      <x:c r="E642" s="11" t="n">
        <x:v>33</x:v>
      </x:c>
      <x:c r="F642" s="12" t="n">
        <x:v>163.4</x:v>
      </x:c>
      <x:c r="G642" s="12" t="n">
        <x:v>5392.2</x:v>
      </x:c>
      <x:c r="H642" s="13" t="n">
        <x:v>66</x:v>
      </x:c>
      <x:c r="I642" s="13" t="n">
        <x:f>YEAR(B642)</x:f>
        <x:v>2024</x:v>
      </x:c>
      <x:c r="J642" s="13" t="n">
        <x:f>MONTH(B642)</x:f>
        <x:v>6</x:v>
      </x:c>
      <x:c r="K642" s="14" t="n">
        <x:f>ROUND(E642*F642-G642,10)</x:f>
        <x:v>0</x:v>
      </x:c>
      <x:c r="L642" s="2"/>
      <x:c r="M642" s="2"/>
      <x:c r="N642" s="2"/>
      <x:c r="O642" s="2"/>
      <x:c r="P642" s="2"/>
      <x:c r="Q642" s="2"/>
      <x:c r="R642" s="2"/>
    </x:row>
    <x:row r="643" ht="22" customHeight="1">
      <x:c r="A643" s="2" t="n">
        <x:v>100637</x:v>
      </x:c>
      <x:c r="B643" s="10" t="n">
        <x:v>45092</x:v>
      </x:c>
      <x:c r="C643" s="2" t="str">
        <x:v>Colômbia</x:v>
      </x:c>
      <x:c r="D643" s="2" t="str">
        <x:v>Acessórios</x:v>
      </x:c>
      <x:c r="E643" s="11" t="n">
        <x:v>32</x:v>
      </x:c>
      <x:c r="F643" s="12" t="n">
        <x:v>80.84</x:v>
      </x:c>
      <x:c r="G643" s="12" t="n">
        <x:v>2586.88</x:v>
      </x:c>
      <x:c r="H643" s="13" t="n">
        <x:v>380</x:v>
      </x:c>
      <x:c r="I643" s="13" t="n">
        <x:f>YEAR(B643)</x:f>
        <x:v>2023</x:v>
      </x:c>
      <x:c r="J643" s="13" t="n">
        <x:f>MONTH(B643)</x:f>
        <x:v>6</x:v>
      </x:c>
      <x:c r="K643" s="14" t="n">
        <x:f>ROUND(E643*F643-G643,10)</x:f>
        <x:v>0</x:v>
      </x:c>
      <x:c r="L643" s="2"/>
      <x:c r="M643" s="2"/>
      <x:c r="N643" s="2"/>
      <x:c r="O643" s="2"/>
      <x:c r="P643" s="2"/>
      <x:c r="Q643" s="2"/>
      <x:c r="R643" s="2"/>
    </x:row>
    <x:row r="644" ht="22" customHeight="1">
      <x:c r="A644" s="2" t="n">
        <x:v>100638</x:v>
      </x:c>
      <x:c r="B644" s="10" t="n">
        <x:v>45251</x:v>
      </x:c>
      <x:c r="C644" s="2" t="str">
        <x:v>Brasil</x:v>
      </x:c>
      <x:c r="D644" s="2" t="str">
        <x:v>Acessórios</x:v>
      </x:c>
      <x:c r="E644" s="11" t="n">
        <x:v>29</x:v>
      </x:c>
      <x:c r="F644" s="12" t="n">
        <x:v>146.99</x:v>
      </x:c>
      <x:c r="G644" s="12" t="n">
        <x:v>4262.71</x:v>
      </x:c>
      <x:c r="H644" s="13" t="n">
        <x:v>463</x:v>
      </x:c>
      <x:c r="I644" s="13" t="n">
        <x:f>YEAR(B644)</x:f>
        <x:v>2023</x:v>
      </x:c>
      <x:c r="J644" s="13" t="n">
        <x:f>MONTH(B644)</x:f>
        <x:v>11</x:v>
      </x:c>
      <x:c r="K644" s="14" t="n">
        <x:f>ROUND(E644*F644-G644,10)</x:f>
        <x:v>0</x:v>
      </x:c>
      <x:c r="L644" s="2"/>
      <x:c r="M644" s="2"/>
      <x:c r="N644" s="2"/>
      <x:c r="O644" s="2"/>
      <x:c r="P644" s="2"/>
      <x:c r="Q644" s="2"/>
      <x:c r="R644" s="2"/>
    </x:row>
    <x:row r="645" ht="22" customHeight="1">
      <x:c r="A645" s="2" t="n">
        <x:v>100639</x:v>
      </x:c>
      <x:c r="B645" s="10" t="n">
        <x:v>45493</x:v>
      </x:c>
      <x:c r="C645" s="2" t="str">
        <x:v>Argentina</x:v>
      </x:c>
      <x:c r="D645" s="2" t="str">
        <x:v>Acessórios</x:v>
      </x:c>
      <x:c r="E645" s="11" t="n">
        <x:v>21</x:v>
      </x:c>
      <x:c r="F645" s="12" t="n">
        <x:v>53.75</x:v>
      </x:c>
      <x:c r="G645" s="12" t="n">
        <x:v>1128.75</x:v>
      </x:c>
      <x:c r="H645" s="13" t="n">
        <x:v>276</x:v>
      </x:c>
      <x:c r="I645" s="13" t="n">
        <x:f>YEAR(B645)</x:f>
        <x:v>2024</x:v>
      </x:c>
      <x:c r="J645" s="13" t="n">
        <x:f>MONTH(B645)</x:f>
        <x:v>7</x:v>
      </x:c>
      <x:c r="K645" s="14" t="n">
        <x:f>ROUND(E645*F645-G645,10)</x:f>
        <x:v>0</x:v>
      </x:c>
      <x:c r="L645" s="2"/>
      <x:c r="M645" s="2"/>
      <x:c r="N645" s="2"/>
      <x:c r="O645" s="2"/>
      <x:c r="P645" s="2"/>
      <x:c r="Q645" s="2"/>
      <x:c r="R645" s="2"/>
    </x:row>
    <x:row r="646" ht="22" customHeight="1">
      <x:c r="A646" s="2" t="n">
        <x:v>100640</x:v>
      </x:c>
      <x:c r="B646" s="10" t="n">
        <x:v>45250</x:v>
      </x:c>
      <x:c r="C646" s="2" t="str">
        <x:v>Argentina</x:v>
      </x:c>
      <x:c r="D646" s="2" t="str">
        <x:v>Moda Feminina</x:v>
      </x:c>
      <x:c r="E646" s="11" t="n">
        <x:v>21</x:v>
      </x:c>
      <x:c r="F646" s="12" t="n">
        <x:v>155.11</x:v>
      </x:c>
      <x:c r="G646" s="12" t="n">
        <x:v>3257.31</x:v>
      </x:c>
      <x:c r="H646" s="13" t="n">
        <x:v>410</x:v>
      </x:c>
      <x:c r="I646" s="13" t="n">
        <x:f>YEAR(B646)</x:f>
        <x:v>2023</x:v>
      </x:c>
      <x:c r="J646" s="13" t="n">
        <x:f>MONTH(B646)</x:f>
        <x:v>11</x:v>
      </x:c>
      <x:c r="K646" s="14" t="n">
        <x:f>ROUND(E646*F646-G646,10)</x:f>
        <x:v>0</x:v>
      </x:c>
      <x:c r="L646" s="2"/>
      <x:c r="M646" s="2"/>
      <x:c r="N646" s="2"/>
      <x:c r="O646" s="2"/>
      <x:c r="P646" s="2"/>
      <x:c r="Q646" s="2"/>
      <x:c r="R646" s="2"/>
    </x:row>
    <x:row r="647" ht="22" customHeight="1">
      <x:c r="A647" s="2" t="n">
        <x:v>100641</x:v>
      </x:c>
      <x:c r="B647" s="10" t="n">
        <x:v>45543</x:v>
      </x:c>
      <x:c r="C647" s="2" t="str">
        <x:v>Colômbia</x:v>
      </x:c>
      <x:c r="D647" s="2" t="str">
        <x:v>Acessórios</x:v>
      </x:c>
      <x:c r="E647" s="11" t="n">
        <x:v>40</x:v>
      </x:c>
      <x:c r="F647" s="12" t="n">
        <x:v>62.48</x:v>
      </x:c>
      <x:c r="G647" s="12" t="n">
        <x:v>2499.2</x:v>
      </x:c>
      <x:c r="H647" s="13" t="n">
        <x:v>455</x:v>
      </x:c>
      <x:c r="I647" s="13" t="n">
        <x:f>YEAR(B647)</x:f>
        <x:v>2024</x:v>
      </x:c>
      <x:c r="J647" s="13" t="n">
        <x:f>MONTH(B647)</x:f>
        <x:v>9</x:v>
      </x:c>
      <x:c r="K647" s="14" t="n">
        <x:f>ROUND(E647*F647-G647,10)</x:f>
        <x:v>0</x:v>
      </x:c>
      <x:c r="L647" s="2"/>
      <x:c r="M647" s="2"/>
      <x:c r="N647" s="2"/>
      <x:c r="O647" s="2"/>
      <x:c r="P647" s="2"/>
      <x:c r="Q647" s="2"/>
      <x:c r="R647" s="2"/>
    </x:row>
    <x:row r="648" ht="22" customHeight="1">
      <x:c r="A648" s="2" t="n">
        <x:v>100642</x:v>
      </x:c>
      <x:c r="B648" s="10" t="n">
        <x:v>45616</x:v>
      </x:c>
      <x:c r="C648" s="2" t="str">
        <x:v>Brasil</x:v>
      </x:c>
      <x:c r="D648" s="2" t="str">
        <x:v>Moda Feminina</x:v>
      </x:c>
      <x:c r="E648" s="11" t="n">
        <x:v>23</x:v>
      </x:c>
      <x:c r="F648" s="12" t="n">
        <x:v>45.84</x:v>
      </x:c>
      <x:c r="G648" s="12" t="n">
        <x:v>1054.32</x:v>
      </x:c>
      <x:c r="H648" s="13" t="n">
        <x:v>166</x:v>
      </x:c>
      <x:c r="I648" s="13" t="n">
        <x:f>YEAR(B648)</x:f>
        <x:v>2024</x:v>
      </x:c>
      <x:c r="J648" s="13" t="n">
        <x:f>MONTH(B648)</x:f>
        <x:v>11</x:v>
      </x:c>
      <x:c r="K648" s="14" t="n">
        <x:f>ROUND(E648*F648-G648,10)</x:f>
        <x:v>0</x:v>
      </x:c>
      <x:c r="L648" s="2"/>
      <x:c r="M648" s="2"/>
      <x:c r="N648" s="2"/>
      <x:c r="O648" s="2"/>
      <x:c r="P648" s="2"/>
      <x:c r="Q648" s="2"/>
      <x:c r="R648" s="2"/>
    </x:row>
    <x:row r="649" ht="22" customHeight="1">
      <x:c r="A649" s="2" t="n">
        <x:v>100643</x:v>
      </x:c>
      <x:c r="B649" s="10" t="n">
        <x:v>45225</x:v>
      </x:c>
      <x:c r="C649" s="2" t="str">
        <x:v>México</x:v>
      </x:c>
      <x:c r="D649" s="2" t="str">
        <x:v>Acessórios</x:v>
      </x:c>
      <x:c r="E649" s="11" t="n">
        <x:v>6</x:v>
      </x:c>
      <x:c r="F649" s="12" t="n">
        <x:v>53.37</x:v>
      </x:c>
      <x:c r="G649" s="12" t="n">
        <x:v>320.22</x:v>
      </x:c>
      <x:c r="H649" s="13" t="n">
        <x:v>92</x:v>
      </x:c>
      <x:c r="I649" s="13" t="n">
        <x:f>YEAR(B649)</x:f>
        <x:v>2023</x:v>
      </x:c>
      <x:c r="J649" s="13" t="n">
        <x:f>MONTH(B649)</x:f>
        <x:v>10</x:v>
      </x:c>
      <x:c r="K649" s="14" t="n">
        <x:f>ROUND(E649*F649-G649,10)</x:f>
        <x:v>0</x:v>
      </x:c>
      <x:c r="L649" s="2"/>
      <x:c r="M649" s="2"/>
      <x:c r="N649" s="2"/>
      <x:c r="O649" s="2"/>
      <x:c r="P649" s="2"/>
      <x:c r="Q649" s="2"/>
      <x:c r="R649" s="2"/>
    </x:row>
    <x:row r="650" ht="22" customHeight="1">
      <x:c r="A650" s="2" t="n">
        <x:v>100644</x:v>
      </x:c>
      <x:c r="B650" s="10" t="n">
        <x:v>45518</x:v>
      </x:c>
      <x:c r="C650" s="2" t="str">
        <x:v>Peru</x:v>
      </x:c>
      <x:c r="D650" s="2" t="str">
        <x:v>Calçados</x:v>
      </x:c>
      <x:c r="E650" s="11" t="n">
        <x:v>22</x:v>
      </x:c>
      <x:c r="F650" s="12" t="n">
        <x:v>52.77</x:v>
      </x:c>
      <x:c r="G650" s="12" t="n">
        <x:v>1160.94</x:v>
      </x:c>
      <x:c r="H650" s="13" t="n">
        <x:v>417</x:v>
      </x:c>
      <x:c r="I650" s="13" t="n">
        <x:f>YEAR(B650)</x:f>
        <x:v>2024</x:v>
      </x:c>
      <x:c r="J650" s="13" t="n">
        <x:f>MONTH(B650)</x:f>
        <x:v>8</x:v>
      </x:c>
      <x:c r="K650" s="14" t="n">
        <x:f>ROUND(E650*F650-G650,10)</x:f>
        <x:v>0</x:v>
      </x:c>
      <x:c r="L650" s="2"/>
      <x:c r="M650" s="2"/>
      <x:c r="N650" s="2"/>
      <x:c r="O650" s="2"/>
      <x:c r="P650" s="2"/>
      <x:c r="Q650" s="2"/>
      <x:c r="R650" s="2"/>
    </x:row>
    <x:row r="651" ht="22" customHeight="1">
      <x:c r="A651" s="2" t="n">
        <x:v>100645</x:v>
      </x:c>
      <x:c r="B651" s="10" t="n">
        <x:v>45123</x:v>
      </x:c>
      <x:c r="C651" s="2" t="str">
        <x:v>Peru</x:v>
      </x:c>
      <x:c r="D651" s="2" t="str">
        <x:v>Acessórios</x:v>
      </x:c>
      <x:c r="E651" s="11" t="n">
        <x:v>38</x:v>
      </x:c>
      <x:c r="F651" s="12" t="n">
        <x:v>112.32</x:v>
      </x:c>
      <x:c r="G651" s="12" t="n">
        <x:v>4268.16</x:v>
      </x:c>
      <x:c r="H651" s="13" t="n">
        <x:v>164</x:v>
      </x:c>
      <x:c r="I651" s="13" t="n">
        <x:f>YEAR(B651)</x:f>
        <x:v>2023</x:v>
      </x:c>
      <x:c r="J651" s="13" t="n">
        <x:f>MONTH(B651)</x:f>
        <x:v>7</x:v>
      </x:c>
      <x:c r="K651" s="14" t="n">
        <x:f>ROUND(E651*F651-G651,10)</x:f>
        <x:v>0</x:v>
      </x:c>
      <x:c r="L651" s="2"/>
      <x:c r="M651" s="2"/>
      <x:c r="N651" s="2"/>
      <x:c r="O651" s="2"/>
      <x:c r="P651" s="2"/>
      <x:c r="Q651" s="2"/>
      <x:c r="R651" s="2"/>
    </x:row>
    <x:row r="652" ht="22" customHeight="1">
      <x:c r="A652" s="2" t="n">
        <x:v>100646</x:v>
      </x:c>
      <x:c r="B652" s="10" t="n">
        <x:v>44945</x:v>
      </x:c>
      <x:c r="C652" s="2" t="str">
        <x:v>México</x:v>
      </x:c>
      <x:c r="D652" s="2" t="str">
        <x:v>Moda Masculina</x:v>
      </x:c>
      <x:c r="E652" s="11" t="n">
        <x:v>37</x:v>
      </x:c>
      <x:c r="F652" s="12" t="n">
        <x:v>172.06</x:v>
      </x:c>
      <x:c r="G652" s="12" t="n">
        <x:v>6366.22</x:v>
      </x:c>
      <x:c r="H652" s="13" t="n">
        <x:v>332</x:v>
      </x:c>
      <x:c r="I652" s="13" t="n">
        <x:f>YEAR(B652)</x:f>
        <x:v>2023</x:v>
      </x:c>
      <x:c r="J652" s="13" t="n">
        <x:f>MONTH(B652)</x:f>
        <x:v>1</x:v>
      </x:c>
      <x:c r="K652" s="14" t="n">
        <x:f>ROUND(E652*F652-G652,10)</x:f>
        <x:v>0</x:v>
      </x:c>
      <x:c r="L652" s="2"/>
      <x:c r="M652" s="2"/>
      <x:c r="N652" s="2"/>
      <x:c r="O652" s="2"/>
      <x:c r="P652" s="2"/>
      <x:c r="Q652" s="2"/>
      <x:c r="R652" s="2"/>
    </x:row>
    <x:row r="653" ht="22" customHeight="1">
      <x:c r="A653" s="2" t="n">
        <x:v>100647</x:v>
      </x:c>
      <x:c r="B653" s="10" t="n">
        <x:v>45536</x:v>
      </x:c>
      <x:c r="C653" s="2" t="str">
        <x:v>Argentina</x:v>
      </x:c>
      <x:c r="D653" s="2" t="str">
        <x:v>Acessórios</x:v>
      </x:c>
      <x:c r="E653" s="11" t="n">
        <x:v>45</x:v>
      </x:c>
      <x:c r="F653" s="12" t="n">
        <x:v>34.33</x:v>
      </x:c>
      <x:c r="G653" s="12" t="n">
        <x:v>1544.85</x:v>
      </x:c>
      <x:c r="H653" s="13" t="n">
        <x:v>86</x:v>
      </x:c>
      <x:c r="I653" s="13" t="n">
        <x:f>YEAR(B653)</x:f>
        <x:v>2024</x:v>
      </x:c>
      <x:c r="J653" s="13" t="n">
        <x:f>MONTH(B653)</x:f>
        <x:v>9</x:v>
      </x:c>
      <x:c r="K653" s="14" t="n">
        <x:f>ROUND(E653*F653-G653,10)</x:f>
        <x:v>0</x:v>
      </x:c>
      <x:c r="L653" s="2"/>
      <x:c r="M653" s="2"/>
      <x:c r="N653" s="2"/>
      <x:c r="O653" s="2"/>
      <x:c r="P653" s="2"/>
      <x:c r="Q653" s="2"/>
      <x:c r="R653" s="2"/>
    </x:row>
    <x:row r="654" ht="22" customHeight="1">
      <x:c r="A654" s="2" t="n">
        <x:v>100648</x:v>
      </x:c>
      <x:c r="B654" s="10" t="n">
        <x:v>45547</x:v>
      </x:c>
      <x:c r="C654" s="2" t="str">
        <x:v>Brasil</x:v>
      </x:c>
      <x:c r="D654" s="2" t="str">
        <x:v>Moda Infantil</x:v>
      </x:c>
      <x:c r="E654" s="11" t="n">
        <x:v>8</x:v>
      </x:c>
      <x:c r="F654" s="12" t="n">
        <x:v>147.25</x:v>
      </x:c>
      <x:c r="G654" s="12" t="n">
        <x:v>1178</x:v>
      </x:c>
      <x:c r="H654" s="13" t="n">
        <x:v>351</x:v>
      </x:c>
      <x:c r="I654" s="13" t="n">
        <x:f>YEAR(B654)</x:f>
        <x:v>2024</x:v>
      </x:c>
      <x:c r="J654" s="13" t="n">
        <x:f>MONTH(B654)</x:f>
        <x:v>9</x:v>
      </x:c>
      <x:c r="K654" s="14" t="n">
        <x:f>ROUND(E654*F654-G654,10)</x:f>
        <x:v>0</x:v>
      </x:c>
      <x:c r="L654" s="2"/>
      <x:c r="M654" s="2"/>
      <x:c r="N654" s="2"/>
      <x:c r="O654" s="2"/>
      <x:c r="P654" s="2"/>
      <x:c r="Q654" s="2"/>
      <x:c r="R654" s="2"/>
    </x:row>
    <x:row r="655" ht="22" customHeight="1">
      <x:c r="A655" s="2" t="n">
        <x:v>100649</x:v>
      </x:c>
      <x:c r="B655" s="10" t="n">
        <x:v>45415</x:v>
      </x:c>
      <x:c r="C655" s="2" t="str">
        <x:v>Argentina</x:v>
      </x:c>
      <x:c r="D655" s="2" t="str">
        <x:v>Acessórios</x:v>
      </x:c>
      <x:c r="E655" s="11" t="n">
        <x:v>41</x:v>
      </x:c>
      <x:c r="F655" s="12" t="n">
        <x:v>137.78</x:v>
      </x:c>
      <x:c r="G655" s="12" t="n">
        <x:v>5648.98</x:v>
      </x:c>
      <x:c r="H655" s="13" t="n">
        <x:v>162</x:v>
      </x:c>
      <x:c r="I655" s="13" t="n">
        <x:f>YEAR(B655)</x:f>
        <x:v>2024</x:v>
      </x:c>
      <x:c r="J655" s="13" t="n">
        <x:f>MONTH(B655)</x:f>
        <x:v>5</x:v>
      </x:c>
      <x:c r="K655" s="14" t="n">
        <x:f>ROUND(E655*F655-G655,10)</x:f>
        <x:v>0</x:v>
      </x:c>
      <x:c r="L655" s="2"/>
      <x:c r="M655" s="2"/>
      <x:c r="N655" s="2"/>
      <x:c r="O655" s="2"/>
      <x:c r="P655" s="2"/>
      <x:c r="Q655" s="2"/>
      <x:c r="R655" s="2"/>
    </x:row>
    <x:row r="656" ht="22" customHeight="1">
      <x:c r="A656" s="2" t="n">
        <x:v>100650</x:v>
      </x:c>
      <x:c r="B656" s="10" t="n">
        <x:v>45378</x:v>
      </x:c>
      <x:c r="C656" s="2" t="str">
        <x:v>Chile</x:v>
      </x:c>
      <x:c r="D656" s="2" t="str">
        <x:v>Moda Masculina</x:v>
      </x:c>
      <x:c r="E656" s="11" t="n">
        <x:v>49</x:v>
      </x:c>
      <x:c r="F656" s="12" t="n">
        <x:v>177.05</x:v>
      </x:c>
      <x:c r="G656" s="12" t="n">
        <x:v>8675.45</x:v>
      </x:c>
      <x:c r="H656" s="13" t="n">
        <x:v>84</x:v>
      </x:c>
      <x:c r="I656" s="13" t="n">
        <x:f>YEAR(B656)</x:f>
        <x:v>2024</x:v>
      </x:c>
      <x:c r="J656" s="13" t="n">
        <x:f>MONTH(B656)</x:f>
        <x:v>3</x:v>
      </x:c>
      <x:c r="K656" s="14" t="n">
        <x:f>ROUND(E656*F656-G656,10)</x:f>
        <x:v>0</x:v>
      </x:c>
      <x:c r="L656" s="2"/>
      <x:c r="M656" s="2"/>
      <x:c r="N656" s="2"/>
      <x:c r="O656" s="2"/>
      <x:c r="P656" s="2"/>
      <x:c r="Q656" s="2"/>
      <x:c r="R656" s="2"/>
    </x:row>
    <x:row r="657" ht="22" customHeight="1">
      <x:c r="A657" s="2" t="n">
        <x:v>100651</x:v>
      </x:c>
      <x:c r="B657" s="10" t="n">
        <x:v>44954</x:v>
      </x:c>
      <x:c r="C657" s="2" t="str">
        <x:v>Argentina</x:v>
      </x:c>
      <x:c r="D657" s="2" t="str">
        <x:v>Moda Masculina</x:v>
      </x:c>
      <x:c r="E657" s="11" t="n">
        <x:v>35</x:v>
      </x:c>
      <x:c r="F657" s="12" t="n">
        <x:v>63.95</x:v>
      </x:c>
      <x:c r="G657" s="12" t="n">
        <x:v>2238.25</x:v>
      </x:c>
      <x:c r="H657" s="13" t="n">
        <x:v>181</x:v>
      </x:c>
      <x:c r="I657" s="13" t="n">
        <x:f>YEAR(B657)</x:f>
        <x:v>2023</x:v>
      </x:c>
      <x:c r="J657" s="13" t="n">
        <x:f>MONTH(B657)</x:f>
        <x:v>1</x:v>
      </x:c>
      <x:c r="K657" s="14" t="n">
        <x:f>ROUND(E657*F657-G657,10)</x:f>
        <x:v>0</x:v>
      </x:c>
      <x:c r="L657" s="2"/>
      <x:c r="M657" s="2"/>
      <x:c r="N657" s="2"/>
      <x:c r="O657" s="2"/>
      <x:c r="P657" s="2"/>
      <x:c r="Q657" s="2"/>
      <x:c r="R657" s="2"/>
    </x:row>
    <x:row r="658" ht="22" customHeight="1">
      <x:c r="A658" s="2" t="n">
        <x:v>100652</x:v>
      </x:c>
      <x:c r="B658" s="10" t="n">
        <x:v>45408</x:v>
      </x:c>
      <x:c r="C658" s="2" t="str">
        <x:v>Argentina</x:v>
      </x:c>
      <x:c r="D658" s="2" t="str">
        <x:v>Moda Feminina</x:v>
      </x:c>
      <x:c r="E658" s="11" t="n">
        <x:v>11</x:v>
      </x:c>
      <x:c r="F658" s="12" t="n">
        <x:v>101.02</x:v>
      </x:c>
      <x:c r="G658" s="12" t="n">
        <x:v>1111.22</x:v>
      </x:c>
      <x:c r="H658" s="13" t="n">
        <x:v>385</x:v>
      </x:c>
      <x:c r="I658" s="13" t="n">
        <x:f>YEAR(B658)</x:f>
        <x:v>2024</x:v>
      </x:c>
      <x:c r="J658" s="13" t="n">
        <x:f>MONTH(B658)</x:f>
        <x:v>4</x:v>
      </x:c>
      <x:c r="K658" s="14" t="n">
        <x:f>ROUND(E658*F658-G658,10)</x:f>
        <x:v>0</x:v>
      </x:c>
      <x:c r="L658" s="2"/>
      <x:c r="M658" s="2"/>
      <x:c r="N658" s="2"/>
      <x:c r="O658" s="2"/>
      <x:c r="P658" s="2"/>
      <x:c r="Q658" s="2"/>
      <x:c r="R658" s="2"/>
    </x:row>
    <x:row r="659" ht="22" customHeight="1">
      <x:c r="A659" s="2" t="n">
        <x:v>100653</x:v>
      </x:c>
      <x:c r="B659" s="10" t="n">
        <x:v>45155</x:v>
      </x:c>
      <x:c r="C659" s="2" t="str">
        <x:v>México</x:v>
      </x:c>
      <x:c r="D659" s="2" t="str">
        <x:v>Calçados</x:v>
      </x:c>
      <x:c r="E659" s="11" t="n">
        <x:v>24</x:v>
      </x:c>
      <x:c r="F659" s="12" t="n">
        <x:v>186.65</x:v>
      </x:c>
      <x:c r="G659" s="12" t="n">
        <x:v>4479.6</x:v>
      </x:c>
      <x:c r="H659" s="13" t="n">
        <x:v>385</x:v>
      </x:c>
      <x:c r="I659" s="13" t="n">
        <x:f>YEAR(B659)</x:f>
        <x:v>2023</x:v>
      </x:c>
      <x:c r="J659" s="13" t="n">
        <x:f>MONTH(B659)</x:f>
        <x:v>8</x:v>
      </x:c>
      <x:c r="K659" s="14" t="n">
        <x:f>ROUND(E659*F659-G659,10)</x:f>
        <x:v>0</x:v>
      </x:c>
      <x:c r="L659" s="2"/>
      <x:c r="M659" s="2"/>
      <x:c r="N659" s="2"/>
      <x:c r="O659" s="2"/>
      <x:c r="P659" s="2"/>
      <x:c r="Q659" s="2"/>
      <x:c r="R659" s="2"/>
    </x:row>
    <x:row r="660" ht="22" customHeight="1">
      <x:c r="A660" s="2" t="n">
        <x:v>100654</x:v>
      </x:c>
      <x:c r="B660" s="10" t="n">
        <x:v>45064</x:v>
      </x:c>
      <x:c r="C660" s="2" t="str">
        <x:v>México</x:v>
      </x:c>
      <x:c r="D660" s="2" t="str">
        <x:v>Acessórios</x:v>
      </x:c>
      <x:c r="E660" s="11" t="n">
        <x:v>49</x:v>
      </x:c>
      <x:c r="F660" s="12" t="n">
        <x:v>138.8</x:v>
      </x:c>
      <x:c r="G660" s="12" t="n">
        <x:v>6801.200000000001</x:v>
      </x:c>
      <x:c r="H660" s="13" t="n">
        <x:v>459</x:v>
      </x:c>
      <x:c r="I660" s="13" t="n">
        <x:f>YEAR(B660)</x:f>
        <x:v>2023</x:v>
      </x:c>
      <x:c r="J660" s="13" t="n">
        <x:f>MONTH(B660)</x:f>
        <x:v>5</x:v>
      </x:c>
      <x:c r="K660" s="14" t="n">
        <x:f>ROUND(E660*F660-G660,10)</x:f>
        <x:v>0</x:v>
      </x:c>
      <x:c r="L660" s="2"/>
      <x:c r="M660" s="2"/>
      <x:c r="N660" s="2"/>
      <x:c r="O660" s="2"/>
      <x:c r="P660" s="2"/>
      <x:c r="Q660" s="2"/>
      <x:c r="R660" s="2"/>
    </x:row>
    <x:row r="661" ht="22" customHeight="1">
      <x:c r="A661" s="2" t="n">
        <x:v>100655</x:v>
      </x:c>
      <x:c r="B661" s="10" t="n">
        <x:v>45483</x:v>
      </x:c>
      <x:c r="C661" s="2" t="str">
        <x:v>México</x:v>
      </x:c>
      <x:c r="D661" s="2" t="str">
        <x:v>Moda Feminina</x:v>
      </x:c>
      <x:c r="E661" s="11" t="n">
        <x:v>21</x:v>
      </x:c>
      <x:c r="F661" s="12" t="n">
        <x:v>89.98</x:v>
      </x:c>
      <x:c r="G661" s="12" t="n">
        <x:v>1889.58</x:v>
      </x:c>
      <x:c r="H661" s="13" t="n">
        <x:v>426</x:v>
      </x:c>
      <x:c r="I661" s="13" t="n">
        <x:f>YEAR(B661)</x:f>
        <x:v>2024</x:v>
      </x:c>
      <x:c r="J661" s="13" t="n">
        <x:f>MONTH(B661)</x:f>
        <x:v>7</x:v>
      </x:c>
      <x:c r="K661" s="14" t="n">
        <x:f>ROUND(E661*F661-G661,10)</x:f>
        <x:v>0</x:v>
      </x:c>
      <x:c r="L661" s="2"/>
      <x:c r="M661" s="2"/>
      <x:c r="N661" s="2"/>
      <x:c r="O661" s="2"/>
      <x:c r="P661" s="2"/>
      <x:c r="Q661" s="2"/>
      <x:c r="R661" s="2"/>
    </x:row>
    <x:row r="662" ht="22" customHeight="1">
      <x:c r="A662" s="2" t="n">
        <x:v>100656</x:v>
      </x:c>
      <x:c r="B662" s="10" t="n">
        <x:v>45033</x:v>
      </x:c>
      <x:c r="C662" s="2" t="str">
        <x:v>Peru</x:v>
      </x:c>
      <x:c r="D662" s="2" t="str">
        <x:v>Calçados</x:v>
      </x:c>
      <x:c r="E662" s="11" t="n">
        <x:v>2</x:v>
      </x:c>
      <x:c r="F662" s="12" t="n">
        <x:v>43.65</x:v>
      </x:c>
      <x:c r="G662" s="12" t="n">
        <x:v>87.3</x:v>
      </x:c>
      <x:c r="H662" s="13" t="n">
        <x:v>277</x:v>
      </x:c>
      <x:c r="I662" s="13" t="n">
        <x:f>YEAR(B662)</x:f>
        <x:v>2023</x:v>
      </x:c>
      <x:c r="J662" s="13" t="n">
        <x:f>MONTH(B662)</x:f>
        <x:v>4</x:v>
      </x:c>
      <x:c r="K662" s="14" t="n">
        <x:f>ROUND(E662*F662-G662,10)</x:f>
        <x:v>0</x:v>
      </x:c>
      <x:c r="L662" s="2"/>
      <x:c r="M662" s="2"/>
      <x:c r="N662" s="2"/>
      <x:c r="O662" s="2"/>
      <x:c r="P662" s="2"/>
      <x:c r="Q662" s="2"/>
      <x:c r="R662" s="2"/>
    </x:row>
    <x:row r="663" ht="22" customHeight="1">
      <x:c r="A663" s="2" t="n">
        <x:v>100657</x:v>
      </x:c>
      <x:c r="B663" s="10" t="n">
        <x:v>45287</x:v>
      </x:c>
      <x:c r="C663" s="2" t="str">
        <x:v>Chile</x:v>
      </x:c>
      <x:c r="D663" s="2" t="str">
        <x:v>Acessórios</x:v>
      </x:c>
      <x:c r="E663" s="11" t="n">
        <x:v>40</x:v>
      </x:c>
      <x:c r="F663" s="12" t="n">
        <x:v>67.25</x:v>
      </x:c>
      <x:c r="G663" s="12" t="n">
        <x:v>2690</x:v>
      </x:c>
      <x:c r="H663" s="13" t="n">
        <x:v>196</x:v>
      </x:c>
      <x:c r="I663" s="13" t="n">
        <x:f>YEAR(B663)</x:f>
        <x:v>2023</x:v>
      </x:c>
      <x:c r="J663" s="13" t="n">
        <x:f>MONTH(B663)</x:f>
        <x:v>12</x:v>
      </x:c>
      <x:c r="K663" s="14" t="n">
        <x:f>ROUND(E663*F663-G663,10)</x:f>
        <x:v>0</x:v>
      </x:c>
      <x:c r="L663" s="2"/>
      <x:c r="M663" s="2"/>
      <x:c r="N663" s="2"/>
      <x:c r="O663" s="2"/>
      <x:c r="P663" s="2"/>
      <x:c r="Q663" s="2"/>
      <x:c r="R663" s="2"/>
    </x:row>
    <x:row r="664" ht="22" customHeight="1">
      <x:c r="A664" s="2" t="n">
        <x:v>100658</x:v>
      </x:c>
      <x:c r="B664" s="10" t="n">
        <x:v>45479</x:v>
      </x:c>
      <x:c r="C664" s="2" t="str">
        <x:v>México</x:v>
      </x:c>
      <x:c r="D664" s="2" t="str">
        <x:v>Moda Infantil</x:v>
      </x:c>
      <x:c r="E664" s="11" t="n">
        <x:v>19</x:v>
      </x:c>
      <x:c r="F664" s="12" t="n">
        <x:v>124.62</x:v>
      </x:c>
      <x:c r="G664" s="12" t="n">
        <x:v>2367.78</x:v>
      </x:c>
      <x:c r="H664" s="13" t="n">
        <x:v>171</x:v>
      </x:c>
      <x:c r="I664" s="13" t="n">
        <x:f>YEAR(B664)</x:f>
        <x:v>2024</x:v>
      </x:c>
      <x:c r="J664" s="13" t="n">
        <x:f>MONTH(B664)</x:f>
        <x:v>7</x:v>
      </x:c>
      <x:c r="K664" s="14" t="n">
        <x:f>ROUND(E664*F664-G664,10)</x:f>
        <x:v>0</x:v>
      </x:c>
      <x:c r="L664" s="2"/>
      <x:c r="M664" s="2"/>
      <x:c r="N664" s="2"/>
      <x:c r="O664" s="2"/>
      <x:c r="P664" s="2"/>
      <x:c r="Q664" s="2"/>
      <x:c r="R664" s="2"/>
    </x:row>
    <x:row r="665" ht="22" customHeight="1">
      <x:c r="A665" s="2" t="n">
        <x:v>100659</x:v>
      </x:c>
      <x:c r="B665" s="10" t="n">
        <x:v>44999</x:v>
      </x:c>
      <x:c r="C665" s="2" t="str">
        <x:v>Brasil</x:v>
      </x:c>
      <x:c r="D665" s="2" t="str">
        <x:v>Acessórios</x:v>
      </x:c>
      <x:c r="E665" s="11" t="n">
        <x:v>39</x:v>
      </x:c>
      <x:c r="F665" s="12" t="n">
        <x:v>149.27</x:v>
      </x:c>
      <x:c r="G665" s="12" t="n">
        <x:v>5821.530000000001</x:v>
      </x:c>
      <x:c r="H665" s="13" t="n">
        <x:v>130</x:v>
      </x:c>
      <x:c r="I665" s="13" t="n">
        <x:f>YEAR(B665)</x:f>
        <x:v>2023</x:v>
      </x:c>
      <x:c r="J665" s="13" t="n">
        <x:f>MONTH(B665)</x:f>
        <x:v>3</x:v>
      </x:c>
      <x:c r="K665" s="14" t="n">
        <x:f>ROUND(E665*F665-G665,10)</x:f>
        <x:v>0</x:v>
      </x:c>
      <x:c r="L665" s="2"/>
      <x:c r="M665" s="2"/>
      <x:c r="N665" s="2"/>
      <x:c r="O665" s="2"/>
      <x:c r="P665" s="2"/>
      <x:c r="Q665" s="2"/>
      <x:c r="R665" s="2"/>
    </x:row>
    <x:row r="666" ht="22" customHeight="1">
      <x:c r="A666" s="2" t="n">
        <x:v>100660</x:v>
      </x:c>
      <x:c r="B666" s="10" t="n">
        <x:v>45253</x:v>
      </x:c>
      <x:c r="C666" s="2" t="str">
        <x:v>Peru</x:v>
      </x:c>
      <x:c r="D666" s="2" t="str">
        <x:v>Moda Masculina</x:v>
      </x:c>
      <x:c r="E666" s="11" t="n">
        <x:v>28</x:v>
      </x:c>
      <x:c r="F666" s="12" t="n">
        <x:v>42.4</x:v>
      </x:c>
      <x:c r="G666" s="12" t="n">
        <x:v>1187.2</x:v>
      </x:c>
      <x:c r="H666" s="13" t="n">
        <x:v>222</x:v>
      </x:c>
      <x:c r="I666" s="13" t="n">
        <x:f>YEAR(B666)</x:f>
        <x:v>2023</x:v>
      </x:c>
      <x:c r="J666" s="13" t="n">
        <x:f>MONTH(B666)</x:f>
        <x:v>11</x:v>
      </x:c>
      <x:c r="K666" s="14" t="n">
        <x:f>ROUND(E666*F666-G666,10)</x:f>
        <x:v>0</x:v>
      </x:c>
      <x:c r="L666" s="2"/>
      <x:c r="M666" s="2"/>
      <x:c r="N666" s="2"/>
      <x:c r="O666" s="2"/>
      <x:c r="P666" s="2"/>
      <x:c r="Q666" s="2"/>
      <x:c r="R666" s="2"/>
    </x:row>
    <x:row r="667" ht="22" customHeight="1">
      <x:c r="A667" s="2" t="n">
        <x:v>100661</x:v>
      </x:c>
      <x:c r="B667" s="10" t="n">
        <x:v>45093</x:v>
      </x:c>
      <x:c r="C667" s="2" t="str">
        <x:v>Colômbia</x:v>
      </x:c>
      <x:c r="D667" s="2" t="str">
        <x:v>Moda Masculina</x:v>
      </x:c>
      <x:c r="E667" s="11" t="n">
        <x:v>17</x:v>
      </x:c>
      <x:c r="F667" s="12" t="n">
        <x:v>127.93</x:v>
      </x:c>
      <x:c r="G667" s="12" t="n">
        <x:v>2174.81</x:v>
      </x:c>
      <x:c r="H667" s="13" t="n">
        <x:v>203</x:v>
      </x:c>
      <x:c r="I667" s="13" t="n">
        <x:f>YEAR(B667)</x:f>
        <x:v>2023</x:v>
      </x:c>
      <x:c r="J667" s="13" t="n">
        <x:f>MONTH(B667)</x:f>
        <x:v>6</x:v>
      </x:c>
      <x:c r="K667" s="14" t="n">
        <x:f>ROUND(E667*F667-G667,10)</x:f>
        <x:v>0</x:v>
      </x:c>
      <x:c r="L667" s="2"/>
      <x:c r="M667" s="2"/>
      <x:c r="N667" s="2"/>
      <x:c r="O667" s="2"/>
      <x:c r="P667" s="2"/>
      <x:c r="Q667" s="2"/>
      <x:c r="R667" s="2"/>
    </x:row>
    <x:row r="668" ht="22" customHeight="1">
      <x:c r="A668" s="2" t="n">
        <x:v>100662</x:v>
      </x:c>
      <x:c r="B668" s="10" t="n">
        <x:v>45438</x:v>
      </x:c>
      <x:c r="C668" s="2" t="str">
        <x:v>Brasil</x:v>
      </x:c>
      <x:c r="D668" s="2" t="str">
        <x:v>Moda Infantil</x:v>
      </x:c>
      <x:c r="E668" s="11" t="n">
        <x:v>6</x:v>
      </x:c>
      <x:c r="F668" s="12" t="n">
        <x:v>119.06</x:v>
      </x:c>
      <x:c r="G668" s="12" t="n">
        <x:v>714.36</x:v>
      </x:c>
      <x:c r="H668" s="13" t="n">
        <x:v>199</x:v>
      </x:c>
      <x:c r="I668" s="13" t="n">
        <x:f>YEAR(B668)</x:f>
        <x:v>2024</x:v>
      </x:c>
      <x:c r="J668" s="13" t="n">
        <x:f>MONTH(B668)</x:f>
        <x:v>5</x:v>
      </x:c>
      <x:c r="K668" s="14" t="n">
        <x:f>ROUND(E668*F668-G668,10)</x:f>
        <x:v>0</x:v>
      </x:c>
      <x:c r="L668" s="2"/>
      <x:c r="M668" s="2"/>
      <x:c r="N668" s="2"/>
      <x:c r="O668" s="2"/>
      <x:c r="P668" s="2"/>
      <x:c r="Q668" s="2"/>
      <x:c r="R668" s="2"/>
    </x:row>
    <x:row r="669" ht="22" customHeight="1">
      <x:c r="A669" s="2" t="n">
        <x:v>100663</x:v>
      </x:c>
      <x:c r="B669" s="10" t="n">
        <x:v>45208</x:v>
      </x:c>
      <x:c r="C669" s="2" t="str">
        <x:v>Brasil</x:v>
      </x:c>
      <x:c r="D669" s="2" t="str">
        <x:v>Moda Feminina</x:v>
      </x:c>
      <x:c r="E669" s="11" t="n">
        <x:v>19</x:v>
      </x:c>
      <x:c r="F669" s="12" t="n">
        <x:v>112.51</x:v>
      </x:c>
      <x:c r="G669" s="12" t="n">
        <x:v>2137.69</x:v>
      </x:c>
      <x:c r="H669" s="13" t="n">
        <x:v>424</x:v>
      </x:c>
      <x:c r="I669" s="13" t="n">
        <x:f>YEAR(B669)</x:f>
        <x:v>2023</x:v>
      </x:c>
      <x:c r="J669" s="13" t="n">
        <x:f>MONTH(B669)</x:f>
        <x:v>10</x:v>
      </x:c>
      <x:c r="K669" s="14" t="n">
        <x:f>ROUND(E669*F669-G669,10)</x:f>
        <x:v>0</x:v>
      </x:c>
      <x:c r="L669" s="2"/>
      <x:c r="M669" s="2"/>
      <x:c r="N669" s="2"/>
      <x:c r="O669" s="2"/>
      <x:c r="P669" s="2"/>
      <x:c r="Q669" s="2"/>
      <x:c r="R669" s="2"/>
    </x:row>
    <x:row r="670" ht="22" customHeight="1">
      <x:c r="A670" s="2" t="n">
        <x:v>100664</x:v>
      </x:c>
      <x:c r="B670" s="10" t="n">
        <x:v>45387</x:v>
      </x:c>
      <x:c r="C670" s="2" t="str">
        <x:v>México</x:v>
      </x:c>
      <x:c r="D670" s="2" t="str">
        <x:v>Calçados</x:v>
      </x:c>
      <x:c r="E670" s="11" t="n">
        <x:v>38</x:v>
      </x:c>
      <x:c r="F670" s="12" t="n">
        <x:v>144.22</x:v>
      </x:c>
      <x:c r="G670" s="12" t="n">
        <x:v>5480.36</x:v>
      </x:c>
      <x:c r="H670" s="13" t="n">
        <x:v>107</x:v>
      </x:c>
      <x:c r="I670" s="13" t="n">
        <x:f>YEAR(B670)</x:f>
        <x:v>2024</x:v>
      </x:c>
      <x:c r="J670" s="13" t="n">
        <x:f>MONTH(B670)</x:f>
        <x:v>4</x:v>
      </x:c>
      <x:c r="K670" s="14" t="n">
        <x:f>ROUND(E670*F670-G670,10)</x:f>
        <x:v>0</x:v>
      </x:c>
      <x:c r="L670" s="2"/>
      <x:c r="M670" s="2"/>
      <x:c r="N670" s="2"/>
      <x:c r="O670" s="2"/>
      <x:c r="P670" s="2"/>
      <x:c r="Q670" s="2"/>
      <x:c r="R670" s="2"/>
    </x:row>
    <x:row r="671" ht="22" customHeight="1">
      <x:c r="A671" s="2" t="n">
        <x:v>100665</x:v>
      </x:c>
      <x:c r="B671" s="10" t="n">
        <x:v>44975</x:v>
      </x:c>
      <x:c r="C671" s="2" t="str">
        <x:v>Colômbia</x:v>
      </x:c>
      <x:c r="D671" s="2" t="str">
        <x:v>Acessórios</x:v>
      </x:c>
      <x:c r="E671" s="11" t="n">
        <x:v>28</x:v>
      </x:c>
      <x:c r="F671" s="12" t="n">
        <x:v>170.74</x:v>
      </x:c>
      <x:c r="G671" s="12" t="n">
        <x:v>4780.72</x:v>
      </x:c>
      <x:c r="H671" s="13" t="n">
        <x:v>112</x:v>
      </x:c>
      <x:c r="I671" s="13" t="n">
        <x:f>YEAR(B671)</x:f>
        <x:v>2023</x:v>
      </x:c>
      <x:c r="J671" s="13" t="n">
        <x:f>MONTH(B671)</x:f>
        <x:v>2</x:v>
      </x:c>
      <x:c r="K671" s="14" t="n">
        <x:f>ROUND(E671*F671-G671,10)</x:f>
        <x:v>0</x:v>
      </x:c>
      <x:c r="L671" s="2"/>
      <x:c r="M671" s="2"/>
      <x:c r="N671" s="2"/>
      <x:c r="O671" s="2"/>
      <x:c r="P671" s="2"/>
      <x:c r="Q671" s="2"/>
      <x:c r="R671" s="2"/>
    </x:row>
    <x:row r="672" ht="22" customHeight="1">
      <x:c r="A672" s="2" t="n">
        <x:v>100666</x:v>
      </x:c>
      <x:c r="B672" s="10" t="n">
        <x:v>45341</x:v>
      </x:c>
      <x:c r="C672" s="2" t="str">
        <x:v>Colômbia</x:v>
      </x:c>
      <x:c r="D672" s="2" t="str">
        <x:v>Moda Masculina</x:v>
      </x:c>
      <x:c r="E672" s="11" t="n">
        <x:v>2</x:v>
      </x:c>
      <x:c r="F672" s="12" t="n">
        <x:v>78.14</x:v>
      </x:c>
      <x:c r="G672" s="12" t="n">
        <x:v>156.28</x:v>
      </x:c>
      <x:c r="H672" s="13" t="n">
        <x:v>205</x:v>
      </x:c>
      <x:c r="I672" s="13" t="n">
        <x:f>YEAR(B672)</x:f>
        <x:v>2024</x:v>
      </x:c>
      <x:c r="J672" s="13" t="n">
        <x:f>MONTH(B672)</x:f>
        <x:v>2</x:v>
      </x:c>
      <x:c r="K672" s="14" t="n">
        <x:f>ROUND(E672*F672-G672,10)</x:f>
        <x:v>0</x:v>
      </x:c>
      <x:c r="L672" s="2"/>
      <x:c r="M672" s="2"/>
      <x:c r="N672" s="2"/>
      <x:c r="O672" s="2"/>
      <x:c r="P672" s="2"/>
      <x:c r="Q672" s="2"/>
      <x:c r="R672" s="2"/>
    </x:row>
    <x:row r="673" ht="22" customHeight="1">
      <x:c r="A673" s="2" t="n">
        <x:v>100667</x:v>
      </x:c>
      <x:c r="B673" s="10" t="n">
        <x:v>45622</x:v>
      </x:c>
      <x:c r="C673" s="2" t="str">
        <x:v>Peru</x:v>
      </x:c>
      <x:c r="D673" s="2" t="str">
        <x:v>Moda Feminina</x:v>
      </x:c>
      <x:c r="E673" s="11" t="n">
        <x:v>38</x:v>
      </x:c>
      <x:c r="F673" s="12" t="n">
        <x:v>180.02</x:v>
      </x:c>
      <x:c r="G673" s="12" t="n">
        <x:v>6840.76</x:v>
      </x:c>
      <x:c r="H673" s="13" t="n">
        <x:v>498</x:v>
      </x:c>
      <x:c r="I673" s="13" t="n">
        <x:f>YEAR(B673)</x:f>
        <x:v>2024</x:v>
      </x:c>
      <x:c r="J673" s="13" t="n">
        <x:f>MONTH(B673)</x:f>
        <x:v>11</x:v>
      </x:c>
      <x:c r="K673" s="14" t="n">
        <x:f>ROUND(E673*F673-G673,10)</x:f>
        <x:v>0</x:v>
      </x:c>
      <x:c r="L673" s="2"/>
      <x:c r="M673" s="2"/>
      <x:c r="N673" s="2"/>
      <x:c r="O673" s="2"/>
      <x:c r="P673" s="2"/>
      <x:c r="Q673" s="2"/>
      <x:c r="R673" s="2"/>
    </x:row>
    <x:row r="674" ht="22" customHeight="1">
      <x:c r="A674" s="2" t="n">
        <x:v>100668</x:v>
      </x:c>
      <x:c r="B674" s="10" t="n">
        <x:v>45559</x:v>
      </x:c>
      <x:c r="C674" s="2" t="str">
        <x:v>Colômbia</x:v>
      </x:c>
      <x:c r="D674" s="2" t="str">
        <x:v>Moda Infantil</x:v>
      </x:c>
      <x:c r="E674" s="11" t="n">
        <x:v>37</x:v>
      </x:c>
      <x:c r="F674" s="12" t="n">
        <x:v>48.91</x:v>
      </x:c>
      <x:c r="G674" s="12" t="n">
        <x:v>1809.67</x:v>
      </x:c>
      <x:c r="H674" s="13" t="n">
        <x:v>477</x:v>
      </x:c>
      <x:c r="I674" s="13" t="n">
        <x:f>YEAR(B674)</x:f>
        <x:v>2024</x:v>
      </x:c>
      <x:c r="J674" s="13" t="n">
        <x:f>MONTH(B674)</x:f>
        <x:v>9</x:v>
      </x:c>
      <x:c r="K674" s="14" t="n">
        <x:f>ROUND(E674*F674-G674,10)</x:f>
        <x:v>0</x:v>
      </x:c>
      <x:c r="L674" s="2"/>
      <x:c r="M674" s="2"/>
      <x:c r="N674" s="2"/>
      <x:c r="O674" s="2"/>
      <x:c r="P674" s="2"/>
      <x:c r="Q674" s="2"/>
      <x:c r="R674" s="2"/>
    </x:row>
    <x:row r="675" ht="22" customHeight="1">
      <x:c r="A675" s="2" t="n">
        <x:v>100669</x:v>
      </x:c>
      <x:c r="B675" s="10" t="n">
        <x:v>45476</x:v>
      </x:c>
      <x:c r="C675" s="2" t="str">
        <x:v>Chile</x:v>
      </x:c>
      <x:c r="D675" s="2" t="str">
        <x:v>Moda Masculina</x:v>
      </x:c>
      <x:c r="E675" s="11" t="n">
        <x:v>4</x:v>
      </x:c>
      <x:c r="F675" s="12" t="n">
        <x:v>51.14</x:v>
      </x:c>
      <x:c r="G675" s="12" t="n">
        <x:v>204.56</x:v>
      </x:c>
      <x:c r="H675" s="13" t="n">
        <x:v>405</x:v>
      </x:c>
      <x:c r="I675" s="13" t="n">
        <x:f>YEAR(B675)</x:f>
        <x:v>2024</x:v>
      </x:c>
      <x:c r="J675" s="13" t="n">
        <x:f>MONTH(B675)</x:f>
        <x:v>7</x:v>
      </x:c>
      <x:c r="K675" s="14" t="n">
        <x:f>ROUND(E675*F675-G675,10)</x:f>
        <x:v>0</x:v>
      </x:c>
      <x:c r="L675" s="2"/>
      <x:c r="M675" s="2"/>
      <x:c r="N675" s="2"/>
      <x:c r="O675" s="2"/>
      <x:c r="P675" s="2"/>
      <x:c r="Q675" s="2"/>
      <x:c r="R675" s="2"/>
    </x:row>
    <x:row r="676" ht="22" customHeight="1">
      <x:c r="A676" s="2" t="n">
        <x:v>100670</x:v>
      </x:c>
      <x:c r="B676" s="10" t="n">
        <x:v>45408</x:v>
      </x:c>
      <x:c r="C676" s="2" t="str">
        <x:v>México</x:v>
      </x:c>
      <x:c r="D676" s="2" t="str">
        <x:v>Moda Infantil</x:v>
      </x:c>
      <x:c r="E676" s="11" t="n">
        <x:v>22</x:v>
      </x:c>
      <x:c r="F676" s="12" t="n">
        <x:v>68.02</x:v>
      </x:c>
      <x:c r="G676" s="12" t="n">
        <x:v>1496.44</x:v>
      </x:c>
      <x:c r="H676" s="13" t="n">
        <x:v>476</x:v>
      </x:c>
      <x:c r="I676" s="13" t="n">
        <x:f>YEAR(B676)</x:f>
        <x:v>2024</x:v>
      </x:c>
      <x:c r="J676" s="13" t="n">
        <x:f>MONTH(B676)</x:f>
        <x:v>4</x:v>
      </x:c>
      <x:c r="K676" s="14" t="n">
        <x:f>ROUND(E676*F676-G676,10)</x:f>
        <x:v>0</x:v>
      </x:c>
      <x:c r="L676" s="2"/>
      <x:c r="M676" s="2"/>
      <x:c r="N676" s="2"/>
      <x:c r="O676" s="2"/>
      <x:c r="P676" s="2"/>
      <x:c r="Q676" s="2"/>
      <x:c r="R676" s="2"/>
    </x:row>
    <x:row r="677" ht="22" customHeight="1">
      <x:c r="A677" s="2" t="n">
        <x:v>100671</x:v>
      </x:c>
      <x:c r="B677" s="10" t="n">
        <x:v>45147</x:v>
      </x:c>
      <x:c r="C677" s="2" t="str">
        <x:v>Colômbia</x:v>
      </x:c>
      <x:c r="D677" s="2" t="str">
        <x:v>Acessórios</x:v>
      </x:c>
      <x:c r="E677" s="11" t="n">
        <x:v>26</x:v>
      </x:c>
      <x:c r="F677" s="12" t="n">
        <x:v>41.52</x:v>
      </x:c>
      <x:c r="G677" s="12" t="n">
        <x:v>1079.52</x:v>
      </x:c>
      <x:c r="H677" s="13" t="n">
        <x:v>470</x:v>
      </x:c>
      <x:c r="I677" s="13" t="n">
        <x:f>YEAR(B677)</x:f>
        <x:v>2023</x:v>
      </x:c>
      <x:c r="J677" s="13" t="n">
        <x:f>MONTH(B677)</x:f>
        <x:v>8</x:v>
      </x:c>
      <x:c r="K677" s="14" t="n">
        <x:f>ROUND(E677*F677-G677,10)</x:f>
        <x:v>0</x:v>
      </x:c>
      <x:c r="L677" s="2"/>
      <x:c r="M677" s="2"/>
      <x:c r="N677" s="2"/>
      <x:c r="O677" s="2"/>
      <x:c r="P677" s="2"/>
      <x:c r="Q677" s="2"/>
      <x:c r="R677" s="2"/>
    </x:row>
    <x:row r="678" ht="22" customHeight="1">
      <x:c r="A678" s="2" t="n">
        <x:v>100672</x:v>
      </x:c>
      <x:c r="B678" s="10" t="n">
        <x:v>45310</x:v>
      </x:c>
      <x:c r="C678" s="2" t="str">
        <x:v>Peru</x:v>
      </x:c>
      <x:c r="D678" s="2" t="str">
        <x:v>Calçados</x:v>
      </x:c>
      <x:c r="E678" s="11" t="n">
        <x:v>49</x:v>
      </x:c>
      <x:c r="F678" s="12" t="n">
        <x:v>61.46</x:v>
      </x:c>
      <x:c r="G678" s="12" t="n">
        <x:v>3011.54</x:v>
      </x:c>
      <x:c r="H678" s="13" t="n">
        <x:v>371</x:v>
      </x:c>
      <x:c r="I678" s="13" t="n">
        <x:f>YEAR(B678)</x:f>
        <x:v>2024</x:v>
      </x:c>
      <x:c r="J678" s="13" t="n">
        <x:f>MONTH(B678)</x:f>
        <x:v>1</x:v>
      </x:c>
      <x:c r="K678" s="14" t="n">
        <x:f>ROUND(E678*F678-G678,10)</x:f>
        <x:v>0</x:v>
      </x:c>
      <x:c r="L678" s="2"/>
      <x:c r="M678" s="2"/>
      <x:c r="N678" s="2"/>
      <x:c r="O678" s="2"/>
      <x:c r="P678" s="2"/>
      <x:c r="Q678" s="2"/>
      <x:c r="R678" s="2"/>
    </x:row>
    <x:row r="679" ht="22" customHeight="1">
      <x:c r="A679" s="2" t="n">
        <x:v>100673</x:v>
      </x:c>
      <x:c r="B679" s="10" t="n">
        <x:v>45522</x:v>
      </x:c>
      <x:c r="C679" s="2" t="str">
        <x:v>Chile</x:v>
      </x:c>
      <x:c r="D679" s="2" t="str">
        <x:v>Moda Masculina</x:v>
      </x:c>
      <x:c r="E679" s="11" t="n">
        <x:v>43</x:v>
      </x:c>
      <x:c r="F679" s="12" t="n">
        <x:v>39.15</x:v>
      </x:c>
      <x:c r="G679" s="12" t="n">
        <x:v>1683.45</x:v>
      </x:c>
      <x:c r="H679" s="13" t="n">
        <x:v>450</x:v>
      </x:c>
      <x:c r="I679" s="13" t="n">
        <x:f>YEAR(B679)</x:f>
        <x:v>2024</x:v>
      </x:c>
      <x:c r="J679" s="13" t="n">
        <x:f>MONTH(B679)</x:f>
        <x:v>8</x:v>
      </x:c>
      <x:c r="K679" s="14" t="n">
        <x:f>ROUND(E679*F679-G679,10)</x:f>
        <x:v>0</x:v>
      </x:c>
      <x:c r="L679" s="2"/>
      <x:c r="M679" s="2"/>
      <x:c r="N679" s="2"/>
      <x:c r="O679" s="2"/>
      <x:c r="P679" s="2"/>
      <x:c r="Q679" s="2"/>
      <x:c r="R679" s="2"/>
    </x:row>
    <x:row r="680" ht="22" customHeight="1">
      <x:c r="A680" s="2" t="n">
        <x:v>100674</x:v>
      </x:c>
      <x:c r="B680" s="10" t="n">
        <x:v>45445</x:v>
      </x:c>
      <x:c r="C680" s="2" t="str">
        <x:v>Argentina</x:v>
      </x:c>
      <x:c r="D680" s="2" t="str">
        <x:v>Moda Masculina</x:v>
      </x:c>
      <x:c r="E680" s="11" t="n">
        <x:v>36</x:v>
      </x:c>
      <x:c r="F680" s="12" t="n">
        <x:v>167.92</x:v>
      </x:c>
      <x:c r="G680" s="12" t="n">
        <x:v>6045.12</x:v>
      </x:c>
      <x:c r="H680" s="13" t="n">
        <x:v>217</x:v>
      </x:c>
      <x:c r="I680" s="13" t="n">
        <x:f>YEAR(B680)</x:f>
        <x:v>2024</x:v>
      </x:c>
      <x:c r="J680" s="13" t="n">
        <x:f>MONTH(B680)</x:f>
        <x:v>6</x:v>
      </x:c>
      <x:c r="K680" s="14" t="n">
        <x:f>ROUND(E680*F680-G680,10)</x:f>
        <x:v>0</x:v>
      </x:c>
      <x:c r="L680" s="2"/>
      <x:c r="M680" s="2"/>
      <x:c r="N680" s="2"/>
      <x:c r="O680" s="2"/>
      <x:c r="P680" s="2"/>
      <x:c r="Q680" s="2"/>
      <x:c r="R680" s="2"/>
    </x:row>
    <x:row r="681" ht="22" customHeight="1">
      <x:c r="A681" s="2" t="n">
        <x:v>100675</x:v>
      </x:c>
      <x:c r="B681" s="10" t="n">
        <x:v>44967</x:v>
      </x:c>
      <x:c r="C681" s="2" t="str">
        <x:v>Argentina</x:v>
      </x:c>
      <x:c r="D681" s="2" t="str">
        <x:v>Acessórios</x:v>
      </x:c>
      <x:c r="E681" s="11" t="n">
        <x:v>13</x:v>
      </x:c>
      <x:c r="F681" s="12" t="n">
        <x:v>45.01</x:v>
      </x:c>
      <x:c r="G681" s="12" t="n">
        <x:v>585.13</x:v>
      </x:c>
      <x:c r="H681" s="13" t="n">
        <x:v>215</x:v>
      </x:c>
      <x:c r="I681" s="13" t="n">
        <x:f>YEAR(B681)</x:f>
        <x:v>2023</x:v>
      </x:c>
      <x:c r="J681" s="13" t="n">
        <x:f>MONTH(B681)</x:f>
        <x:v>2</x:v>
      </x:c>
      <x:c r="K681" s="14" t="n">
        <x:f>ROUND(E681*F681-G681,10)</x:f>
        <x:v>0</x:v>
      </x:c>
      <x:c r="L681" s="2"/>
      <x:c r="M681" s="2"/>
      <x:c r="N681" s="2"/>
      <x:c r="O681" s="2"/>
      <x:c r="P681" s="2"/>
      <x:c r="Q681" s="2"/>
      <x:c r="R681" s="2"/>
    </x:row>
    <x:row r="682" ht="22" customHeight="1">
      <x:c r="A682" s="2" t="n">
        <x:v>100676</x:v>
      </x:c>
      <x:c r="B682" s="10" t="n">
        <x:v>45166</x:v>
      </x:c>
      <x:c r="C682" s="2" t="str">
        <x:v>Chile</x:v>
      </x:c>
      <x:c r="D682" s="2" t="str">
        <x:v>Moda Feminina</x:v>
      </x:c>
      <x:c r="E682" s="11" t="n">
        <x:v>32</x:v>
      </x:c>
      <x:c r="F682" s="12" t="n">
        <x:v>154.51</x:v>
      </x:c>
      <x:c r="G682" s="12" t="n">
        <x:v>4944.32</x:v>
      </x:c>
      <x:c r="H682" s="13" t="n">
        <x:v>134</x:v>
      </x:c>
      <x:c r="I682" s="13" t="n">
        <x:f>YEAR(B682)</x:f>
        <x:v>2023</x:v>
      </x:c>
      <x:c r="J682" s="13" t="n">
        <x:f>MONTH(B682)</x:f>
        <x:v>8</x:v>
      </x:c>
      <x:c r="K682" s="14" t="n">
        <x:f>ROUND(E682*F682-G682,10)</x:f>
        <x:v>0</x:v>
      </x:c>
      <x:c r="L682" s="2"/>
      <x:c r="M682" s="2"/>
      <x:c r="N682" s="2"/>
      <x:c r="O682" s="2"/>
      <x:c r="P682" s="2"/>
      <x:c r="Q682" s="2"/>
      <x:c r="R682" s="2"/>
    </x:row>
    <x:row r="683" ht="22" customHeight="1">
      <x:c r="A683" s="2" t="n">
        <x:v>100677</x:v>
      </x:c>
      <x:c r="B683" s="10" t="n">
        <x:v>44927</x:v>
      </x:c>
      <x:c r="C683" s="2" t="str">
        <x:v>Peru</x:v>
      </x:c>
      <x:c r="D683" s="2" t="str">
        <x:v>Calçados</x:v>
      </x:c>
      <x:c r="E683" s="11" t="n">
        <x:v>17</x:v>
      </x:c>
      <x:c r="F683" s="12" t="n">
        <x:v>28.62</x:v>
      </x:c>
      <x:c r="G683" s="12" t="n">
        <x:v>486.54</x:v>
      </x:c>
      <x:c r="H683" s="13" t="n">
        <x:v>494</x:v>
      </x:c>
      <x:c r="I683" s="13" t="n">
        <x:f>YEAR(B683)</x:f>
        <x:v>2023</x:v>
      </x:c>
      <x:c r="J683" s="13" t="n">
        <x:f>MONTH(B683)</x:f>
        <x:v>1</x:v>
      </x:c>
      <x:c r="K683" s="14" t="n">
        <x:f>ROUND(E683*F683-G683,10)</x:f>
        <x:v>0</x:v>
      </x:c>
      <x:c r="L683" s="2"/>
      <x:c r="M683" s="2"/>
      <x:c r="N683" s="2"/>
      <x:c r="O683" s="2"/>
      <x:c r="P683" s="2"/>
      <x:c r="Q683" s="2"/>
      <x:c r="R683" s="2"/>
    </x:row>
    <x:row r="684" ht="22" customHeight="1">
      <x:c r="A684" s="2" t="n">
        <x:v>100678</x:v>
      </x:c>
      <x:c r="B684" s="10" t="n">
        <x:v>44961</x:v>
      </x:c>
      <x:c r="C684" s="2" t="str">
        <x:v>Chile</x:v>
      </x:c>
      <x:c r="D684" s="2" t="str">
        <x:v>Moda Masculina</x:v>
      </x:c>
      <x:c r="E684" s="11" t="n">
        <x:v>41</x:v>
      </x:c>
      <x:c r="F684" s="12" t="n">
        <x:v>190.73</x:v>
      </x:c>
      <x:c r="G684" s="12" t="n">
        <x:v>7819.929999999999</x:v>
      </x:c>
      <x:c r="H684" s="13" t="n">
        <x:v>186</x:v>
      </x:c>
      <x:c r="I684" s="13" t="n">
        <x:f>YEAR(B684)</x:f>
        <x:v>2023</x:v>
      </x:c>
      <x:c r="J684" s="13" t="n">
        <x:f>MONTH(B684)</x:f>
        <x:v>2</x:v>
      </x:c>
      <x:c r="K684" s="14" t="n">
        <x:f>ROUND(E684*F684-G684,10)</x:f>
        <x:v>0</x:v>
      </x:c>
      <x:c r="L684" s="2"/>
      <x:c r="M684" s="2"/>
      <x:c r="N684" s="2"/>
      <x:c r="O684" s="2"/>
      <x:c r="P684" s="2"/>
      <x:c r="Q684" s="2"/>
      <x:c r="R684" s="2"/>
    </x:row>
    <x:row r="685" ht="22" customHeight="1">
      <x:c r="A685" s="2" t="n">
        <x:v>100679</x:v>
      </x:c>
      <x:c r="B685" s="10" t="n">
        <x:v>45399</x:v>
      </x:c>
      <x:c r="C685" s="2" t="str">
        <x:v>México</x:v>
      </x:c>
      <x:c r="D685" s="2" t="str">
        <x:v>Calçados</x:v>
      </x:c>
      <x:c r="E685" s="11" t="n">
        <x:v>36</x:v>
      </x:c>
      <x:c r="F685" s="12" t="n">
        <x:v>148.01</x:v>
      </x:c>
      <x:c r="G685" s="12" t="n">
        <x:v>5328.36</x:v>
      </x:c>
      <x:c r="H685" s="13" t="n">
        <x:v>238</x:v>
      </x:c>
      <x:c r="I685" s="13" t="n">
        <x:f>YEAR(B685)</x:f>
        <x:v>2024</x:v>
      </x:c>
      <x:c r="J685" s="13" t="n">
        <x:f>MONTH(B685)</x:f>
        <x:v>4</x:v>
      </x:c>
      <x:c r="K685" s="14" t="n">
        <x:f>ROUND(E685*F685-G685,10)</x:f>
        <x:v>0</x:v>
      </x:c>
      <x:c r="L685" s="2"/>
      <x:c r="M685" s="2"/>
      <x:c r="N685" s="2"/>
      <x:c r="O685" s="2"/>
      <x:c r="P685" s="2"/>
      <x:c r="Q685" s="2"/>
      <x:c r="R685" s="2"/>
    </x:row>
    <x:row r="686" ht="22" customHeight="1">
      <x:c r="A686" s="2" t="n">
        <x:v>100680</x:v>
      </x:c>
      <x:c r="B686" s="10" t="n">
        <x:v>45630</x:v>
      </x:c>
      <x:c r="C686" s="2" t="str">
        <x:v>México</x:v>
      </x:c>
      <x:c r="D686" s="2" t="str">
        <x:v>Moda Masculina</x:v>
      </x:c>
      <x:c r="E686" s="11" t="n">
        <x:v>46</x:v>
      </x:c>
      <x:c r="F686" s="12" t="n">
        <x:v>21.22</x:v>
      </x:c>
      <x:c r="G686" s="12" t="n">
        <x:v>976.1199999999999</x:v>
      </x:c>
      <x:c r="H686" s="13" t="n">
        <x:v>449</x:v>
      </x:c>
      <x:c r="I686" s="13" t="n">
        <x:f>YEAR(B686)</x:f>
        <x:v>2024</x:v>
      </x:c>
      <x:c r="J686" s="13" t="n">
        <x:f>MONTH(B686)</x:f>
        <x:v>12</x:v>
      </x:c>
      <x:c r="K686" s="14" t="n">
        <x:f>ROUND(E686*F686-G686,10)</x:f>
        <x:v>0</x:v>
      </x:c>
      <x:c r="L686" s="2"/>
      <x:c r="M686" s="2"/>
      <x:c r="N686" s="2"/>
      <x:c r="O686" s="2"/>
      <x:c r="P686" s="2"/>
      <x:c r="Q686" s="2"/>
      <x:c r="R686" s="2"/>
    </x:row>
    <x:row r="687" ht="22" customHeight="1">
      <x:c r="A687" s="2" t="n">
        <x:v>100681</x:v>
      </x:c>
      <x:c r="B687" s="10" t="n">
        <x:v>45477</x:v>
      </x:c>
      <x:c r="C687" s="2" t="str">
        <x:v>Argentina</x:v>
      </x:c>
      <x:c r="D687" s="2" t="str">
        <x:v>Calçados</x:v>
      </x:c>
      <x:c r="E687" s="11" t="n">
        <x:v>19</x:v>
      </x:c>
      <x:c r="F687" s="12" t="n">
        <x:v>157.49</x:v>
      </x:c>
      <x:c r="G687" s="12" t="n">
        <x:v>2992.31</x:v>
      </x:c>
      <x:c r="H687" s="13" t="n">
        <x:v>428</x:v>
      </x:c>
      <x:c r="I687" s="13" t="n">
        <x:f>YEAR(B687)</x:f>
        <x:v>2024</x:v>
      </x:c>
      <x:c r="J687" s="13" t="n">
        <x:f>MONTH(B687)</x:f>
        <x:v>7</x:v>
      </x:c>
      <x:c r="K687" s="14" t="n">
        <x:f>ROUND(E687*F687-G687,10)</x:f>
        <x:v>0</x:v>
      </x:c>
      <x:c r="L687" s="2"/>
      <x:c r="M687" s="2"/>
      <x:c r="N687" s="2"/>
      <x:c r="O687" s="2"/>
      <x:c r="P687" s="2"/>
      <x:c r="Q687" s="2"/>
      <x:c r="R687" s="2"/>
    </x:row>
    <x:row r="688" ht="22" customHeight="1">
      <x:c r="A688" s="2" t="n">
        <x:v>100682</x:v>
      </x:c>
      <x:c r="B688" s="10" t="n">
        <x:v>45060</x:v>
      </x:c>
      <x:c r="C688" s="2" t="str">
        <x:v>Colômbia</x:v>
      </x:c>
      <x:c r="D688" s="2" t="str">
        <x:v>Moda Infantil</x:v>
      </x:c>
      <x:c r="E688" s="11" t="n">
        <x:v>35</x:v>
      </x:c>
      <x:c r="F688" s="12" t="n">
        <x:v>112.53</x:v>
      </x:c>
      <x:c r="G688" s="12" t="n">
        <x:v>3938.55</x:v>
      </x:c>
      <x:c r="H688" s="13" t="n">
        <x:v>51</x:v>
      </x:c>
      <x:c r="I688" s="13" t="n">
        <x:f>YEAR(B688)</x:f>
        <x:v>2023</x:v>
      </x:c>
      <x:c r="J688" s="13" t="n">
        <x:f>MONTH(B688)</x:f>
        <x:v>5</x:v>
      </x:c>
      <x:c r="K688" s="14" t="n">
        <x:f>ROUND(E688*F688-G688,10)</x:f>
        <x:v>0</x:v>
      </x:c>
      <x:c r="L688" s="2"/>
      <x:c r="M688" s="2"/>
      <x:c r="N688" s="2"/>
      <x:c r="O688" s="2"/>
      <x:c r="P688" s="2"/>
      <x:c r="Q688" s="2"/>
      <x:c r="R688" s="2"/>
    </x:row>
    <x:row r="689" ht="22" customHeight="1">
      <x:c r="A689" s="2" t="n">
        <x:v>100683</x:v>
      </x:c>
      <x:c r="B689" s="10" t="n">
        <x:v>45446</x:v>
      </x:c>
      <x:c r="C689" s="2" t="str">
        <x:v>Peru</x:v>
      </x:c>
      <x:c r="D689" s="2" t="str">
        <x:v>Moda Masculina</x:v>
      </x:c>
      <x:c r="E689" s="11" t="n">
        <x:v>46</x:v>
      </x:c>
      <x:c r="F689" s="12" t="n">
        <x:v>160.29</x:v>
      </x:c>
      <x:c r="G689" s="12" t="n">
        <x:v>7373.339999999999</x:v>
      </x:c>
      <x:c r="H689" s="13" t="n">
        <x:v>155</x:v>
      </x:c>
      <x:c r="I689" s="13" t="n">
        <x:f>YEAR(B689)</x:f>
        <x:v>2024</x:v>
      </x:c>
      <x:c r="J689" s="13" t="n">
        <x:f>MONTH(B689)</x:f>
        <x:v>6</x:v>
      </x:c>
      <x:c r="K689" s="14" t="n">
        <x:f>ROUND(E689*F689-G689,10)</x:f>
        <x:v>0</x:v>
      </x:c>
      <x:c r="L689" s="2"/>
      <x:c r="M689" s="2"/>
      <x:c r="N689" s="2"/>
      <x:c r="O689" s="2"/>
      <x:c r="P689" s="2"/>
      <x:c r="Q689" s="2"/>
      <x:c r="R689" s="2"/>
    </x:row>
    <x:row r="690" ht="22" customHeight="1">
      <x:c r="A690" s="2" t="n">
        <x:v>100684</x:v>
      </x:c>
      <x:c r="B690" s="10" t="n">
        <x:v>45517</x:v>
      </x:c>
      <x:c r="C690" s="2" t="str">
        <x:v>Argentina</x:v>
      </x:c>
      <x:c r="D690" s="2" t="str">
        <x:v>Calçados</x:v>
      </x:c>
      <x:c r="E690" s="11" t="n">
        <x:v>40</x:v>
      </x:c>
      <x:c r="F690" s="12" t="n">
        <x:v>114.05</x:v>
      </x:c>
      <x:c r="G690" s="12" t="n">
        <x:v>4562</x:v>
      </x:c>
      <x:c r="H690" s="13" t="n">
        <x:v>413</x:v>
      </x:c>
      <x:c r="I690" s="13" t="n">
        <x:f>YEAR(B690)</x:f>
        <x:v>2024</x:v>
      </x:c>
      <x:c r="J690" s="13" t="n">
        <x:f>MONTH(B690)</x:f>
        <x:v>8</x:v>
      </x:c>
      <x:c r="K690" s="14" t="n">
        <x:f>ROUND(E690*F690-G690,10)</x:f>
        <x:v>0</x:v>
      </x:c>
      <x:c r="L690" s="2"/>
      <x:c r="M690" s="2"/>
      <x:c r="N690" s="2"/>
      <x:c r="O690" s="2"/>
      <x:c r="P690" s="2"/>
      <x:c r="Q690" s="2"/>
      <x:c r="R690" s="2"/>
    </x:row>
    <x:row r="691" ht="22" customHeight="1">
      <x:c r="A691" s="2" t="n">
        <x:v>100685</x:v>
      </x:c>
      <x:c r="B691" s="10" t="n">
        <x:v>45254</x:v>
      </x:c>
      <x:c r="C691" s="2" t="str">
        <x:v>Colômbia</x:v>
      </x:c>
      <x:c r="D691" s="2" t="str">
        <x:v>Moda Feminina</x:v>
      </x:c>
      <x:c r="E691" s="11" t="n">
        <x:v>28</x:v>
      </x:c>
      <x:c r="F691" s="12" t="n">
        <x:v>135.38</x:v>
      </x:c>
      <x:c r="G691" s="12" t="n">
        <x:v>3790.64</x:v>
      </x:c>
      <x:c r="H691" s="13" t="n">
        <x:v>121</x:v>
      </x:c>
      <x:c r="I691" s="13" t="n">
        <x:f>YEAR(B691)</x:f>
        <x:v>2023</x:v>
      </x:c>
      <x:c r="J691" s="13" t="n">
        <x:f>MONTH(B691)</x:f>
        <x:v>11</x:v>
      </x:c>
      <x:c r="K691" s="14" t="n">
        <x:f>ROUND(E691*F691-G691,10)</x:f>
        <x:v>0</x:v>
      </x:c>
      <x:c r="L691" s="2"/>
      <x:c r="M691" s="2"/>
      <x:c r="N691" s="2"/>
      <x:c r="O691" s="2"/>
      <x:c r="P691" s="2"/>
      <x:c r="Q691" s="2"/>
      <x:c r="R691" s="2"/>
    </x:row>
    <x:row r="692" ht="22" customHeight="1">
      <x:c r="A692" s="2" t="n">
        <x:v>100686</x:v>
      </x:c>
      <x:c r="B692" s="10" t="n">
        <x:v>45582</x:v>
      </x:c>
      <x:c r="C692" s="2" t="str">
        <x:v>Colômbia</x:v>
      </x:c>
      <x:c r="D692" s="2" t="str">
        <x:v>Moda Infantil</x:v>
      </x:c>
      <x:c r="E692" s="11" t="n">
        <x:v>1</x:v>
      </x:c>
      <x:c r="F692" s="12" t="n">
        <x:v>161.54</x:v>
      </x:c>
      <x:c r="G692" s="12" t="n">
        <x:v>161.54</x:v>
      </x:c>
      <x:c r="H692" s="13" t="n">
        <x:v>476</x:v>
      </x:c>
      <x:c r="I692" s="13" t="n">
        <x:f>YEAR(B692)</x:f>
        <x:v>2024</x:v>
      </x:c>
      <x:c r="J692" s="13" t="n">
        <x:f>MONTH(B692)</x:f>
        <x:v>10</x:v>
      </x:c>
      <x:c r="K692" s="14" t="n">
        <x:f>ROUND(E692*F692-G692,10)</x:f>
        <x:v>0</x:v>
      </x:c>
      <x:c r="L692" s="2"/>
      <x:c r="M692" s="2"/>
      <x:c r="N692" s="2"/>
      <x:c r="O692" s="2"/>
      <x:c r="P692" s="2"/>
      <x:c r="Q692" s="2"/>
      <x:c r="R692" s="2"/>
    </x:row>
    <x:row r="693" ht="22" customHeight="1">
      <x:c r="A693" s="2" t="n">
        <x:v>100687</x:v>
      </x:c>
      <x:c r="B693" s="10" t="n">
        <x:v>45296</x:v>
      </x:c>
      <x:c r="C693" s="2" t="str">
        <x:v>México</x:v>
      </x:c>
      <x:c r="D693" s="2" t="str">
        <x:v>Moda Infantil</x:v>
      </x:c>
      <x:c r="E693" s="11" t="n">
        <x:v>42</x:v>
      </x:c>
      <x:c r="F693" s="12" t="n">
        <x:v>92.92</x:v>
      </x:c>
      <x:c r="G693" s="12" t="n">
        <x:v>3902.64</x:v>
      </x:c>
      <x:c r="H693" s="13" t="n">
        <x:v>175</x:v>
      </x:c>
      <x:c r="I693" s="13" t="n">
        <x:f>YEAR(B693)</x:f>
        <x:v>2024</x:v>
      </x:c>
      <x:c r="J693" s="13" t="n">
        <x:f>MONTH(B693)</x:f>
        <x:v>1</x:v>
      </x:c>
      <x:c r="K693" s="14" t="n">
        <x:f>ROUND(E693*F693-G693,10)</x:f>
        <x:v>0</x:v>
      </x:c>
      <x:c r="L693" s="2"/>
      <x:c r="M693" s="2"/>
      <x:c r="N693" s="2"/>
      <x:c r="O693" s="2"/>
      <x:c r="P693" s="2"/>
      <x:c r="Q693" s="2"/>
      <x:c r="R693" s="2"/>
    </x:row>
    <x:row r="694" ht="22" customHeight="1">
      <x:c r="A694" s="2" t="n">
        <x:v>100688</x:v>
      </x:c>
      <x:c r="B694" s="10" t="n">
        <x:v>45588</x:v>
      </x:c>
      <x:c r="C694" s="2" t="str">
        <x:v>Brasil</x:v>
      </x:c>
      <x:c r="D694" s="2" t="str">
        <x:v>Moda Feminina</x:v>
      </x:c>
      <x:c r="E694" s="11" t="n">
        <x:v>18</x:v>
      </x:c>
      <x:c r="F694" s="12" t="n">
        <x:v>20.49</x:v>
      </x:c>
      <x:c r="G694" s="12" t="n">
        <x:v>368.82</x:v>
      </x:c>
      <x:c r="H694" s="13" t="n">
        <x:v>219</x:v>
      </x:c>
      <x:c r="I694" s="13" t="n">
        <x:f>YEAR(B694)</x:f>
        <x:v>2024</x:v>
      </x:c>
      <x:c r="J694" s="13" t="n">
        <x:f>MONTH(B694)</x:f>
        <x:v>10</x:v>
      </x:c>
      <x:c r="K694" s="14" t="n">
        <x:f>ROUND(E694*F694-G694,10)</x:f>
        <x:v>0</x:v>
      </x:c>
      <x:c r="L694" s="2"/>
      <x:c r="M694" s="2"/>
      <x:c r="N694" s="2"/>
      <x:c r="O694" s="2"/>
      <x:c r="P694" s="2"/>
      <x:c r="Q694" s="2"/>
      <x:c r="R694" s="2"/>
    </x:row>
    <x:row r="695" ht="22" customHeight="1">
      <x:c r="A695" s="2" t="n">
        <x:v>100689</x:v>
      </x:c>
      <x:c r="B695" s="10" t="n">
        <x:v>45396</x:v>
      </x:c>
      <x:c r="C695" s="2" t="str">
        <x:v>Brasil</x:v>
      </x:c>
      <x:c r="D695" s="2" t="str">
        <x:v>Calçados</x:v>
      </x:c>
      <x:c r="E695" s="11" t="n">
        <x:v>48</x:v>
      </x:c>
      <x:c r="F695" s="12" t="n">
        <x:v>172.99</x:v>
      </x:c>
      <x:c r="G695" s="12" t="n">
        <x:v>8303.52</x:v>
      </x:c>
      <x:c r="H695" s="13" t="n">
        <x:v>254</x:v>
      </x:c>
      <x:c r="I695" s="13" t="n">
        <x:f>YEAR(B695)</x:f>
        <x:v>2024</x:v>
      </x:c>
      <x:c r="J695" s="13" t="n">
        <x:f>MONTH(B695)</x:f>
        <x:v>4</x:v>
      </x:c>
      <x:c r="K695" s="14" t="n">
        <x:f>ROUND(E695*F695-G695,10)</x:f>
        <x:v>0</x:v>
      </x:c>
      <x:c r="L695" s="2"/>
      <x:c r="M695" s="2"/>
      <x:c r="N695" s="2"/>
      <x:c r="O695" s="2"/>
      <x:c r="P695" s="2"/>
      <x:c r="Q695" s="2"/>
      <x:c r="R695" s="2"/>
    </x:row>
    <x:row r="696" ht="22" customHeight="1">
      <x:c r="A696" s="2" t="n">
        <x:v>100690</x:v>
      </x:c>
      <x:c r="B696" s="10" t="n">
        <x:v>45276</x:v>
      </x:c>
      <x:c r="C696" s="2" t="str">
        <x:v>Chile</x:v>
      </x:c>
      <x:c r="D696" s="2" t="str">
        <x:v>Acessórios</x:v>
      </x:c>
      <x:c r="E696" s="11" t="n">
        <x:v>40</x:v>
      </x:c>
      <x:c r="F696" s="12" t="n">
        <x:v>88.56</x:v>
      </x:c>
      <x:c r="G696" s="12" t="n">
        <x:v>3542.4</x:v>
      </x:c>
      <x:c r="H696" s="13" t="n">
        <x:v>362</x:v>
      </x:c>
      <x:c r="I696" s="13" t="n">
        <x:f>YEAR(B696)</x:f>
        <x:v>2023</x:v>
      </x:c>
      <x:c r="J696" s="13" t="n">
        <x:f>MONTH(B696)</x:f>
        <x:v>12</x:v>
      </x:c>
      <x:c r="K696" s="14" t="n">
        <x:f>ROUND(E696*F696-G696,10)</x:f>
        <x:v>0</x:v>
      </x:c>
      <x:c r="L696" s="2"/>
      <x:c r="M696" s="2"/>
      <x:c r="N696" s="2"/>
      <x:c r="O696" s="2"/>
      <x:c r="P696" s="2"/>
      <x:c r="Q696" s="2"/>
      <x:c r="R696" s="2"/>
    </x:row>
    <x:row r="697" ht="22" customHeight="1">
      <x:c r="A697" s="2" t="n">
        <x:v>100691</x:v>
      </x:c>
      <x:c r="B697" s="10" t="n">
        <x:v>45327</x:v>
      </x:c>
      <x:c r="C697" s="2" t="str">
        <x:v>México</x:v>
      </x:c>
      <x:c r="D697" s="2" t="str">
        <x:v>Moda Feminina</x:v>
      </x:c>
      <x:c r="E697" s="11" t="n">
        <x:v>33</x:v>
      </x:c>
      <x:c r="F697" s="12" t="n">
        <x:v>109.29</x:v>
      </x:c>
      <x:c r="G697" s="12" t="n">
        <x:v>3606.57</x:v>
      </x:c>
      <x:c r="H697" s="13" t="n">
        <x:v>386</x:v>
      </x:c>
      <x:c r="I697" s="13" t="n">
        <x:f>YEAR(B697)</x:f>
        <x:v>2024</x:v>
      </x:c>
      <x:c r="J697" s="13" t="n">
        <x:f>MONTH(B697)</x:f>
        <x:v>2</x:v>
      </x:c>
      <x:c r="K697" s="14" t="n">
        <x:f>ROUND(E697*F697-G697,10)</x:f>
        <x:v>0</x:v>
      </x:c>
      <x:c r="L697" s="2"/>
      <x:c r="M697" s="2"/>
      <x:c r="N697" s="2"/>
      <x:c r="O697" s="2"/>
      <x:c r="P697" s="2"/>
      <x:c r="Q697" s="2"/>
      <x:c r="R697" s="2"/>
    </x:row>
    <x:row r="698" ht="22" customHeight="1">
      <x:c r="A698" s="2" t="n">
        <x:v>100692</x:v>
      </x:c>
      <x:c r="B698" s="10" t="n">
        <x:v>45572</x:v>
      </x:c>
      <x:c r="C698" s="2" t="str">
        <x:v>Colômbia</x:v>
      </x:c>
      <x:c r="D698" s="2" t="str">
        <x:v>Calçados</x:v>
      </x:c>
      <x:c r="E698" s="11" t="n">
        <x:v>12</x:v>
      </x:c>
      <x:c r="F698" s="12" t="n">
        <x:v>21.4</x:v>
      </x:c>
      <x:c r="G698" s="12" t="n">
        <x:v>256.8</x:v>
      </x:c>
      <x:c r="H698" s="13" t="n">
        <x:v>244</x:v>
      </x:c>
      <x:c r="I698" s="13" t="n">
        <x:f>YEAR(B698)</x:f>
        <x:v>2024</x:v>
      </x:c>
      <x:c r="J698" s="13" t="n">
        <x:f>MONTH(B698)</x:f>
        <x:v>10</x:v>
      </x:c>
      <x:c r="K698" s="14" t="n">
        <x:f>ROUND(E698*F698-G698,10)</x:f>
        <x:v>0</x:v>
      </x:c>
      <x:c r="L698" s="2"/>
      <x:c r="M698" s="2"/>
      <x:c r="N698" s="2"/>
      <x:c r="O698" s="2"/>
      <x:c r="P698" s="2"/>
      <x:c r="Q698" s="2"/>
      <x:c r="R698" s="2"/>
    </x:row>
    <x:row r="699" ht="22" customHeight="1">
      <x:c r="A699" s="2" t="n">
        <x:v>100693</x:v>
      </x:c>
      <x:c r="B699" s="10" t="n">
        <x:v>45423</x:v>
      </x:c>
      <x:c r="C699" s="2" t="str">
        <x:v>Peru</x:v>
      </x:c>
      <x:c r="D699" s="2" t="str">
        <x:v>Moda Feminina</x:v>
      </x:c>
      <x:c r="E699" s="11" t="n">
        <x:v>8</x:v>
      </x:c>
      <x:c r="F699" s="12" t="n">
        <x:v>108.58</x:v>
      </x:c>
      <x:c r="G699" s="12" t="n">
        <x:v>868.64</x:v>
      </x:c>
      <x:c r="H699" s="13" t="n">
        <x:v>207</x:v>
      </x:c>
      <x:c r="I699" s="13" t="n">
        <x:f>YEAR(B699)</x:f>
        <x:v>2024</x:v>
      </x:c>
      <x:c r="J699" s="13" t="n">
        <x:f>MONTH(B699)</x:f>
        <x:v>5</x:v>
      </x:c>
      <x:c r="K699" s="14" t="n">
        <x:f>ROUND(E699*F699-G699,10)</x:f>
        <x:v>0</x:v>
      </x:c>
      <x:c r="L699" s="2"/>
      <x:c r="M699" s="2"/>
      <x:c r="N699" s="2"/>
      <x:c r="O699" s="2"/>
      <x:c r="P699" s="2"/>
      <x:c r="Q699" s="2"/>
      <x:c r="R699" s="2"/>
    </x:row>
    <x:row r="700" ht="22" customHeight="1">
      <x:c r="A700" s="2" t="n">
        <x:v>100694</x:v>
      </x:c>
      <x:c r="B700" s="10" t="n">
        <x:v>45487</x:v>
      </x:c>
      <x:c r="C700" s="2" t="str">
        <x:v>Brasil</x:v>
      </x:c>
      <x:c r="D700" s="2" t="str">
        <x:v>Moda Feminina</x:v>
      </x:c>
      <x:c r="E700" s="11" t="n">
        <x:v>24</x:v>
      </x:c>
      <x:c r="F700" s="12" t="n">
        <x:v>197.57</x:v>
      </x:c>
      <x:c r="G700" s="12" t="n">
        <x:v>4741.68</x:v>
      </x:c>
      <x:c r="H700" s="13" t="n">
        <x:v>190</x:v>
      </x:c>
      <x:c r="I700" s="13" t="n">
        <x:f>YEAR(B700)</x:f>
        <x:v>2024</x:v>
      </x:c>
      <x:c r="J700" s="13" t="n">
        <x:f>MONTH(B700)</x:f>
        <x:v>7</x:v>
      </x:c>
      <x:c r="K700" s="14" t="n">
        <x:f>ROUND(E700*F700-G700,10)</x:f>
        <x:v>0</x:v>
      </x:c>
      <x:c r="L700" s="2"/>
      <x:c r="M700" s="2"/>
      <x:c r="N700" s="2"/>
      <x:c r="O700" s="2"/>
      <x:c r="P700" s="2"/>
      <x:c r="Q700" s="2"/>
      <x:c r="R700" s="2"/>
    </x:row>
    <x:row r="701" ht="22" customHeight="1">
      <x:c r="A701" s="2" t="n">
        <x:v>100695</x:v>
      </x:c>
      <x:c r="B701" s="10" t="n">
        <x:v>44932</x:v>
      </x:c>
      <x:c r="C701" s="2" t="str">
        <x:v>Colômbia</x:v>
      </x:c>
      <x:c r="D701" s="2" t="str">
        <x:v>Moda Masculina</x:v>
      </x:c>
      <x:c r="E701" s="11" t="n">
        <x:v>16</x:v>
      </x:c>
      <x:c r="F701" s="12" t="n">
        <x:v>70.09</x:v>
      </x:c>
      <x:c r="G701" s="12" t="n">
        <x:v>1121.44</x:v>
      </x:c>
      <x:c r="H701" s="13" t="n">
        <x:v>324</x:v>
      </x:c>
      <x:c r="I701" s="13" t="n">
        <x:f>YEAR(B701)</x:f>
        <x:v>2023</x:v>
      </x:c>
      <x:c r="J701" s="13" t="n">
        <x:f>MONTH(B701)</x:f>
        <x:v>1</x:v>
      </x:c>
      <x:c r="K701" s="14" t="n">
        <x:f>ROUND(E701*F701-G701,10)</x:f>
        <x:v>0</x:v>
      </x:c>
      <x:c r="L701" s="2"/>
      <x:c r="M701" s="2"/>
      <x:c r="N701" s="2"/>
      <x:c r="O701" s="2"/>
      <x:c r="P701" s="2"/>
      <x:c r="Q701" s="2"/>
      <x:c r="R701" s="2"/>
    </x:row>
    <x:row r="702" ht="22" customHeight="1">
      <x:c r="A702" s="2" t="n">
        <x:v>100696</x:v>
      </x:c>
      <x:c r="B702" s="10" t="n">
        <x:v>45584</x:v>
      </x:c>
      <x:c r="C702" s="2" t="str">
        <x:v>Brasil</x:v>
      </x:c>
      <x:c r="D702" s="2" t="str">
        <x:v>Calçados</x:v>
      </x:c>
      <x:c r="E702" s="11" t="n">
        <x:v>4</x:v>
      </x:c>
      <x:c r="F702" s="12" t="n">
        <x:v>91.18</x:v>
      </x:c>
      <x:c r="G702" s="12" t="n">
        <x:v>364.72</x:v>
      </x:c>
      <x:c r="H702" s="13" t="n">
        <x:v>56</x:v>
      </x:c>
      <x:c r="I702" s="13" t="n">
        <x:f>YEAR(B702)</x:f>
        <x:v>2024</x:v>
      </x:c>
      <x:c r="J702" s="13" t="n">
        <x:f>MONTH(B702)</x:f>
        <x:v>10</x:v>
      </x:c>
      <x:c r="K702" s="14" t="n">
        <x:f>ROUND(E702*F702-G702,10)</x:f>
        <x:v>0</x:v>
      </x:c>
      <x:c r="L702" s="2"/>
      <x:c r="M702" s="2"/>
      <x:c r="N702" s="2"/>
      <x:c r="O702" s="2"/>
      <x:c r="P702" s="2"/>
      <x:c r="Q702" s="2"/>
      <x:c r="R702" s="2"/>
    </x:row>
    <x:row r="703" ht="22" customHeight="1">
      <x:c r="A703" s="2" t="n">
        <x:v>100697</x:v>
      </x:c>
      <x:c r="B703" s="10" t="n">
        <x:v>45069</x:v>
      </x:c>
      <x:c r="C703" s="2" t="str">
        <x:v>Brasil</x:v>
      </x:c>
      <x:c r="D703" s="2" t="str">
        <x:v>Acessórios</x:v>
      </x:c>
      <x:c r="E703" s="11" t="n">
        <x:v>38</x:v>
      </x:c>
      <x:c r="F703" s="12" t="n">
        <x:v>143.69</x:v>
      </x:c>
      <x:c r="G703" s="12" t="n">
        <x:v>5460.22</x:v>
      </x:c>
      <x:c r="H703" s="13" t="n">
        <x:v>442</x:v>
      </x:c>
      <x:c r="I703" s="13" t="n">
        <x:f>YEAR(B703)</x:f>
        <x:v>2023</x:v>
      </x:c>
      <x:c r="J703" s="13" t="n">
        <x:f>MONTH(B703)</x:f>
        <x:v>5</x:v>
      </x:c>
      <x:c r="K703" s="14" t="n">
        <x:f>ROUND(E703*F703-G703,10)</x:f>
        <x:v>0</x:v>
      </x:c>
      <x:c r="L703" s="2"/>
      <x:c r="M703" s="2"/>
      <x:c r="N703" s="2"/>
      <x:c r="O703" s="2"/>
      <x:c r="P703" s="2"/>
      <x:c r="Q703" s="2"/>
      <x:c r="R703" s="2"/>
    </x:row>
    <x:row r="704" ht="22" customHeight="1">
      <x:c r="A704" s="2" t="n">
        <x:v>100698</x:v>
      </x:c>
      <x:c r="B704" s="10" t="n">
        <x:v>45212</x:v>
      </x:c>
      <x:c r="C704" s="2" t="str">
        <x:v>Brasil</x:v>
      </x:c>
      <x:c r="D704" s="2" t="str">
        <x:v>Moda Masculina</x:v>
      </x:c>
      <x:c r="E704" s="11" t="n">
        <x:v>44</x:v>
      </x:c>
      <x:c r="F704" s="12" t="n">
        <x:v>166.66</x:v>
      </x:c>
      <x:c r="G704" s="12" t="n">
        <x:v>7333.04</x:v>
      </x:c>
      <x:c r="H704" s="13" t="n">
        <x:v>103</x:v>
      </x:c>
      <x:c r="I704" s="13" t="n">
        <x:f>YEAR(B704)</x:f>
        <x:v>2023</x:v>
      </x:c>
      <x:c r="J704" s="13" t="n">
        <x:f>MONTH(B704)</x:f>
        <x:v>10</x:v>
      </x:c>
      <x:c r="K704" s="14" t="n">
        <x:f>ROUND(E704*F704-G704,10)</x:f>
        <x:v>0</x:v>
      </x:c>
      <x:c r="L704" s="2"/>
      <x:c r="M704" s="2"/>
      <x:c r="N704" s="2"/>
      <x:c r="O704" s="2"/>
      <x:c r="P704" s="2"/>
      <x:c r="Q704" s="2"/>
      <x:c r="R704" s="2"/>
    </x:row>
    <x:row r="705" ht="22" customHeight="1">
      <x:c r="A705" s="2" t="n">
        <x:v>100699</x:v>
      </x:c>
      <x:c r="B705" s="10" t="n">
        <x:v>45490</x:v>
      </x:c>
      <x:c r="C705" s="2" t="str">
        <x:v>Peru</x:v>
      </x:c>
      <x:c r="D705" s="2" t="str">
        <x:v>Moda Feminina</x:v>
      </x:c>
      <x:c r="E705" s="11" t="n">
        <x:v>27</x:v>
      </x:c>
      <x:c r="F705" s="12" t="n">
        <x:v>95.13</x:v>
      </x:c>
      <x:c r="G705" s="12" t="n">
        <x:v>2568.51</x:v>
      </x:c>
      <x:c r="H705" s="13" t="n">
        <x:v>153</x:v>
      </x:c>
      <x:c r="I705" s="13" t="n">
        <x:f>YEAR(B705)</x:f>
        <x:v>2024</x:v>
      </x:c>
      <x:c r="J705" s="13" t="n">
        <x:f>MONTH(B705)</x:f>
        <x:v>7</x:v>
      </x:c>
      <x:c r="K705" s="14" t="n">
        <x:f>ROUND(E705*F705-G705,10)</x:f>
        <x:v>0</x:v>
      </x:c>
      <x:c r="L705" s="2"/>
      <x:c r="M705" s="2"/>
      <x:c r="N705" s="2"/>
      <x:c r="O705" s="2"/>
      <x:c r="P705" s="2"/>
      <x:c r="Q705" s="2"/>
      <x:c r="R705" s="2"/>
    </x:row>
    <x:row r="706" ht="22" customHeight="1">
      <x:c r="A706" s="2" t="n">
        <x:v>100700</x:v>
      </x:c>
      <x:c r="B706" s="10" t="n">
        <x:v>45623</x:v>
      </x:c>
      <x:c r="C706" s="2" t="str">
        <x:v>México</x:v>
      </x:c>
      <x:c r="D706" s="2" t="str">
        <x:v>Moda Feminina</x:v>
      </x:c>
      <x:c r="E706" s="11" t="n">
        <x:v>9</x:v>
      </x:c>
      <x:c r="F706" s="12" t="n">
        <x:v>75.74</x:v>
      </x:c>
      <x:c r="G706" s="12" t="n">
        <x:v>681.66</x:v>
      </x:c>
      <x:c r="H706" s="13" t="n">
        <x:v>391</x:v>
      </x:c>
      <x:c r="I706" s="13" t="n">
        <x:f>YEAR(B706)</x:f>
        <x:v>2024</x:v>
      </x:c>
      <x:c r="J706" s="13" t="n">
        <x:f>MONTH(B706)</x:f>
        <x:v>11</x:v>
      </x:c>
      <x:c r="K706" s="14" t="n">
        <x:f>ROUND(E706*F706-G706,10)</x:f>
        <x:v>0</x:v>
      </x:c>
      <x:c r="L706" s="2"/>
      <x:c r="M706" s="2"/>
      <x:c r="N706" s="2"/>
      <x:c r="O706" s="2"/>
      <x:c r="P706" s="2"/>
      <x:c r="Q706" s="2"/>
      <x:c r="R706" s="2"/>
    </x:row>
    <x:row r="707" ht="22" customHeight="1">
      <x:c r="A707" s="2" t="n">
        <x:v>100701</x:v>
      </x:c>
      <x:c r="B707" s="10" t="n">
        <x:v>45305</x:v>
      </x:c>
      <x:c r="C707" s="2" t="str">
        <x:v>Peru</x:v>
      </x:c>
      <x:c r="D707" s="2" t="str">
        <x:v>Moda Feminina</x:v>
      </x:c>
      <x:c r="E707" s="11" t="n">
        <x:v>47</x:v>
      </x:c>
      <x:c r="F707" s="12" t="n">
        <x:v>188.81</x:v>
      </x:c>
      <x:c r="G707" s="12" t="n">
        <x:v>8874.07</x:v>
      </x:c>
      <x:c r="H707" s="13" t="n">
        <x:v>387</x:v>
      </x:c>
      <x:c r="I707" s="13" t="n">
        <x:f>YEAR(B707)</x:f>
        <x:v>2024</x:v>
      </x:c>
      <x:c r="J707" s="13" t="n">
        <x:f>MONTH(B707)</x:f>
        <x:v>1</x:v>
      </x:c>
      <x:c r="K707" s="14" t="n">
        <x:f>ROUND(E707*F707-G707,10)</x:f>
        <x:v>0</x:v>
      </x:c>
      <x:c r="L707" s="2"/>
      <x:c r="M707" s="2"/>
      <x:c r="N707" s="2"/>
      <x:c r="O707" s="2"/>
      <x:c r="P707" s="2"/>
      <x:c r="Q707" s="2"/>
      <x:c r="R707" s="2"/>
    </x:row>
    <x:row r="708" ht="22" customHeight="1">
      <x:c r="A708" s="2" t="n">
        <x:v>100702</x:v>
      </x:c>
      <x:c r="B708" s="10" t="n">
        <x:v>44972</x:v>
      </x:c>
      <x:c r="C708" s="2" t="str">
        <x:v>Argentina</x:v>
      </x:c>
      <x:c r="D708" s="2" t="str">
        <x:v>Calçados</x:v>
      </x:c>
      <x:c r="E708" s="11" t="n">
        <x:v>16</x:v>
      </x:c>
      <x:c r="F708" s="12" t="n">
        <x:v>141.89</x:v>
      </x:c>
      <x:c r="G708" s="12" t="n">
        <x:v>2270.24</x:v>
      </x:c>
      <x:c r="H708" s="13" t="n">
        <x:v>110</x:v>
      </x:c>
      <x:c r="I708" s="13" t="n">
        <x:f>YEAR(B708)</x:f>
        <x:v>2023</x:v>
      </x:c>
      <x:c r="J708" s="13" t="n">
        <x:f>MONTH(B708)</x:f>
        <x:v>2</x:v>
      </x:c>
      <x:c r="K708" s="14" t="n">
        <x:f>ROUND(E708*F708-G708,10)</x:f>
        <x:v>0</x:v>
      </x:c>
      <x:c r="L708" s="2"/>
      <x:c r="M708" s="2"/>
      <x:c r="N708" s="2"/>
      <x:c r="O708" s="2"/>
      <x:c r="P708" s="2"/>
      <x:c r="Q708" s="2"/>
      <x:c r="R708" s="2"/>
    </x:row>
    <x:row r="709" ht="22" customHeight="1">
      <x:c r="A709" s="2" t="n">
        <x:v>100703</x:v>
      </x:c>
      <x:c r="B709" s="10" t="n">
        <x:v>44993</x:v>
      </x:c>
      <x:c r="C709" s="2" t="str">
        <x:v>Colômbia</x:v>
      </x:c>
      <x:c r="D709" s="2" t="str">
        <x:v>Calçados</x:v>
      </x:c>
      <x:c r="E709" s="11" t="n">
        <x:v>12</x:v>
      </x:c>
      <x:c r="F709" s="12" t="n">
        <x:v>41.42</x:v>
      </x:c>
      <x:c r="G709" s="12" t="n">
        <x:v>497.04</x:v>
      </x:c>
      <x:c r="H709" s="13" t="n">
        <x:v>136</x:v>
      </x:c>
      <x:c r="I709" s="13" t="n">
        <x:f>YEAR(B709)</x:f>
        <x:v>2023</x:v>
      </x:c>
      <x:c r="J709" s="13" t="n">
        <x:f>MONTH(B709)</x:f>
        <x:v>3</x:v>
      </x:c>
      <x:c r="K709" s="14" t="n">
        <x:f>ROUND(E709*F709-G709,10)</x:f>
        <x:v>0</x:v>
      </x:c>
      <x:c r="L709" s="2"/>
      <x:c r="M709" s="2"/>
      <x:c r="N709" s="2"/>
      <x:c r="O709" s="2"/>
      <x:c r="P709" s="2"/>
      <x:c r="Q709" s="2"/>
      <x:c r="R709" s="2"/>
    </x:row>
    <x:row r="710" ht="22" customHeight="1">
      <x:c r="A710" s="2" t="n">
        <x:v>100704</x:v>
      </x:c>
      <x:c r="B710" s="10" t="n">
        <x:v>44964</x:v>
      </x:c>
      <x:c r="C710" s="2" t="str">
        <x:v>México</x:v>
      </x:c>
      <x:c r="D710" s="2" t="str">
        <x:v>Moda Masculina</x:v>
      </x:c>
      <x:c r="E710" s="11" t="n">
        <x:v>31</x:v>
      </x:c>
      <x:c r="F710" s="12" t="n">
        <x:v>32.41</x:v>
      </x:c>
      <x:c r="G710" s="12" t="n">
        <x:v>1004.71</x:v>
      </x:c>
      <x:c r="H710" s="13" t="n">
        <x:v>307</x:v>
      </x:c>
      <x:c r="I710" s="13" t="n">
        <x:f>YEAR(B710)</x:f>
        <x:v>2023</x:v>
      </x:c>
      <x:c r="J710" s="13" t="n">
        <x:f>MONTH(B710)</x:f>
        <x:v>2</x:v>
      </x:c>
      <x:c r="K710" s="14" t="n">
        <x:f>ROUND(E710*F710-G710,10)</x:f>
        <x:v>0</x:v>
      </x:c>
      <x:c r="L710" s="2"/>
      <x:c r="M710" s="2"/>
      <x:c r="N710" s="2"/>
      <x:c r="O710" s="2"/>
      <x:c r="P710" s="2"/>
      <x:c r="Q710" s="2"/>
      <x:c r="R710" s="2"/>
    </x:row>
    <x:row r="711" ht="22" customHeight="1">
      <x:c r="A711" s="2" t="n">
        <x:v>100705</x:v>
      </x:c>
      <x:c r="B711" s="10" t="n">
        <x:v>45020</x:v>
      </x:c>
      <x:c r="C711" s="2" t="str">
        <x:v>México</x:v>
      </x:c>
      <x:c r="D711" s="2" t="str">
        <x:v>Acessórios</x:v>
      </x:c>
      <x:c r="E711" s="11" t="n">
        <x:v>24</x:v>
      </x:c>
      <x:c r="F711" s="12" t="n">
        <x:v>107.04</x:v>
      </x:c>
      <x:c r="G711" s="12" t="n">
        <x:v>2568.96</x:v>
      </x:c>
      <x:c r="H711" s="13" t="n">
        <x:v>227</x:v>
      </x:c>
      <x:c r="I711" s="13" t="n">
        <x:f>YEAR(B711)</x:f>
        <x:v>2023</x:v>
      </x:c>
      <x:c r="J711" s="13" t="n">
        <x:f>MONTH(B711)</x:f>
        <x:v>4</x:v>
      </x:c>
      <x:c r="K711" s="14" t="n">
        <x:f>ROUND(E711*F711-G711,10)</x:f>
        <x:v>0</x:v>
      </x:c>
      <x:c r="L711" s="2"/>
      <x:c r="M711" s="2"/>
      <x:c r="N711" s="2"/>
      <x:c r="O711" s="2"/>
      <x:c r="P711" s="2"/>
      <x:c r="Q711" s="2"/>
      <x:c r="R711" s="2"/>
    </x:row>
    <x:row r="712" ht="22" customHeight="1">
      <x:c r="A712" s="2" t="n">
        <x:v>100706</x:v>
      </x:c>
      <x:c r="B712" s="10" t="n">
        <x:v>45006</x:v>
      </x:c>
      <x:c r="C712" s="2" t="str">
        <x:v>México</x:v>
      </x:c>
      <x:c r="D712" s="2" t="str">
        <x:v>Moda Masculina</x:v>
      </x:c>
      <x:c r="E712" s="11" t="n">
        <x:v>14</x:v>
      </x:c>
      <x:c r="F712" s="12" t="n">
        <x:v>59.62</x:v>
      </x:c>
      <x:c r="G712" s="12" t="n">
        <x:v>834.68</x:v>
      </x:c>
      <x:c r="H712" s="13" t="n">
        <x:v>291</x:v>
      </x:c>
      <x:c r="I712" s="13" t="n">
        <x:f>YEAR(B712)</x:f>
        <x:v>2023</x:v>
      </x:c>
      <x:c r="J712" s="13" t="n">
        <x:f>MONTH(B712)</x:f>
        <x:v>3</x:v>
      </x:c>
      <x:c r="K712" s="14" t="n">
        <x:f>ROUND(E712*F712-G712,10)</x:f>
        <x:v>0</x:v>
      </x:c>
      <x:c r="L712" s="2"/>
      <x:c r="M712" s="2"/>
      <x:c r="N712" s="2"/>
      <x:c r="O712" s="2"/>
      <x:c r="P712" s="2"/>
      <x:c r="Q712" s="2"/>
      <x:c r="R712" s="2"/>
    </x:row>
    <x:row r="713" ht="22" customHeight="1">
      <x:c r="A713" s="2" t="n">
        <x:v>100707</x:v>
      </x:c>
      <x:c r="B713" s="10" t="n">
        <x:v>45480</x:v>
      </x:c>
      <x:c r="C713" s="2" t="str">
        <x:v>México</x:v>
      </x:c>
      <x:c r="D713" s="2" t="str">
        <x:v>Moda Infantil</x:v>
      </x:c>
      <x:c r="E713" s="11" t="n">
        <x:v>45</x:v>
      </x:c>
      <x:c r="F713" s="12" t="n">
        <x:v>65.72</x:v>
      </x:c>
      <x:c r="G713" s="12" t="n">
        <x:v>2957.4</x:v>
      </x:c>
      <x:c r="H713" s="13" t="n">
        <x:v>252</x:v>
      </x:c>
      <x:c r="I713" s="13" t="n">
        <x:f>YEAR(B713)</x:f>
        <x:v>2024</x:v>
      </x:c>
      <x:c r="J713" s="13" t="n">
        <x:f>MONTH(B713)</x:f>
        <x:v>7</x:v>
      </x:c>
      <x:c r="K713" s="14" t="n">
        <x:f>ROUND(E713*F713-G713,10)</x:f>
        <x:v>0</x:v>
      </x:c>
      <x:c r="L713" s="2"/>
      <x:c r="M713" s="2"/>
      <x:c r="N713" s="2"/>
      <x:c r="O713" s="2"/>
      <x:c r="P713" s="2"/>
      <x:c r="Q713" s="2"/>
      <x:c r="R713" s="2"/>
    </x:row>
    <x:row r="714" ht="22" customHeight="1">
      <x:c r="A714" s="2" t="n">
        <x:v>100708</x:v>
      </x:c>
      <x:c r="B714" s="10" t="n">
        <x:v>45147</x:v>
      </x:c>
      <x:c r="C714" s="2" t="str">
        <x:v>Peru</x:v>
      </x:c>
      <x:c r="D714" s="2" t="str">
        <x:v>Moda Feminina</x:v>
      </x:c>
      <x:c r="E714" s="11" t="n">
        <x:v>25</x:v>
      </x:c>
      <x:c r="F714" s="12" t="n">
        <x:v>177.98</x:v>
      </x:c>
      <x:c r="G714" s="12" t="n">
        <x:v>4449.5</x:v>
      </x:c>
      <x:c r="H714" s="13" t="n">
        <x:v>80</x:v>
      </x:c>
      <x:c r="I714" s="13" t="n">
        <x:f>YEAR(B714)</x:f>
        <x:v>2023</x:v>
      </x:c>
      <x:c r="J714" s="13" t="n">
        <x:f>MONTH(B714)</x:f>
        <x:v>8</x:v>
      </x:c>
      <x:c r="K714" s="14" t="n">
        <x:f>ROUND(E714*F714-G714,10)</x:f>
        <x:v>0</x:v>
      </x:c>
      <x:c r="L714" s="2"/>
      <x:c r="M714" s="2"/>
      <x:c r="N714" s="2"/>
      <x:c r="O714" s="2"/>
      <x:c r="P714" s="2"/>
      <x:c r="Q714" s="2"/>
      <x:c r="R714" s="2"/>
    </x:row>
    <x:row r="715" ht="22" customHeight="1">
      <x:c r="A715" s="2" t="n">
        <x:v>100709</x:v>
      </x:c>
      <x:c r="B715" s="10" t="n">
        <x:v>45231</x:v>
      </x:c>
      <x:c r="C715" s="2" t="str">
        <x:v>México</x:v>
      </x:c>
      <x:c r="D715" s="2" t="str">
        <x:v>Moda Feminina</x:v>
      </x:c>
      <x:c r="E715" s="11" t="n">
        <x:v>34</x:v>
      </x:c>
      <x:c r="F715" s="12" t="n">
        <x:v>36.12</x:v>
      </x:c>
      <x:c r="G715" s="12" t="n">
        <x:v>1228.08</x:v>
      </x:c>
      <x:c r="H715" s="13" t="n">
        <x:v>338</x:v>
      </x:c>
      <x:c r="I715" s="13" t="n">
        <x:f>YEAR(B715)</x:f>
        <x:v>2023</x:v>
      </x:c>
      <x:c r="J715" s="13" t="n">
        <x:f>MONTH(B715)</x:f>
        <x:v>11</x:v>
      </x:c>
      <x:c r="K715" s="14" t="n">
        <x:f>ROUND(E715*F715-G715,10)</x:f>
        <x:v>0</x:v>
      </x:c>
      <x:c r="L715" s="2"/>
      <x:c r="M715" s="2"/>
      <x:c r="N715" s="2"/>
      <x:c r="O715" s="2"/>
      <x:c r="P715" s="2"/>
      <x:c r="Q715" s="2"/>
      <x:c r="R715" s="2"/>
    </x:row>
    <x:row r="716" ht="22" customHeight="1">
      <x:c r="A716" s="2" t="n">
        <x:v>100710</x:v>
      </x:c>
      <x:c r="B716" s="10" t="n">
        <x:v>45158</x:v>
      </x:c>
      <x:c r="C716" s="2" t="str">
        <x:v>Chile</x:v>
      </x:c>
      <x:c r="D716" s="2" t="str">
        <x:v>Moda Feminina</x:v>
      </x:c>
      <x:c r="E716" s="11" t="n">
        <x:v>3</x:v>
      </x:c>
      <x:c r="F716" s="12" t="n">
        <x:v>148.77</x:v>
      </x:c>
      <x:c r="G716" s="12" t="n">
        <x:v>446.3100000000001</x:v>
      </x:c>
      <x:c r="H716" s="13" t="n">
        <x:v>129</x:v>
      </x:c>
      <x:c r="I716" s="13" t="n">
        <x:f>YEAR(B716)</x:f>
        <x:v>2023</x:v>
      </x:c>
      <x:c r="J716" s="13" t="n">
        <x:f>MONTH(B716)</x:f>
        <x:v>8</x:v>
      </x:c>
      <x:c r="K716" s="14" t="n">
        <x:f>ROUND(E716*F716-G716,10)</x:f>
        <x:v>0</x:v>
      </x:c>
      <x:c r="L716" s="2"/>
      <x:c r="M716" s="2"/>
      <x:c r="N716" s="2"/>
      <x:c r="O716" s="2"/>
      <x:c r="P716" s="2"/>
      <x:c r="Q716" s="2"/>
      <x:c r="R716" s="2"/>
    </x:row>
    <x:row r="717" ht="22" customHeight="1">
      <x:c r="A717" s="2" t="n">
        <x:v>100711</x:v>
      </x:c>
      <x:c r="B717" s="10" t="n">
        <x:v>45079</x:v>
      </x:c>
      <x:c r="C717" s="2" t="str">
        <x:v>Colômbia</x:v>
      </x:c>
      <x:c r="D717" s="2" t="str">
        <x:v>Moda Masculina</x:v>
      </x:c>
      <x:c r="E717" s="11" t="n">
        <x:v>24</x:v>
      </x:c>
      <x:c r="F717" s="12" t="n">
        <x:v>68.81</x:v>
      </x:c>
      <x:c r="G717" s="12" t="n">
        <x:v>1651.44</x:v>
      </x:c>
      <x:c r="H717" s="13" t="n">
        <x:v>60</x:v>
      </x:c>
      <x:c r="I717" s="13" t="n">
        <x:f>YEAR(B717)</x:f>
        <x:v>2023</x:v>
      </x:c>
      <x:c r="J717" s="13" t="n">
        <x:f>MONTH(B717)</x:f>
        <x:v>6</x:v>
      </x:c>
      <x:c r="K717" s="14" t="n">
        <x:f>ROUND(E717*F717-G717,10)</x:f>
        <x:v>0</x:v>
      </x:c>
      <x:c r="L717" s="2"/>
      <x:c r="M717" s="2"/>
      <x:c r="N717" s="2"/>
      <x:c r="O717" s="2"/>
      <x:c r="P717" s="2"/>
      <x:c r="Q717" s="2"/>
      <x:c r="R717" s="2"/>
    </x:row>
    <x:row r="718" ht="22" customHeight="1">
      <x:c r="A718" s="2" t="n">
        <x:v>100712</x:v>
      </x:c>
      <x:c r="B718" s="10" t="n">
        <x:v>45403</x:v>
      </x:c>
      <x:c r="C718" s="2" t="str">
        <x:v>México</x:v>
      </x:c>
      <x:c r="D718" s="2" t="str">
        <x:v>Moda Masculina</x:v>
      </x:c>
      <x:c r="E718" s="11" t="n">
        <x:v>42</x:v>
      </x:c>
      <x:c r="F718" s="12" t="n">
        <x:v>156.86</x:v>
      </x:c>
      <x:c r="G718" s="12" t="n">
        <x:v>6588.120000000001</x:v>
      </x:c>
      <x:c r="H718" s="13" t="n">
        <x:v>466</x:v>
      </x:c>
      <x:c r="I718" s="13" t="n">
        <x:f>YEAR(B718)</x:f>
        <x:v>2024</x:v>
      </x:c>
      <x:c r="J718" s="13" t="n">
        <x:f>MONTH(B718)</x:f>
        <x:v>4</x:v>
      </x:c>
      <x:c r="K718" s="14" t="n">
        <x:f>ROUND(E718*F718-G718,10)</x:f>
        <x:v>0</x:v>
      </x:c>
      <x:c r="L718" s="2"/>
      <x:c r="M718" s="2"/>
      <x:c r="N718" s="2"/>
      <x:c r="O718" s="2"/>
      <x:c r="P718" s="2"/>
      <x:c r="Q718" s="2"/>
      <x:c r="R718" s="2"/>
    </x:row>
    <x:row r="719" ht="22" customHeight="1">
      <x:c r="A719" s="2" t="n">
        <x:v>100713</x:v>
      </x:c>
      <x:c r="B719" s="10" t="n">
        <x:v>45338</x:v>
      </x:c>
      <x:c r="C719" s="2" t="str">
        <x:v>Colômbia</x:v>
      </x:c>
      <x:c r="D719" s="2" t="str">
        <x:v>Moda Feminina</x:v>
      </x:c>
      <x:c r="E719" s="11" t="n">
        <x:v>9</x:v>
      </x:c>
      <x:c r="F719" s="12" t="n">
        <x:v>150.03</x:v>
      </x:c>
      <x:c r="G719" s="12" t="n">
        <x:v>1350.27</x:v>
      </x:c>
      <x:c r="H719" s="13" t="n">
        <x:v>303</x:v>
      </x:c>
      <x:c r="I719" s="13" t="n">
        <x:f>YEAR(B719)</x:f>
        <x:v>2024</x:v>
      </x:c>
      <x:c r="J719" s="13" t="n">
        <x:f>MONTH(B719)</x:f>
        <x:v>2</x:v>
      </x:c>
      <x:c r="K719" s="14" t="n">
        <x:f>ROUND(E719*F719-G719,10)</x:f>
        <x:v>0</x:v>
      </x:c>
      <x:c r="L719" s="2"/>
      <x:c r="M719" s="2"/>
      <x:c r="N719" s="2"/>
      <x:c r="O719" s="2"/>
      <x:c r="P719" s="2"/>
      <x:c r="Q719" s="2"/>
      <x:c r="R719" s="2"/>
    </x:row>
    <x:row r="720" ht="22" customHeight="1">
      <x:c r="A720" s="2" t="n">
        <x:v>100714</x:v>
      </x:c>
      <x:c r="B720" s="10" t="n">
        <x:v>45644</x:v>
      </x:c>
      <x:c r="C720" s="2" t="str">
        <x:v>Chile</x:v>
      </x:c>
      <x:c r="D720" s="2" t="str">
        <x:v>Moda Masculina</x:v>
      </x:c>
      <x:c r="E720" s="11" t="n">
        <x:v>26</x:v>
      </x:c>
      <x:c r="F720" s="12" t="n">
        <x:v>21.33</x:v>
      </x:c>
      <x:c r="G720" s="12" t="n">
        <x:v>554.5799999999999</x:v>
      </x:c>
      <x:c r="H720" s="13" t="n">
        <x:v>433</x:v>
      </x:c>
      <x:c r="I720" s="13" t="n">
        <x:f>YEAR(B720)</x:f>
        <x:v>2024</x:v>
      </x:c>
      <x:c r="J720" s="13" t="n">
        <x:f>MONTH(B720)</x:f>
        <x:v>12</x:v>
      </x:c>
      <x:c r="K720" s="14" t="n">
        <x:f>ROUND(E720*F720-G720,10)</x:f>
        <x:v>0</x:v>
      </x:c>
      <x:c r="L720" s="2"/>
      <x:c r="M720" s="2"/>
      <x:c r="N720" s="2"/>
      <x:c r="O720" s="2"/>
      <x:c r="P720" s="2"/>
      <x:c r="Q720" s="2"/>
      <x:c r="R720" s="2"/>
    </x:row>
    <x:row r="721" ht="22" customHeight="1">
      <x:c r="A721" s="2" t="n">
        <x:v>100715</x:v>
      </x:c>
      <x:c r="B721" s="10" t="n">
        <x:v>45313</x:v>
      </x:c>
      <x:c r="C721" s="2" t="str">
        <x:v>Chile</x:v>
      </x:c>
      <x:c r="D721" s="2" t="str">
        <x:v>Calçados</x:v>
      </x:c>
      <x:c r="E721" s="11" t="n">
        <x:v>20</x:v>
      </x:c>
      <x:c r="F721" s="12" t="n">
        <x:v>111.64</x:v>
      </x:c>
      <x:c r="G721" s="12" t="n">
        <x:v>2232.8</x:v>
      </x:c>
      <x:c r="H721" s="13" t="n">
        <x:v>440</x:v>
      </x:c>
      <x:c r="I721" s="13" t="n">
        <x:f>YEAR(B721)</x:f>
        <x:v>2024</x:v>
      </x:c>
      <x:c r="J721" s="13" t="n">
        <x:f>MONTH(B721)</x:f>
        <x:v>1</x:v>
      </x:c>
      <x:c r="K721" s="14" t="n">
        <x:f>ROUND(E721*F721-G721,10)</x:f>
        <x:v>0</x:v>
      </x:c>
      <x:c r="L721" s="2"/>
      <x:c r="M721" s="2"/>
      <x:c r="N721" s="2"/>
      <x:c r="O721" s="2"/>
      <x:c r="P721" s="2"/>
      <x:c r="Q721" s="2"/>
      <x:c r="R721" s="2"/>
    </x:row>
    <x:row r="722" ht="22" customHeight="1">
      <x:c r="A722" s="2" t="n">
        <x:v>100716</x:v>
      </x:c>
      <x:c r="B722" s="10" t="n">
        <x:v>45406</x:v>
      </x:c>
      <x:c r="C722" s="2" t="str">
        <x:v>Colômbia</x:v>
      </x:c>
      <x:c r="D722" s="2" t="str">
        <x:v>Calçados</x:v>
      </x:c>
      <x:c r="E722" s="11" t="n">
        <x:v>40</x:v>
      </x:c>
      <x:c r="F722" s="12" t="n">
        <x:v>45.08</x:v>
      </x:c>
      <x:c r="G722" s="12" t="n">
        <x:v>1803.2</x:v>
      </x:c>
      <x:c r="H722" s="13" t="n">
        <x:v>433</x:v>
      </x:c>
      <x:c r="I722" s="13" t="n">
        <x:f>YEAR(B722)</x:f>
        <x:v>2024</x:v>
      </x:c>
      <x:c r="J722" s="13" t="n">
        <x:f>MONTH(B722)</x:f>
        <x:v>4</x:v>
      </x:c>
      <x:c r="K722" s="14" t="n">
        <x:f>ROUND(E722*F722-G722,10)</x:f>
        <x:v>0</x:v>
      </x:c>
      <x:c r="L722" s="2"/>
      <x:c r="M722" s="2"/>
      <x:c r="N722" s="2"/>
      <x:c r="O722" s="2"/>
      <x:c r="P722" s="2"/>
      <x:c r="Q722" s="2"/>
      <x:c r="R722" s="2"/>
    </x:row>
    <x:row r="723" ht="22" customHeight="1">
      <x:c r="A723" s="2" t="n">
        <x:v>100717</x:v>
      </x:c>
      <x:c r="B723" s="10" t="n">
        <x:v>45600</x:v>
      </x:c>
      <x:c r="C723" s="2" t="str">
        <x:v>Brasil</x:v>
      </x:c>
      <x:c r="D723" s="2" t="str">
        <x:v>Moda Masculina</x:v>
      </x:c>
      <x:c r="E723" s="11" t="n">
        <x:v>10</x:v>
      </x:c>
      <x:c r="F723" s="12" t="n">
        <x:v>175.92</x:v>
      </x:c>
      <x:c r="G723" s="12" t="n">
        <x:v>1759.2</x:v>
      </x:c>
      <x:c r="H723" s="13" t="n">
        <x:v>336</x:v>
      </x:c>
      <x:c r="I723" s="13" t="n">
        <x:f>YEAR(B723)</x:f>
        <x:v>2024</x:v>
      </x:c>
      <x:c r="J723" s="13" t="n">
        <x:f>MONTH(B723)</x:f>
        <x:v>11</x:v>
      </x:c>
      <x:c r="K723" s="14" t="n">
        <x:f>ROUND(E723*F723-G723,10)</x:f>
        <x:v>0</x:v>
      </x:c>
      <x:c r="L723" s="2"/>
      <x:c r="M723" s="2"/>
      <x:c r="N723" s="2"/>
      <x:c r="O723" s="2"/>
      <x:c r="P723" s="2"/>
      <x:c r="Q723" s="2"/>
      <x:c r="R723" s="2"/>
    </x:row>
    <x:row r="724" ht="22" customHeight="1">
      <x:c r="A724" s="2" t="n">
        <x:v>100718</x:v>
      </x:c>
      <x:c r="B724" s="10" t="n">
        <x:v>45092</x:v>
      </x:c>
      <x:c r="C724" s="2" t="str">
        <x:v>Argentina</x:v>
      </x:c>
      <x:c r="D724" s="2" t="str">
        <x:v>Moda Feminina</x:v>
      </x:c>
      <x:c r="E724" s="11" t="n">
        <x:v>19</x:v>
      </x:c>
      <x:c r="F724" s="12" t="n">
        <x:v>176.89</x:v>
      </x:c>
      <x:c r="G724" s="12" t="n">
        <x:v>3360.91</x:v>
      </x:c>
      <x:c r="H724" s="13" t="n">
        <x:v>225</x:v>
      </x:c>
      <x:c r="I724" s="13" t="n">
        <x:f>YEAR(B724)</x:f>
        <x:v>2023</x:v>
      </x:c>
      <x:c r="J724" s="13" t="n">
        <x:f>MONTH(B724)</x:f>
        <x:v>6</x:v>
      </x:c>
      <x:c r="K724" s="14" t="n">
        <x:f>ROUND(E724*F724-G724,10)</x:f>
        <x:v>0</x:v>
      </x:c>
      <x:c r="L724" s="2"/>
      <x:c r="M724" s="2"/>
      <x:c r="N724" s="2"/>
      <x:c r="O724" s="2"/>
      <x:c r="P724" s="2"/>
      <x:c r="Q724" s="2"/>
      <x:c r="R724" s="2"/>
    </x:row>
    <x:row r="725" ht="22" customHeight="1">
      <x:c r="A725" s="2" t="n">
        <x:v>100719</x:v>
      </x:c>
      <x:c r="B725" s="10" t="n">
        <x:v>45566</x:v>
      </x:c>
      <x:c r="C725" s="2" t="str">
        <x:v>Brasil</x:v>
      </x:c>
      <x:c r="D725" s="2" t="str">
        <x:v>Moda Masculina</x:v>
      </x:c>
      <x:c r="E725" s="11" t="n">
        <x:v>3</x:v>
      </x:c>
      <x:c r="F725" s="12" t="n">
        <x:v>95.3</x:v>
      </x:c>
      <x:c r="G725" s="12" t="n">
        <x:v>285.9</x:v>
      </x:c>
      <x:c r="H725" s="13" t="n">
        <x:v>175</x:v>
      </x:c>
      <x:c r="I725" s="13" t="n">
        <x:f>YEAR(B725)</x:f>
        <x:v>2024</x:v>
      </x:c>
      <x:c r="J725" s="13" t="n">
        <x:f>MONTH(B725)</x:f>
        <x:v>10</x:v>
      </x:c>
      <x:c r="K725" s="14" t="n">
        <x:f>ROUND(E725*F725-G725,10)</x:f>
        <x:v>0</x:v>
      </x:c>
      <x:c r="L725" s="2"/>
      <x:c r="M725" s="2"/>
      <x:c r="N725" s="2"/>
      <x:c r="O725" s="2"/>
      <x:c r="P725" s="2"/>
      <x:c r="Q725" s="2"/>
      <x:c r="R725" s="2"/>
    </x:row>
    <x:row r="726" ht="22" customHeight="1">
      <x:c r="A726" s="2" t="n">
        <x:v>100720</x:v>
      </x:c>
      <x:c r="B726" s="10" t="n">
        <x:v>45041</x:v>
      </x:c>
      <x:c r="C726" s="2" t="str">
        <x:v>Brasil</x:v>
      </x:c>
      <x:c r="D726" s="2" t="str">
        <x:v>Moda Masculina</x:v>
      </x:c>
      <x:c r="E726" s="11" t="n">
        <x:v>24</x:v>
      </x:c>
      <x:c r="F726" s="12" t="n">
        <x:v>99.99</x:v>
      </x:c>
      <x:c r="G726" s="12" t="n">
        <x:v>2399.76</x:v>
      </x:c>
      <x:c r="H726" s="13" t="n">
        <x:v>96</x:v>
      </x:c>
      <x:c r="I726" s="13" t="n">
        <x:f>YEAR(B726)</x:f>
        <x:v>2023</x:v>
      </x:c>
      <x:c r="J726" s="13" t="n">
        <x:f>MONTH(B726)</x:f>
        <x:v>4</x:v>
      </x:c>
      <x:c r="K726" s="14" t="n">
        <x:f>ROUND(E726*F726-G726,10)</x:f>
        <x:v>0</x:v>
      </x:c>
      <x:c r="L726" s="2"/>
      <x:c r="M726" s="2"/>
      <x:c r="N726" s="2"/>
      <x:c r="O726" s="2"/>
      <x:c r="P726" s="2"/>
      <x:c r="Q726" s="2"/>
      <x:c r="R726" s="2"/>
    </x:row>
    <x:row r="727" ht="22" customHeight="1">
      <x:c r="A727" s="2" t="n">
        <x:v>100721</x:v>
      </x:c>
      <x:c r="B727" s="10" t="n">
        <x:v>45399</x:v>
      </x:c>
      <x:c r="C727" s="2" t="str">
        <x:v>Peru</x:v>
      </x:c>
      <x:c r="D727" s="2" t="str">
        <x:v>Moda Masculina</x:v>
      </x:c>
      <x:c r="E727" s="11" t="n">
        <x:v>5</x:v>
      </x:c>
      <x:c r="F727" s="12" t="n">
        <x:v>74.59</x:v>
      </x:c>
      <x:c r="G727" s="12" t="n">
        <x:v>372.95</x:v>
      </x:c>
      <x:c r="H727" s="13" t="n">
        <x:v>255</x:v>
      </x:c>
      <x:c r="I727" s="13" t="n">
        <x:f>YEAR(B727)</x:f>
        <x:v>2024</x:v>
      </x:c>
      <x:c r="J727" s="13" t="n">
        <x:f>MONTH(B727)</x:f>
        <x:v>4</x:v>
      </x:c>
      <x:c r="K727" s="14" t="n">
        <x:f>ROUND(E727*F727-G727,10)</x:f>
        <x:v>0</x:v>
      </x:c>
      <x:c r="L727" s="2"/>
      <x:c r="M727" s="2"/>
      <x:c r="N727" s="2"/>
      <x:c r="O727" s="2"/>
      <x:c r="P727" s="2"/>
      <x:c r="Q727" s="2"/>
      <x:c r="R727" s="2"/>
    </x:row>
    <x:row r="728" ht="22" customHeight="1">
      <x:c r="A728" s="2" t="n">
        <x:v>100722</x:v>
      </x:c>
      <x:c r="B728" s="10" t="n">
        <x:v>45194</x:v>
      </x:c>
      <x:c r="C728" s="2" t="str">
        <x:v>Brasil</x:v>
      </x:c>
      <x:c r="D728" s="2" t="str">
        <x:v>Moda Infantil</x:v>
      </x:c>
      <x:c r="E728" s="11" t="n">
        <x:v>3</x:v>
      </x:c>
      <x:c r="F728" s="12" t="n">
        <x:v>148.99</x:v>
      </x:c>
      <x:c r="G728" s="12" t="n">
        <x:v>446.97</x:v>
      </x:c>
      <x:c r="H728" s="13" t="n">
        <x:v>486</x:v>
      </x:c>
      <x:c r="I728" s="13" t="n">
        <x:f>YEAR(B728)</x:f>
        <x:v>2023</x:v>
      </x:c>
      <x:c r="J728" s="13" t="n">
        <x:f>MONTH(B728)</x:f>
        <x:v>9</x:v>
      </x:c>
      <x:c r="K728" s="14" t="n">
        <x:f>ROUND(E728*F728-G728,10)</x:f>
        <x:v>0</x:v>
      </x:c>
      <x:c r="L728" s="2"/>
      <x:c r="M728" s="2"/>
      <x:c r="N728" s="2"/>
      <x:c r="O728" s="2"/>
      <x:c r="P728" s="2"/>
      <x:c r="Q728" s="2"/>
      <x:c r="R728" s="2"/>
    </x:row>
    <x:row r="729" ht="22" customHeight="1">
      <x:c r="A729" s="2" t="n">
        <x:v>100723</x:v>
      </x:c>
      <x:c r="B729" s="10" t="n">
        <x:v>45435</x:v>
      </x:c>
      <x:c r="C729" s="2" t="str">
        <x:v>México</x:v>
      </x:c>
      <x:c r="D729" s="2" t="str">
        <x:v>Calçados</x:v>
      </x:c>
      <x:c r="E729" s="11" t="n">
        <x:v>27</x:v>
      </x:c>
      <x:c r="F729" s="12" t="n">
        <x:v>84.56</x:v>
      </x:c>
      <x:c r="G729" s="12" t="n">
        <x:v>2283.12</x:v>
      </x:c>
      <x:c r="H729" s="13" t="n">
        <x:v>156</x:v>
      </x:c>
      <x:c r="I729" s="13" t="n">
        <x:f>YEAR(B729)</x:f>
        <x:v>2024</x:v>
      </x:c>
      <x:c r="J729" s="13" t="n">
        <x:f>MONTH(B729)</x:f>
        <x:v>5</x:v>
      </x:c>
      <x:c r="K729" s="14" t="n">
        <x:f>ROUND(E729*F729-G729,10)</x:f>
        <x:v>0</x:v>
      </x:c>
      <x:c r="L729" s="2"/>
      <x:c r="M729" s="2"/>
      <x:c r="N729" s="2"/>
      <x:c r="O729" s="2"/>
      <x:c r="P729" s="2"/>
      <x:c r="Q729" s="2"/>
      <x:c r="R729" s="2"/>
    </x:row>
    <x:row r="730" ht="22" customHeight="1">
      <x:c r="A730" s="2" t="n">
        <x:v>100724</x:v>
      </x:c>
      <x:c r="B730" s="10" t="n">
        <x:v>45060</x:v>
      </x:c>
      <x:c r="C730" s="2" t="str">
        <x:v>Peru</x:v>
      </x:c>
      <x:c r="D730" s="2" t="str">
        <x:v>Acessórios</x:v>
      </x:c>
      <x:c r="E730" s="11" t="n">
        <x:v>16</x:v>
      </x:c>
      <x:c r="F730" s="12" t="n">
        <x:v>68.2</x:v>
      </x:c>
      <x:c r="G730" s="12" t="n">
        <x:v>1091.2</x:v>
      </x:c>
      <x:c r="H730" s="13" t="n">
        <x:v>324</x:v>
      </x:c>
      <x:c r="I730" s="13" t="n">
        <x:f>YEAR(B730)</x:f>
        <x:v>2023</x:v>
      </x:c>
      <x:c r="J730" s="13" t="n">
        <x:f>MONTH(B730)</x:f>
        <x:v>5</x:v>
      </x:c>
      <x:c r="K730" s="14" t="n">
        <x:f>ROUND(E730*F730-G730,10)</x:f>
        <x:v>0</x:v>
      </x:c>
      <x:c r="L730" s="2"/>
      <x:c r="M730" s="2"/>
      <x:c r="N730" s="2"/>
      <x:c r="O730" s="2"/>
      <x:c r="P730" s="2"/>
      <x:c r="Q730" s="2"/>
      <x:c r="R730" s="2"/>
    </x:row>
    <x:row r="731" ht="22" customHeight="1">
      <x:c r="A731" s="2" t="n">
        <x:v>100725</x:v>
      </x:c>
      <x:c r="B731" s="10" t="n">
        <x:v>45303</x:v>
      </x:c>
      <x:c r="C731" s="2" t="str">
        <x:v>Peru</x:v>
      </x:c>
      <x:c r="D731" s="2" t="str">
        <x:v>Acessórios</x:v>
      </x:c>
      <x:c r="E731" s="11" t="n">
        <x:v>49</x:v>
      </x:c>
      <x:c r="F731" s="12" t="n">
        <x:v>97.8</x:v>
      </x:c>
      <x:c r="G731" s="12" t="n">
        <x:v>4792.2</x:v>
      </x:c>
      <x:c r="H731" s="13" t="n">
        <x:v>386</x:v>
      </x:c>
      <x:c r="I731" s="13" t="n">
        <x:f>YEAR(B731)</x:f>
        <x:v>2024</x:v>
      </x:c>
      <x:c r="J731" s="13" t="n">
        <x:f>MONTH(B731)</x:f>
        <x:v>1</x:v>
      </x:c>
      <x:c r="K731" s="14" t="n">
        <x:f>ROUND(E731*F731-G731,10)</x:f>
        <x:v>0</x:v>
      </x:c>
      <x:c r="L731" s="2"/>
      <x:c r="M731" s="2"/>
      <x:c r="N731" s="2"/>
      <x:c r="O731" s="2"/>
      <x:c r="P731" s="2"/>
      <x:c r="Q731" s="2"/>
      <x:c r="R731" s="2"/>
    </x:row>
    <x:row r="732" ht="22" customHeight="1">
      <x:c r="A732" s="2" t="n">
        <x:v>100726</x:v>
      </x:c>
      <x:c r="B732" s="10" t="n">
        <x:v>45210</x:v>
      </x:c>
      <x:c r="C732" s="2" t="str">
        <x:v>Chile</x:v>
      </x:c>
      <x:c r="D732" s="2" t="str">
        <x:v>Moda Infantil</x:v>
      </x:c>
      <x:c r="E732" s="11" t="n">
        <x:v>15</x:v>
      </x:c>
      <x:c r="F732" s="12" t="n">
        <x:v>36.47</x:v>
      </x:c>
      <x:c r="G732" s="12" t="n">
        <x:v>547.05</x:v>
      </x:c>
      <x:c r="H732" s="13" t="n">
        <x:v>172</x:v>
      </x:c>
      <x:c r="I732" s="13" t="n">
        <x:f>YEAR(B732)</x:f>
        <x:v>2023</x:v>
      </x:c>
      <x:c r="J732" s="13" t="n">
        <x:f>MONTH(B732)</x:f>
        <x:v>10</x:v>
      </x:c>
      <x:c r="K732" s="14" t="n">
        <x:f>ROUND(E732*F732-G732,10)</x:f>
        <x:v>0</x:v>
      </x:c>
      <x:c r="L732" s="2"/>
      <x:c r="M732" s="2"/>
      <x:c r="N732" s="2"/>
      <x:c r="O732" s="2"/>
      <x:c r="P732" s="2"/>
      <x:c r="Q732" s="2"/>
      <x:c r="R732" s="2"/>
    </x:row>
    <x:row r="733" ht="22" customHeight="1">
      <x:c r="A733" s="2" t="n">
        <x:v>100727</x:v>
      </x:c>
      <x:c r="B733" s="10" t="n">
        <x:v>45417</x:v>
      </x:c>
      <x:c r="C733" s="2" t="str">
        <x:v>Brasil</x:v>
      </x:c>
      <x:c r="D733" s="2" t="str">
        <x:v>Moda Masculina</x:v>
      </x:c>
      <x:c r="E733" s="11" t="n">
        <x:v>35</x:v>
      </x:c>
      <x:c r="F733" s="12" t="n">
        <x:v>154.39</x:v>
      </x:c>
      <x:c r="G733" s="12" t="n">
        <x:v>5403.65</x:v>
      </x:c>
      <x:c r="H733" s="13" t="n">
        <x:v>183</x:v>
      </x:c>
      <x:c r="I733" s="13" t="n">
        <x:f>YEAR(B733)</x:f>
        <x:v>2024</x:v>
      </x:c>
      <x:c r="J733" s="13" t="n">
        <x:f>MONTH(B733)</x:f>
        <x:v>5</x:v>
      </x:c>
      <x:c r="K733" s="14" t="n">
        <x:f>ROUND(E733*F733-G733,10)</x:f>
        <x:v>0</x:v>
      </x:c>
      <x:c r="L733" s="2"/>
      <x:c r="M733" s="2"/>
      <x:c r="N733" s="2"/>
      <x:c r="O733" s="2"/>
      <x:c r="P733" s="2"/>
      <x:c r="Q733" s="2"/>
      <x:c r="R733" s="2"/>
    </x:row>
    <x:row r="734" ht="22" customHeight="1">
      <x:c r="A734" s="2" t="n">
        <x:v>100728</x:v>
      </x:c>
      <x:c r="B734" s="10" t="n">
        <x:v>45129</x:v>
      </x:c>
      <x:c r="C734" s="2" t="str">
        <x:v>Chile</x:v>
      </x:c>
      <x:c r="D734" s="2" t="str">
        <x:v>Moda Infantil</x:v>
      </x:c>
      <x:c r="E734" s="11" t="n">
        <x:v>12</x:v>
      </x:c>
      <x:c r="F734" s="12" t="n">
        <x:v>22.27</x:v>
      </x:c>
      <x:c r="G734" s="12" t="n">
        <x:v>267.24</x:v>
      </x:c>
      <x:c r="H734" s="13" t="n">
        <x:v>156</x:v>
      </x:c>
      <x:c r="I734" s="13" t="n">
        <x:f>YEAR(B734)</x:f>
        <x:v>2023</x:v>
      </x:c>
      <x:c r="J734" s="13" t="n">
        <x:f>MONTH(B734)</x:f>
        <x:v>7</x:v>
      </x:c>
      <x:c r="K734" s="14" t="n">
        <x:f>ROUND(E734*F734-G734,10)</x:f>
        <x:v>0</x:v>
      </x:c>
      <x:c r="L734" s="2"/>
      <x:c r="M734" s="2"/>
      <x:c r="N734" s="2"/>
      <x:c r="O734" s="2"/>
      <x:c r="P734" s="2"/>
      <x:c r="Q734" s="2"/>
      <x:c r="R734" s="2"/>
    </x:row>
    <x:row r="735" ht="22" customHeight="1">
      <x:c r="A735" s="2" t="n">
        <x:v>100729</x:v>
      </x:c>
      <x:c r="B735" s="10" t="n">
        <x:v>45314</x:v>
      </x:c>
      <x:c r="C735" s="2" t="str">
        <x:v>Colômbia</x:v>
      </x:c>
      <x:c r="D735" s="2" t="str">
        <x:v>Moda Infantil</x:v>
      </x:c>
      <x:c r="E735" s="11" t="n">
        <x:v>41</x:v>
      </x:c>
      <x:c r="F735" s="12" t="n">
        <x:v>136.01</x:v>
      </x:c>
      <x:c r="G735" s="12" t="n">
        <x:v>5576.41</x:v>
      </x:c>
      <x:c r="H735" s="13" t="n">
        <x:v>354</x:v>
      </x:c>
      <x:c r="I735" s="13" t="n">
        <x:f>YEAR(B735)</x:f>
        <x:v>2024</x:v>
      </x:c>
      <x:c r="J735" s="13" t="n">
        <x:f>MONTH(B735)</x:f>
        <x:v>1</x:v>
      </x:c>
      <x:c r="K735" s="14" t="n">
        <x:f>ROUND(E735*F735-G735,10)</x:f>
        <x:v>0</x:v>
      </x:c>
      <x:c r="L735" s="2"/>
      <x:c r="M735" s="2"/>
      <x:c r="N735" s="2"/>
      <x:c r="O735" s="2"/>
      <x:c r="P735" s="2"/>
      <x:c r="Q735" s="2"/>
      <x:c r="R735" s="2"/>
    </x:row>
    <x:row r="736" ht="22" customHeight="1">
      <x:c r="A736" s="2" t="n">
        <x:v>100730</x:v>
      </x:c>
      <x:c r="B736" s="10" t="n">
        <x:v>45629</x:v>
      </x:c>
      <x:c r="C736" s="2" t="str">
        <x:v>Argentina</x:v>
      </x:c>
      <x:c r="D736" s="2" t="str">
        <x:v>Moda Feminina</x:v>
      </x:c>
      <x:c r="E736" s="11" t="n">
        <x:v>44</x:v>
      </x:c>
      <x:c r="F736" s="12" t="n">
        <x:v>52.92</x:v>
      </x:c>
      <x:c r="G736" s="12" t="n">
        <x:v>2328.48</x:v>
      </x:c>
      <x:c r="H736" s="13" t="n">
        <x:v>378</x:v>
      </x:c>
      <x:c r="I736" s="13" t="n">
        <x:f>YEAR(B736)</x:f>
        <x:v>2024</x:v>
      </x:c>
      <x:c r="J736" s="13" t="n">
        <x:f>MONTH(B736)</x:f>
        <x:v>12</x:v>
      </x:c>
      <x:c r="K736" s="14" t="n">
        <x:f>ROUND(E736*F736-G736,10)</x:f>
        <x:v>0</x:v>
      </x:c>
      <x:c r="L736" s="2"/>
      <x:c r="M736" s="2"/>
      <x:c r="N736" s="2"/>
      <x:c r="O736" s="2"/>
      <x:c r="P736" s="2"/>
      <x:c r="Q736" s="2"/>
      <x:c r="R736" s="2"/>
    </x:row>
    <x:row r="737" ht="22" customHeight="1">
      <x:c r="A737" s="2" t="n">
        <x:v>100731</x:v>
      </x:c>
      <x:c r="B737" s="10" t="n">
        <x:v>45525</x:v>
      </x:c>
      <x:c r="C737" s="2" t="str">
        <x:v>Peru</x:v>
      </x:c>
      <x:c r="D737" s="2" t="str">
        <x:v>Calçados</x:v>
      </x:c>
      <x:c r="E737" s="11" t="n">
        <x:v>26</x:v>
      </x:c>
      <x:c r="F737" s="12" t="n">
        <x:v>61.83</x:v>
      </x:c>
      <x:c r="G737" s="12" t="n">
        <x:v>1607.58</x:v>
      </x:c>
      <x:c r="H737" s="13" t="n">
        <x:v>99</x:v>
      </x:c>
      <x:c r="I737" s="13" t="n">
        <x:f>YEAR(B737)</x:f>
        <x:v>2024</x:v>
      </x:c>
      <x:c r="J737" s="13" t="n">
        <x:f>MONTH(B737)</x:f>
        <x:v>8</x:v>
      </x:c>
      <x:c r="K737" s="14" t="n">
        <x:f>ROUND(E737*F737-G737,10)</x:f>
        <x:v>0</x:v>
      </x:c>
      <x:c r="L737" s="2"/>
      <x:c r="M737" s="2"/>
      <x:c r="N737" s="2"/>
      <x:c r="O737" s="2"/>
      <x:c r="P737" s="2"/>
      <x:c r="Q737" s="2"/>
      <x:c r="R737" s="2"/>
    </x:row>
    <x:row r="738" ht="22" customHeight="1">
      <x:c r="A738" s="2" t="n">
        <x:v>100732</x:v>
      </x:c>
      <x:c r="B738" s="10" t="n">
        <x:v>45528</x:v>
      </x:c>
      <x:c r="C738" s="2" t="str">
        <x:v>Colômbia</x:v>
      </x:c>
      <x:c r="D738" s="2" t="str">
        <x:v>Acessórios</x:v>
      </x:c>
      <x:c r="E738" s="11" t="n">
        <x:v>47</x:v>
      </x:c>
      <x:c r="F738" s="12" t="n">
        <x:v>134.41</x:v>
      </x:c>
      <x:c r="G738" s="12" t="n">
        <x:v>6317.27</x:v>
      </x:c>
      <x:c r="H738" s="13" t="n">
        <x:v>386</x:v>
      </x:c>
      <x:c r="I738" s="13" t="n">
        <x:f>YEAR(B738)</x:f>
        <x:v>2024</x:v>
      </x:c>
      <x:c r="J738" s="13" t="n">
        <x:f>MONTH(B738)</x:f>
        <x:v>8</x:v>
      </x:c>
      <x:c r="K738" s="14" t="n">
        <x:f>ROUND(E738*F738-G738,10)</x:f>
        <x:v>0</x:v>
      </x:c>
      <x:c r="L738" s="2"/>
      <x:c r="M738" s="2"/>
      <x:c r="N738" s="2"/>
      <x:c r="O738" s="2"/>
      <x:c r="P738" s="2"/>
      <x:c r="Q738" s="2"/>
      <x:c r="R738" s="2"/>
    </x:row>
    <x:row r="739" ht="22" customHeight="1">
      <x:c r="A739" s="2" t="n">
        <x:v>100733</x:v>
      </x:c>
      <x:c r="B739" s="10" t="n">
        <x:v>45352</x:v>
      </x:c>
      <x:c r="C739" s="2" t="str">
        <x:v>Colômbia</x:v>
      </x:c>
      <x:c r="D739" s="2" t="str">
        <x:v>Moda Masculina</x:v>
      </x:c>
      <x:c r="E739" s="11" t="n">
        <x:v>34</x:v>
      </x:c>
      <x:c r="F739" s="12" t="n">
        <x:v>198.73</x:v>
      </x:c>
      <x:c r="G739" s="12" t="n">
        <x:v>6756.82</x:v>
      </x:c>
      <x:c r="H739" s="13" t="n">
        <x:v>144</x:v>
      </x:c>
      <x:c r="I739" s="13" t="n">
        <x:f>YEAR(B739)</x:f>
        <x:v>2024</x:v>
      </x:c>
      <x:c r="J739" s="13" t="n">
        <x:f>MONTH(B739)</x:f>
        <x:v>3</x:v>
      </x:c>
      <x:c r="K739" s="14" t="n">
        <x:f>ROUND(E739*F739-G739,10)</x:f>
        <x:v>0</x:v>
      </x:c>
      <x:c r="L739" s="2"/>
      <x:c r="M739" s="2"/>
      <x:c r="N739" s="2"/>
      <x:c r="O739" s="2"/>
      <x:c r="P739" s="2"/>
      <x:c r="Q739" s="2"/>
      <x:c r="R739" s="2"/>
    </x:row>
    <x:row r="740" ht="22" customHeight="1">
      <x:c r="A740" s="2" t="n">
        <x:v>100734</x:v>
      </x:c>
      <x:c r="B740" s="10" t="n">
        <x:v>45489</x:v>
      </x:c>
      <x:c r="C740" s="2" t="str">
        <x:v>México</x:v>
      </x:c>
      <x:c r="D740" s="2" t="str">
        <x:v>Acessórios</x:v>
      </x:c>
      <x:c r="E740" s="11" t="n">
        <x:v>23</x:v>
      </x:c>
      <x:c r="F740" s="12" t="n">
        <x:v>159.99</x:v>
      </x:c>
      <x:c r="G740" s="12" t="n">
        <x:v>3679.77</x:v>
      </x:c>
      <x:c r="H740" s="13" t="n">
        <x:v>317</x:v>
      </x:c>
      <x:c r="I740" s="13" t="n">
        <x:f>YEAR(B740)</x:f>
        <x:v>2024</x:v>
      </x:c>
      <x:c r="J740" s="13" t="n">
        <x:f>MONTH(B740)</x:f>
        <x:v>7</x:v>
      </x:c>
      <x:c r="K740" s="14" t="n">
        <x:f>ROUND(E740*F740-G740,10)</x:f>
        <x:v>0</x:v>
      </x:c>
      <x:c r="L740" s="2"/>
      <x:c r="M740" s="2"/>
      <x:c r="N740" s="2"/>
      <x:c r="O740" s="2"/>
      <x:c r="P740" s="2"/>
      <x:c r="Q740" s="2"/>
      <x:c r="R740" s="2"/>
    </x:row>
    <x:row r="741" ht="22" customHeight="1">
      <x:c r="A741" s="2" t="n">
        <x:v>100735</x:v>
      </x:c>
      <x:c r="B741" s="10" t="n">
        <x:v>45102</x:v>
      </x:c>
      <x:c r="C741" s="2" t="str">
        <x:v>Argentina</x:v>
      </x:c>
      <x:c r="D741" s="2" t="str">
        <x:v>Acessórios</x:v>
      </x:c>
      <x:c r="E741" s="11" t="n">
        <x:v>31</x:v>
      </x:c>
      <x:c r="F741" s="12" t="n">
        <x:v>60.65</x:v>
      </x:c>
      <x:c r="G741" s="12" t="n">
        <x:v>1880.15</x:v>
      </x:c>
      <x:c r="H741" s="13" t="n">
        <x:v>72</x:v>
      </x:c>
      <x:c r="I741" s="13" t="n">
        <x:f>YEAR(B741)</x:f>
        <x:v>2023</x:v>
      </x:c>
      <x:c r="J741" s="13" t="n">
        <x:f>MONTH(B741)</x:f>
        <x:v>6</x:v>
      </x:c>
      <x:c r="K741" s="14" t="n">
        <x:f>ROUND(E741*F741-G741,10)</x:f>
        <x:v>0</x:v>
      </x:c>
      <x:c r="L741" s="2"/>
      <x:c r="M741" s="2"/>
      <x:c r="N741" s="2"/>
      <x:c r="O741" s="2"/>
      <x:c r="P741" s="2"/>
      <x:c r="Q741" s="2"/>
      <x:c r="R741" s="2"/>
    </x:row>
    <x:row r="742" ht="22" customHeight="1">
      <x:c r="A742" s="2" t="n">
        <x:v>100736</x:v>
      </x:c>
      <x:c r="B742" s="10" t="n">
        <x:v>45039</x:v>
      </x:c>
      <x:c r="C742" s="2" t="str">
        <x:v>Colômbia</x:v>
      </x:c>
      <x:c r="D742" s="2" t="str">
        <x:v>Calçados</x:v>
      </x:c>
      <x:c r="E742" s="11" t="n">
        <x:v>20</x:v>
      </x:c>
      <x:c r="F742" s="12" t="n">
        <x:v>51.68</x:v>
      </x:c>
      <x:c r="G742" s="12" t="n">
        <x:v>1033.6</x:v>
      </x:c>
      <x:c r="H742" s="13" t="n">
        <x:v>103</x:v>
      </x:c>
      <x:c r="I742" s="13" t="n">
        <x:f>YEAR(B742)</x:f>
        <x:v>2023</x:v>
      </x:c>
      <x:c r="J742" s="13" t="n">
        <x:f>MONTH(B742)</x:f>
        <x:v>4</x:v>
      </x:c>
      <x:c r="K742" s="14" t="n">
        <x:f>ROUND(E742*F742-G742,10)</x:f>
        <x:v>0</x:v>
      </x:c>
      <x:c r="L742" s="2"/>
      <x:c r="M742" s="2"/>
      <x:c r="N742" s="2"/>
      <x:c r="O742" s="2"/>
      <x:c r="P742" s="2"/>
      <x:c r="Q742" s="2"/>
      <x:c r="R742" s="2"/>
    </x:row>
    <x:row r="743" ht="22" customHeight="1">
      <x:c r="A743" s="2" t="n">
        <x:v>100737</x:v>
      </x:c>
      <x:c r="B743" s="10" t="n">
        <x:v>45452</x:v>
      </x:c>
      <x:c r="C743" s="2" t="str">
        <x:v>Colômbia</x:v>
      </x:c>
      <x:c r="D743" s="2" t="str">
        <x:v>Acessórios</x:v>
      </x:c>
      <x:c r="E743" s="11" t="n">
        <x:v>12</x:v>
      </x:c>
      <x:c r="F743" s="12" t="n">
        <x:v>175.92</x:v>
      </x:c>
      <x:c r="G743" s="12" t="n">
        <x:v>2111.04</x:v>
      </x:c>
      <x:c r="H743" s="13" t="n">
        <x:v>423</x:v>
      </x:c>
      <x:c r="I743" s="13" t="n">
        <x:f>YEAR(B743)</x:f>
        <x:v>2024</x:v>
      </x:c>
      <x:c r="J743" s="13" t="n">
        <x:f>MONTH(B743)</x:f>
        <x:v>6</x:v>
      </x:c>
      <x:c r="K743" s="14" t="n">
        <x:f>ROUND(E743*F743-G743,10)</x:f>
        <x:v>0</x:v>
      </x:c>
      <x:c r="L743" s="2"/>
      <x:c r="M743" s="2"/>
      <x:c r="N743" s="2"/>
      <x:c r="O743" s="2"/>
      <x:c r="P743" s="2"/>
      <x:c r="Q743" s="2"/>
      <x:c r="R743" s="2"/>
    </x:row>
    <x:row r="744" ht="22" customHeight="1">
      <x:c r="A744" s="2" t="n">
        <x:v>100738</x:v>
      </x:c>
      <x:c r="B744" s="10" t="n">
        <x:v>45056</x:v>
      </x:c>
      <x:c r="C744" s="2" t="str">
        <x:v>Argentina</x:v>
      </x:c>
      <x:c r="D744" s="2" t="str">
        <x:v>Acessórios</x:v>
      </x:c>
      <x:c r="E744" s="11" t="n">
        <x:v>23</x:v>
      </x:c>
      <x:c r="F744" s="12" t="n">
        <x:v>99.95</x:v>
      </x:c>
      <x:c r="G744" s="12" t="n">
        <x:v>2298.85</x:v>
      </x:c>
      <x:c r="H744" s="13" t="n">
        <x:v>303</x:v>
      </x:c>
      <x:c r="I744" s="13" t="n">
        <x:f>YEAR(B744)</x:f>
        <x:v>2023</x:v>
      </x:c>
      <x:c r="J744" s="13" t="n">
        <x:f>MONTH(B744)</x:f>
        <x:v>5</x:v>
      </x:c>
      <x:c r="K744" s="14" t="n">
        <x:f>ROUND(E744*F744-G744,10)</x:f>
        <x:v>0</x:v>
      </x:c>
      <x:c r="L744" s="2"/>
      <x:c r="M744" s="2"/>
      <x:c r="N744" s="2"/>
      <x:c r="O744" s="2"/>
      <x:c r="P744" s="2"/>
      <x:c r="Q744" s="2"/>
      <x:c r="R744" s="2"/>
    </x:row>
    <x:row r="745" ht="22" customHeight="1">
      <x:c r="A745" s="2" t="n">
        <x:v>100739</x:v>
      </x:c>
      <x:c r="B745" s="10" t="n">
        <x:v>45122</x:v>
      </x:c>
      <x:c r="C745" s="2" t="str">
        <x:v>Argentina</x:v>
      </x:c>
      <x:c r="D745" s="2" t="str">
        <x:v>Moda Infantil</x:v>
      </x:c>
      <x:c r="E745" s="11" t="n">
        <x:v>4</x:v>
      </x:c>
      <x:c r="F745" s="12" t="n">
        <x:v>44.67</x:v>
      </x:c>
      <x:c r="G745" s="12" t="n">
        <x:v>178.68</x:v>
      </x:c>
      <x:c r="H745" s="13" t="n">
        <x:v>284</x:v>
      </x:c>
      <x:c r="I745" s="13" t="n">
        <x:f>YEAR(B745)</x:f>
        <x:v>2023</x:v>
      </x:c>
      <x:c r="J745" s="13" t="n">
        <x:f>MONTH(B745)</x:f>
        <x:v>7</x:v>
      </x:c>
      <x:c r="K745" s="14" t="n">
        <x:f>ROUND(E745*F745-G745,10)</x:f>
        <x:v>0</x:v>
      </x:c>
      <x:c r="L745" s="2"/>
      <x:c r="M745" s="2"/>
      <x:c r="N745" s="2"/>
      <x:c r="O745" s="2"/>
      <x:c r="P745" s="2"/>
      <x:c r="Q745" s="2"/>
      <x:c r="R745" s="2"/>
    </x:row>
    <x:row r="746" ht="22" customHeight="1">
      <x:c r="A746" s="2" t="n">
        <x:v>100740</x:v>
      </x:c>
      <x:c r="B746" s="10" t="n">
        <x:v>45452</x:v>
      </x:c>
      <x:c r="C746" s="2" t="str">
        <x:v>Colômbia</x:v>
      </x:c>
      <x:c r="D746" s="2" t="str">
        <x:v>Calçados</x:v>
      </x:c>
      <x:c r="E746" s="11" t="n">
        <x:v>23</x:v>
      </x:c>
      <x:c r="F746" s="12" t="n">
        <x:v>175.2</x:v>
      </x:c>
      <x:c r="G746" s="12" t="n">
        <x:v>4029.6</x:v>
      </x:c>
      <x:c r="H746" s="13" t="n">
        <x:v>108</x:v>
      </x:c>
      <x:c r="I746" s="13" t="n">
        <x:f>YEAR(B746)</x:f>
        <x:v>2024</x:v>
      </x:c>
      <x:c r="J746" s="13" t="n">
        <x:f>MONTH(B746)</x:f>
        <x:v>6</x:v>
      </x:c>
      <x:c r="K746" s="14" t="n">
        <x:f>ROUND(E746*F746-G746,10)</x:f>
        <x:v>0</x:v>
      </x:c>
      <x:c r="L746" s="2"/>
      <x:c r="M746" s="2"/>
      <x:c r="N746" s="2"/>
      <x:c r="O746" s="2"/>
      <x:c r="P746" s="2"/>
      <x:c r="Q746" s="2"/>
      <x:c r="R746" s="2"/>
    </x:row>
    <x:row r="747" ht="22" customHeight="1">
      <x:c r="A747" s="2" t="n">
        <x:v>100741</x:v>
      </x:c>
      <x:c r="B747" s="10" t="n">
        <x:v>45550</x:v>
      </x:c>
      <x:c r="C747" s="2" t="str">
        <x:v>Argentina</x:v>
      </x:c>
      <x:c r="D747" s="2" t="str">
        <x:v>Moda Feminina</x:v>
      </x:c>
      <x:c r="E747" s="11" t="n">
        <x:v>48</x:v>
      </x:c>
      <x:c r="F747" s="12" t="n">
        <x:v>166.9</x:v>
      </x:c>
      <x:c r="G747" s="12" t="n">
        <x:v>8011.200000000001</x:v>
      </x:c>
      <x:c r="H747" s="13" t="n">
        <x:v>213</x:v>
      </x:c>
      <x:c r="I747" s="13" t="n">
        <x:f>YEAR(B747)</x:f>
        <x:v>2024</x:v>
      </x:c>
      <x:c r="J747" s="13" t="n">
        <x:f>MONTH(B747)</x:f>
        <x:v>9</x:v>
      </x:c>
      <x:c r="K747" s="14" t="n">
        <x:f>ROUND(E747*F747-G747,10)</x:f>
        <x:v>0</x:v>
      </x:c>
      <x:c r="L747" s="2"/>
      <x:c r="M747" s="2"/>
      <x:c r="N747" s="2"/>
      <x:c r="O747" s="2"/>
      <x:c r="P747" s="2"/>
      <x:c r="Q747" s="2"/>
      <x:c r="R747" s="2"/>
    </x:row>
    <x:row r="748" ht="22" customHeight="1">
      <x:c r="A748" s="2" t="n">
        <x:v>100742</x:v>
      </x:c>
      <x:c r="B748" s="10" t="n">
        <x:v>45123</x:v>
      </x:c>
      <x:c r="C748" s="2" t="str">
        <x:v>Colômbia</x:v>
      </x:c>
      <x:c r="D748" s="2" t="str">
        <x:v>Moda Masculina</x:v>
      </x:c>
      <x:c r="E748" s="11" t="n">
        <x:v>48</x:v>
      </x:c>
      <x:c r="F748" s="12" t="n">
        <x:v>197.1</x:v>
      </x:c>
      <x:c r="G748" s="12" t="n">
        <x:v>9460.8</x:v>
      </x:c>
      <x:c r="H748" s="13" t="n">
        <x:v>308</x:v>
      </x:c>
      <x:c r="I748" s="13" t="n">
        <x:f>YEAR(B748)</x:f>
        <x:v>2023</x:v>
      </x:c>
      <x:c r="J748" s="13" t="n">
        <x:f>MONTH(B748)</x:f>
        <x:v>7</x:v>
      </x:c>
      <x:c r="K748" s="14" t="n">
        <x:f>ROUND(E748*F748-G748,10)</x:f>
        <x:v>0</x:v>
      </x:c>
      <x:c r="L748" s="2"/>
      <x:c r="M748" s="2"/>
      <x:c r="N748" s="2"/>
      <x:c r="O748" s="2"/>
      <x:c r="P748" s="2"/>
      <x:c r="Q748" s="2"/>
      <x:c r="R748" s="2"/>
    </x:row>
    <x:row r="749" ht="22" customHeight="1">
      <x:c r="A749" s="2" t="n">
        <x:v>100743</x:v>
      </x:c>
      <x:c r="B749" s="10" t="n">
        <x:v>45218</x:v>
      </x:c>
      <x:c r="C749" s="2" t="str">
        <x:v>Colômbia</x:v>
      </x:c>
      <x:c r="D749" s="2" t="str">
        <x:v>Acessórios</x:v>
      </x:c>
      <x:c r="E749" s="11" t="n">
        <x:v>1</x:v>
      </x:c>
      <x:c r="F749" s="12" t="n">
        <x:v>183.75</x:v>
      </x:c>
      <x:c r="G749" s="12" t="n">
        <x:v>183.75</x:v>
      </x:c>
      <x:c r="H749" s="13" t="n">
        <x:v>363</x:v>
      </x:c>
      <x:c r="I749" s="13" t="n">
        <x:f>YEAR(B749)</x:f>
        <x:v>2023</x:v>
      </x:c>
      <x:c r="J749" s="13" t="n">
        <x:f>MONTH(B749)</x:f>
        <x:v>10</x:v>
      </x:c>
      <x:c r="K749" s="14" t="n">
        <x:f>ROUND(E749*F749-G749,10)</x:f>
        <x:v>0</x:v>
      </x:c>
      <x:c r="L749" s="2"/>
      <x:c r="M749" s="2"/>
      <x:c r="N749" s="2"/>
      <x:c r="O749" s="2"/>
      <x:c r="P749" s="2"/>
      <x:c r="Q749" s="2"/>
      <x:c r="R749" s="2"/>
    </x:row>
    <x:row r="750" ht="22" customHeight="1">
      <x:c r="A750" s="2" t="n">
        <x:v>100744</x:v>
      </x:c>
      <x:c r="B750" s="10" t="n">
        <x:v>44981</x:v>
      </x:c>
      <x:c r="C750" s="2" t="str">
        <x:v>México</x:v>
      </x:c>
      <x:c r="D750" s="2" t="str">
        <x:v>Moda Masculina</x:v>
      </x:c>
      <x:c r="E750" s="11" t="n">
        <x:v>25</x:v>
      </x:c>
      <x:c r="F750" s="12" t="n">
        <x:v>173.32</x:v>
      </x:c>
      <x:c r="G750" s="12" t="n">
        <x:v>4333</x:v>
      </x:c>
      <x:c r="H750" s="13" t="n">
        <x:v>265</x:v>
      </x:c>
      <x:c r="I750" s="13" t="n">
        <x:f>YEAR(B750)</x:f>
        <x:v>2023</x:v>
      </x:c>
      <x:c r="J750" s="13" t="n">
        <x:f>MONTH(B750)</x:f>
        <x:v>2</x:v>
      </x:c>
      <x:c r="K750" s="14" t="n">
        <x:f>ROUND(E750*F750-G750,10)</x:f>
        <x:v>0</x:v>
      </x:c>
      <x:c r="L750" s="2"/>
      <x:c r="M750" s="2"/>
      <x:c r="N750" s="2"/>
      <x:c r="O750" s="2"/>
      <x:c r="P750" s="2"/>
      <x:c r="Q750" s="2"/>
      <x:c r="R750" s="2"/>
    </x:row>
    <x:row r="751" ht="22" customHeight="1">
      <x:c r="A751" s="2" t="n">
        <x:v>100745</x:v>
      </x:c>
      <x:c r="B751" s="10" t="n">
        <x:v>45331</x:v>
      </x:c>
      <x:c r="C751" s="2" t="str">
        <x:v>Brasil</x:v>
      </x:c>
      <x:c r="D751" s="2" t="str">
        <x:v>Moda Feminina</x:v>
      </x:c>
      <x:c r="E751" s="11" t="n">
        <x:v>2</x:v>
      </x:c>
      <x:c r="F751" s="12" t="n">
        <x:v>29.46</x:v>
      </x:c>
      <x:c r="G751" s="12" t="n">
        <x:v>58.92</x:v>
      </x:c>
      <x:c r="H751" s="13" t="n">
        <x:v>232</x:v>
      </x:c>
      <x:c r="I751" s="13" t="n">
        <x:f>YEAR(B751)</x:f>
        <x:v>2024</x:v>
      </x:c>
      <x:c r="J751" s="13" t="n">
        <x:f>MONTH(B751)</x:f>
        <x:v>2</x:v>
      </x:c>
      <x:c r="K751" s="14" t="n">
        <x:f>ROUND(E751*F751-G751,10)</x:f>
        <x:v>0</x:v>
      </x:c>
      <x:c r="L751" s="2"/>
      <x:c r="M751" s="2"/>
      <x:c r="N751" s="2"/>
      <x:c r="O751" s="2"/>
      <x:c r="P751" s="2"/>
      <x:c r="Q751" s="2"/>
      <x:c r="R751" s="2"/>
    </x:row>
    <x:row r="752" ht="22" customHeight="1">
      <x:c r="A752" s="2" t="n">
        <x:v>100746</x:v>
      </x:c>
      <x:c r="B752" s="10" t="n">
        <x:v>45232</x:v>
      </x:c>
      <x:c r="C752" s="2" t="str">
        <x:v>Colômbia</x:v>
      </x:c>
      <x:c r="D752" s="2" t="str">
        <x:v>Moda Masculina</x:v>
      </x:c>
      <x:c r="E752" s="11" t="n">
        <x:v>30</x:v>
      </x:c>
      <x:c r="F752" s="12" t="n">
        <x:v>38.79</x:v>
      </x:c>
      <x:c r="G752" s="12" t="n">
        <x:v>1163.7</x:v>
      </x:c>
      <x:c r="H752" s="13" t="n">
        <x:v>106</x:v>
      </x:c>
      <x:c r="I752" s="13" t="n">
        <x:f>YEAR(B752)</x:f>
        <x:v>2023</x:v>
      </x:c>
      <x:c r="J752" s="13" t="n">
        <x:f>MONTH(B752)</x:f>
        <x:v>11</x:v>
      </x:c>
      <x:c r="K752" s="14" t="n">
        <x:f>ROUND(E752*F752-G752,10)</x:f>
        <x:v>0</x:v>
      </x:c>
      <x:c r="L752" s="2"/>
      <x:c r="M752" s="2"/>
      <x:c r="N752" s="2"/>
      <x:c r="O752" s="2"/>
      <x:c r="P752" s="2"/>
      <x:c r="Q752" s="2"/>
      <x:c r="R752" s="2"/>
    </x:row>
    <x:row r="753" ht="22" customHeight="1">
      <x:c r="A753" s="2" t="n">
        <x:v>100747</x:v>
      </x:c>
      <x:c r="B753" s="10" t="n">
        <x:v>45193</x:v>
      </x:c>
      <x:c r="C753" s="2" t="str">
        <x:v>Chile</x:v>
      </x:c>
      <x:c r="D753" s="2" t="str">
        <x:v>Moda Feminina</x:v>
      </x:c>
      <x:c r="E753" s="11" t="n">
        <x:v>3</x:v>
      </x:c>
      <x:c r="F753" s="12" t="n">
        <x:v>122.42</x:v>
      </x:c>
      <x:c r="G753" s="12" t="n">
        <x:v>367.26</x:v>
      </x:c>
      <x:c r="H753" s="13" t="n">
        <x:v>194</x:v>
      </x:c>
      <x:c r="I753" s="13" t="n">
        <x:f>YEAR(B753)</x:f>
        <x:v>2023</x:v>
      </x:c>
      <x:c r="J753" s="13" t="n">
        <x:f>MONTH(B753)</x:f>
        <x:v>9</x:v>
      </x:c>
      <x:c r="K753" s="14" t="n">
        <x:f>ROUND(E753*F753-G753,10)</x:f>
        <x:v>0</x:v>
      </x:c>
      <x:c r="L753" s="2"/>
      <x:c r="M753" s="2"/>
      <x:c r="N753" s="2"/>
      <x:c r="O753" s="2"/>
      <x:c r="P753" s="2"/>
      <x:c r="Q753" s="2"/>
      <x:c r="R753" s="2"/>
    </x:row>
    <x:row r="754" ht="22" customHeight="1">
      <x:c r="A754" s="2" t="n">
        <x:v>100748</x:v>
      </x:c>
      <x:c r="B754" s="10" t="n">
        <x:v>45427</x:v>
      </x:c>
      <x:c r="C754" s="2" t="str">
        <x:v>Peru</x:v>
      </x:c>
      <x:c r="D754" s="2" t="str">
        <x:v>Moda Infantil</x:v>
      </x:c>
      <x:c r="E754" s="11" t="n">
        <x:v>21</x:v>
      </x:c>
      <x:c r="F754" s="12" t="n">
        <x:v>115.67</x:v>
      </x:c>
      <x:c r="G754" s="12" t="n">
        <x:v>2429.07</x:v>
      </x:c>
      <x:c r="H754" s="13" t="n">
        <x:v>472</x:v>
      </x:c>
      <x:c r="I754" s="13" t="n">
        <x:f>YEAR(B754)</x:f>
        <x:v>2024</x:v>
      </x:c>
      <x:c r="J754" s="13" t="n">
        <x:f>MONTH(B754)</x:f>
        <x:v>5</x:v>
      </x:c>
      <x:c r="K754" s="14" t="n">
        <x:f>ROUND(E754*F754-G754,10)</x:f>
        <x:v>0</x:v>
      </x:c>
      <x:c r="L754" s="2"/>
      <x:c r="M754" s="2"/>
      <x:c r="N754" s="2"/>
      <x:c r="O754" s="2"/>
      <x:c r="P754" s="2"/>
      <x:c r="Q754" s="2"/>
      <x:c r="R754" s="2"/>
    </x:row>
    <x:row r="755" ht="22" customHeight="1">
      <x:c r="A755" s="2" t="n">
        <x:v>100749</x:v>
      </x:c>
      <x:c r="B755" s="10" t="n">
        <x:v>44983</x:v>
      </x:c>
      <x:c r="C755" s="2" t="str">
        <x:v>Brasil</x:v>
      </x:c>
      <x:c r="D755" s="2" t="str">
        <x:v>Acessórios</x:v>
      </x:c>
      <x:c r="E755" s="11" t="n">
        <x:v>25</x:v>
      </x:c>
      <x:c r="F755" s="12" t="n">
        <x:v>102.43</x:v>
      </x:c>
      <x:c r="G755" s="12" t="n">
        <x:v>2560.75</x:v>
      </x:c>
      <x:c r="H755" s="13" t="n">
        <x:v>139</x:v>
      </x:c>
      <x:c r="I755" s="13" t="n">
        <x:f>YEAR(B755)</x:f>
        <x:v>2023</x:v>
      </x:c>
      <x:c r="J755" s="13" t="n">
        <x:f>MONTH(B755)</x:f>
        <x:v>2</x:v>
      </x:c>
      <x:c r="K755" s="14" t="n">
        <x:f>ROUND(E755*F755-G755,10)</x:f>
        <x:v>0</x:v>
      </x:c>
      <x:c r="L755" s="2"/>
      <x:c r="M755" s="2"/>
      <x:c r="N755" s="2"/>
      <x:c r="O755" s="2"/>
      <x:c r="P755" s="2"/>
      <x:c r="Q755" s="2"/>
      <x:c r="R755" s="2"/>
    </x:row>
    <x:row r="756" ht="22" customHeight="1">
      <x:c r="A756" s="2" t="n">
        <x:v>100750</x:v>
      </x:c>
      <x:c r="B756" s="10" t="n">
        <x:v>45562</x:v>
      </x:c>
      <x:c r="C756" s="2" t="str">
        <x:v>Brasil</x:v>
      </x:c>
      <x:c r="D756" s="2" t="str">
        <x:v>Moda Feminina</x:v>
      </x:c>
      <x:c r="E756" s="11" t="n">
        <x:v>20</x:v>
      </x:c>
      <x:c r="F756" s="12" t="n">
        <x:v>91.42</x:v>
      </x:c>
      <x:c r="G756" s="12" t="n">
        <x:v>1828.4</x:v>
      </x:c>
      <x:c r="H756" s="13" t="n">
        <x:v>360</x:v>
      </x:c>
      <x:c r="I756" s="13" t="n">
        <x:f>YEAR(B756)</x:f>
        <x:v>2024</x:v>
      </x:c>
      <x:c r="J756" s="13" t="n">
        <x:f>MONTH(B756)</x:f>
        <x:v>9</x:v>
      </x:c>
      <x:c r="K756" s="14" t="n">
        <x:f>ROUND(E756*F756-G756,10)</x:f>
        <x:v>0</x:v>
      </x:c>
      <x:c r="L756" s="2"/>
      <x:c r="M756" s="2"/>
      <x:c r="N756" s="2"/>
      <x:c r="O756" s="2"/>
      <x:c r="P756" s="2"/>
      <x:c r="Q756" s="2"/>
      <x:c r="R756" s="2"/>
    </x:row>
    <x:row r="757" ht="22" customHeight="1">
      <x:c r="A757" s="2" t="n">
        <x:v>100751</x:v>
      </x:c>
      <x:c r="B757" s="10" t="n">
        <x:v>45406</x:v>
      </x:c>
      <x:c r="C757" s="2" t="str">
        <x:v>Brasil</x:v>
      </x:c>
      <x:c r="D757" s="2" t="str">
        <x:v>Moda Masculina</x:v>
      </x:c>
      <x:c r="E757" s="11" t="n">
        <x:v>49</x:v>
      </x:c>
      <x:c r="F757" s="12" t="n">
        <x:v>97.62</x:v>
      </x:c>
      <x:c r="G757" s="12" t="n">
        <x:v>4783.38</x:v>
      </x:c>
      <x:c r="H757" s="13" t="n">
        <x:v>94</x:v>
      </x:c>
      <x:c r="I757" s="13" t="n">
        <x:f>YEAR(B757)</x:f>
        <x:v>2024</x:v>
      </x:c>
      <x:c r="J757" s="13" t="n">
        <x:f>MONTH(B757)</x:f>
        <x:v>4</x:v>
      </x:c>
      <x:c r="K757" s="14" t="n">
        <x:f>ROUND(E757*F757-G757,10)</x:f>
        <x:v>0</x:v>
      </x:c>
      <x:c r="L757" s="2"/>
      <x:c r="M757" s="2"/>
      <x:c r="N757" s="2"/>
      <x:c r="O757" s="2"/>
      <x:c r="P757" s="2"/>
      <x:c r="Q757" s="2"/>
      <x:c r="R757" s="2"/>
    </x:row>
    <x:row r="758" ht="22" customHeight="1">
      <x:c r="A758" s="2" t="n">
        <x:v>100752</x:v>
      </x:c>
      <x:c r="B758" s="10" t="n">
        <x:v>45203</x:v>
      </x:c>
      <x:c r="C758" s="2" t="str">
        <x:v>México</x:v>
      </x:c>
      <x:c r="D758" s="2" t="str">
        <x:v>Acessórios</x:v>
      </x:c>
      <x:c r="E758" s="11" t="n">
        <x:v>22</x:v>
      </x:c>
      <x:c r="F758" s="12" t="n">
        <x:v>122.47</x:v>
      </x:c>
      <x:c r="G758" s="12" t="n">
        <x:v>2694.34</x:v>
      </x:c>
      <x:c r="H758" s="13" t="n">
        <x:v>306</x:v>
      </x:c>
      <x:c r="I758" s="13" t="n">
        <x:f>YEAR(B758)</x:f>
        <x:v>2023</x:v>
      </x:c>
      <x:c r="J758" s="13" t="n">
        <x:f>MONTH(B758)</x:f>
        <x:v>10</x:v>
      </x:c>
      <x:c r="K758" s="14" t="n">
        <x:f>ROUND(E758*F758-G758,10)</x:f>
        <x:v>0</x:v>
      </x:c>
      <x:c r="L758" s="2"/>
      <x:c r="M758" s="2"/>
      <x:c r="N758" s="2"/>
      <x:c r="O758" s="2"/>
      <x:c r="P758" s="2"/>
      <x:c r="Q758" s="2"/>
      <x:c r="R758" s="2"/>
    </x:row>
    <x:row r="759" ht="22" customHeight="1">
      <x:c r="A759" s="2" t="n">
        <x:v>100753</x:v>
      </x:c>
      <x:c r="B759" s="10" t="n">
        <x:v>45574</x:v>
      </x:c>
      <x:c r="C759" s="2" t="str">
        <x:v>Colômbia</x:v>
      </x:c>
      <x:c r="D759" s="2" t="str">
        <x:v>Moda Infantil</x:v>
      </x:c>
      <x:c r="E759" s="11" t="n">
        <x:v>21</x:v>
      </x:c>
      <x:c r="F759" s="12" t="n">
        <x:v>20.37</x:v>
      </x:c>
      <x:c r="G759" s="12" t="n">
        <x:v>427.77</x:v>
      </x:c>
      <x:c r="H759" s="13" t="n">
        <x:v>70</x:v>
      </x:c>
      <x:c r="I759" s="13" t="n">
        <x:f>YEAR(B759)</x:f>
        <x:v>2024</x:v>
      </x:c>
      <x:c r="J759" s="13" t="n">
        <x:f>MONTH(B759)</x:f>
        <x:v>10</x:v>
      </x:c>
      <x:c r="K759" s="14" t="n">
        <x:f>ROUND(E759*F759-G759,10)</x:f>
        <x:v>0</x:v>
      </x:c>
      <x:c r="L759" s="2"/>
      <x:c r="M759" s="2"/>
      <x:c r="N759" s="2"/>
      <x:c r="O759" s="2"/>
      <x:c r="P759" s="2"/>
      <x:c r="Q759" s="2"/>
      <x:c r="R759" s="2"/>
    </x:row>
    <x:row r="760" ht="22" customHeight="1">
      <x:c r="A760" s="2" t="n">
        <x:v>100754</x:v>
      </x:c>
      <x:c r="B760" s="10" t="n">
        <x:v>44939</x:v>
      </x:c>
      <x:c r="C760" s="2" t="str">
        <x:v>México</x:v>
      </x:c>
      <x:c r="D760" s="2" t="str">
        <x:v>Acessórios</x:v>
      </x:c>
      <x:c r="E760" s="11" t="n">
        <x:v>33</x:v>
      </x:c>
      <x:c r="F760" s="12" t="n">
        <x:v>66.93</x:v>
      </x:c>
      <x:c r="G760" s="12" t="n">
        <x:v>2208.69</x:v>
      </x:c>
      <x:c r="H760" s="13" t="n">
        <x:v>70</x:v>
      </x:c>
      <x:c r="I760" s="13" t="n">
        <x:f>YEAR(B760)</x:f>
        <x:v>2023</x:v>
      </x:c>
      <x:c r="J760" s="13" t="n">
        <x:f>MONTH(B760)</x:f>
        <x:v>1</x:v>
      </x:c>
      <x:c r="K760" s="14" t="n">
        <x:f>ROUND(E760*F760-G760,10)</x:f>
        <x:v>0</x:v>
      </x:c>
      <x:c r="L760" s="2"/>
      <x:c r="M760" s="2"/>
      <x:c r="N760" s="2"/>
      <x:c r="O760" s="2"/>
      <x:c r="P760" s="2"/>
      <x:c r="Q760" s="2"/>
      <x:c r="R760" s="2"/>
    </x:row>
    <x:row r="761" ht="22" customHeight="1">
      <x:c r="A761" s="2" t="n">
        <x:v>100755</x:v>
      </x:c>
      <x:c r="B761" s="10" t="n">
        <x:v>45133</x:v>
      </x:c>
      <x:c r="C761" s="2" t="str">
        <x:v>Colômbia</x:v>
      </x:c>
      <x:c r="D761" s="2" t="str">
        <x:v>Moda Feminina</x:v>
      </x:c>
      <x:c r="E761" s="11" t="n">
        <x:v>38</x:v>
      </x:c>
      <x:c r="F761" s="12" t="n">
        <x:v>113.29</x:v>
      </x:c>
      <x:c r="G761" s="12" t="n">
        <x:v>4305.02</x:v>
      </x:c>
      <x:c r="H761" s="13" t="n">
        <x:v>101</x:v>
      </x:c>
      <x:c r="I761" s="13" t="n">
        <x:f>YEAR(B761)</x:f>
        <x:v>2023</x:v>
      </x:c>
      <x:c r="J761" s="13" t="n">
        <x:f>MONTH(B761)</x:f>
        <x:v>7</x:v>
      </x:c>
      <x:c r="K761" s="14" t="n">
        <x:f>ROUND(E761*F761-G761,10)</x:f>
        <x:v>0</x:v>
      </x:c>
      <x:c r="L761" s="2"/>
      <x:c r="M761" s="2"/>
      <x:c r="N761" s="2"/>
      <x:c r="O761" s="2"/>
      <x:c r="P761" s="2"/>
      <x:c r="Q761" s="2"/>
      <x:c r="R761" s="2"/>
    </x:row>
    <x:row r="762" ht="22" customHeight="1">
      <x:c r="A762" s="2" t="n">
        <x:v>100756</x:v>
      </x:c>
      <x:c r="B762" s="10" t="n">
        <x:v>45162</x:v>
      </x:c>
      <x:c r="C762" s="2" t="str">
        <x:v>México</x:v>
      </x:c>
      <x:c r="D762" s="2" t="str">
        <x:v>Moda Infantil</x:v>
      </x:c>
      <x:c r="E762" s="11" t="n">
        <x:v>15</x:v>
      </x:c>
      <x:c r="F762" s="12" t="n">
        <x:v>150</x:v>
      </x:c>
      <x:c r="G762" s="12" t="n">
        <x:v>2250</x:v>
      </x:c>
      <x:c r="H762" s="13" t="n">
        <x:v>387</x:v>
      </x:c>
      <x:c r="I762" s="13" t="n">
        <x:f>YEAR(B762)</x:f>
        <x:v>2023</x:v>
      </x:c>
      <x:c r="J762" s="13" t="n">
        <x:f>MONTH(B762)</x:f>
        <x:v>8</x:v>
      </x:c>
      <x:c r="K762" s="14" t="n">
        <x:f>ROUND(E762*F762-G762,10)</x:f>
        <x:v>0</x:v>
      </x:c>
      <x:c r="L762" s="2"/>
      <x:c r="M762" s="2"/>
      <x:c r="N762" s="2"/>
      <x:c r="O762" s="2"/>
      <x:c r="P762" s="2"/>
      <x:c r="Q762" s="2"/>
      <x:c r="R762" s="2"/>
    </x:row>
    <x:row r="763" ht="22" customHeight="1">
      <x:c r="A763" s="2" t="n">
        <x:v>100757</x:v>
      </x:c>
      <x:c r="B763" s="10" t="n">
        <x:v>45638</x:v>
      </x:c>
      <x:c r="C763" s="2" t="str">
        <x:v>México</x:v>
      </x:c>
      <x:c r="D763" s="2" t="str">
        <x:v>Moda Masculina</x:v>
      </x:c>
      <x:c r="E763" s="11" t="n">
        <x:v>46</x:v>
      </x:c>
      <x:c r="F763" s="12" t="n">
        <x:v>51.35</x:v>
      </x:c>
      <x:c r="G763" s="12" t="n">
        <x:v>2362.1</x:v>
      </x:c>
      <x:c r="H763" s="13" t="n">
        <x:v>220</x:v>
      </x:c>
      <x:c r="I763" s="13" t="n">
        <x:f>YEAR(B763)</x:f>
        <x:v>2024</x:v>
      </x:c>
      <x:c r="J763" s="13" t="n">
        <x:f>MONTH(B763)</x:f>
        <x:v>12</x:v>
      </x:c>
      <x:c r="K763" s="14" t="n">
        <x:f>ROUND(E763*F763-G763,10)</x:f>
        <x:v>0</x:v>
      </x:c>
      <x:c r="L763" s="2"/>
      <x:c r="M763" s="2"/>
      <x:c r="N763" s="2"/>
      <x:c r="O763" s="2"/>
      <x:c r="P763" s="2"/>
      <x:c r="Q763" s="2"/>
      <x:c r="R763" s="2"/>
    </x:row>
    <x:row r="764" ht="22" customHeight="1">
      <x:c r="A764" s="2" t="n">
        <x:v>100758</x:v>
      </x:c>
      <x:c r="B764" s="10" t="n">
        <x:v>45452</x:v>
      </x:c>
      <x:c r="C764" s="2" t="str">
        <x:v>Peru</x:v>
      </x:c>
      <x:c r="D764" s="2" t="str">
        <x:v>Moda Infantil</x:v>
      </x:c>
      <x:c r="E764" s="11" t="n">
        <x:v>15</x:v>
      </x:c>
      <x:c r="F764" s="12" t="n">
        <x:v>118.44</x:v>
      </x:c>
      <x:c r="G764" s="12" t="n">
        <x:v>1776.6</x:v>
      </x:c>
      <x:c r="H764" s="13" t="n">
        <x:v>485</x:v>
      </x:c>
      <x:c r="I764" s="13" t="n">
        <x:f>YEAR(B764)</x:f>
        <x:v>2024</x:v>
      </x:c>
      <x:c r="J764" s="13" t="n">
        <x:f>MONTH(B764)</x:f>
        <x:v>6</x:v>
      </x:c>
      <x:c r="K764" s="14" t="n">
        <x:f>ROUND(E764*F764-G764,10)</x:f>
        <x:v>0</x:v>
      </x:c>
      <x:c r="L764" s="2"/>
      <x:c r="M764" s="2"/>
      <x:c r="N764" s="2"/>
      <x:c r="O764" s="2"/>
      <x:c r="P764" s="2"/>
      <x:c r="Q764" s="2"/>
      <x:c r="R764" s="2"/>
    </x:row>
    <x:row r="765" ht="22" customHeight="1">
      <x:c r="A765" s="2" t="n">
        <x:v>100759</x:v>
      </x:c>
      <x:c r="B765" s="10" t="n">
        <x:v>45238</x:v>
      </x:c>
      <x:c r="C765" s="2" t="str">
        <x:v>Chile</x:v>
      </x:c>
      <x:c r="D765" s="2" t="str">
        <x:v>Moda Infantil</x:v>
      </x:c>
      <x:c r="E765" s="11" t="n">
        <x:v>46</x:v>
      </x:c>
      <x:c r="F765" s="12" t="n">
        <x:v>148.6</x:v>
      </x:c>
      <x:c r="G765" s="12" t="n">
        <x:v>6835.599999999999</x:v>
      </x:c>
      <x:c r="H765" s="13" t="n">
        <x:v>116</x:v>
      </x:c>
      <x:c r="I765" s="13" t="n">
        <x:f>YEAR(B765)</x:f>
        <x:v>2023</x:v>
      </x:c>
      <x:c r="J765" s="13" t="n">
        <x:f>MONTH(B765)</x:f>
        <x:v>11</x:v>
      </x:c>
      <x:c r="K765" s="14" t="n">
        <x:f>ROUND(E765*F765-G765,10)</x:f>
        <x:v>0</x:v>
      </x:c>
      <x:c r="L765" s="2"/>
      <x:c r="M765" s="2"/>
      <x:c r="N765" s="2"/>
      <x:c r="O765" s="2"/>
      <x:c r="P765" s="2"/>
      <x:c r="Q765" s="2"/>
      <x:c r="R765" s="2"/>
    </x:row>
    <x:row r="766" ht="22" customHeight="1">
      <x:c r="A766" s="2" t="n">
        <x:v>100760</x:v>
      </x:c>
      <x:c r="B766" s="10" t="n">
        <x:v>45027</x:v>
      </x:c>
      <x:c r="C766" s="2" t="str">
        <x:v>México</x:v>
      </x:c>
      <x:c r="D766" s="2" t="str">
        <x:v>Calçados</x:v>
      </x:c>
      <x:c r="E766" s="11" t="n">
        <x:v>25</x:v>
      </x:c>
      <x:c r="F766" s="12" t="n">
        <x:v>100.03</x:v>
      </x:c>
      <x:c r="G766" s="12" t="n">
        <x:v>2500.75</x:v>
      </x:c>
      <x:c r="H766" s="13" t="n">
        <x:v>162</x:v>
      </x:c>
      <x:c r="I766" s="13" t="n">
        <x:f>YEAR(B766)</x:f>
        <x:v>2023</x:v>
      </x:c>
      <x:c r="J766" s="13" t="n">
        <x:f>MONTH(B766)</x:f>
        <x:v>4</x:v>
      </x:c>
      <x:c r="K766" s="14" t="n">
        <x:f>ROUND(E766*F766-G766,10)</x:f>
        <x:v>0</x:v>
      </x:c>
      <x:c r="L766" s="2"/>
      <x:c r="M766" s="2"/>
      <x:c r="N766" s="2"/>
      <x:c r="O766" s="2"/>
      <x:c r="P766" s="2"/>
      <x:c r="Q766" s="2"/>
      <x:c r="R766" s="2"/>
    </x:row>
    <x:row r="767" ht="22" customHeight="1">
      <x:c r="A767" s="2" t="n">
        <x:v>100761</x:v>
      </x:c>
      <x:c r="B767" s="10" t="n">
        <x:v>45540</x:v>
      </x:c>
      <x:c r="C767" s="2" t="str">
        <x:v>Peru</x:v>
      </x:c>
      <x:c r="D767" s="2" t="str">
        <x:v>Moda Infantil</x:v>
      </x:c>
      <x:c r="E767" s="11" t="n">
        <x:v>21</x:v>
      </x:c>
      <x:c r="F767" s="12" t="n">
        <x:v>24.87</x:v>
      </x:c>
      <x:c r="G767" s="12" t="n">
        <x:v>522.27</x:v>
      </x:c>
      <x:c r="H767" s="13" t="n">
        <x:v>349</x:v>
      </x:c>
      <x:c r="I767" s="13" t="n">
        <x:f>YEAR(B767)</x:f>
        <x:v>2024</x:v>
      </x:c>
      <x:c r="J767" s="13" t="n">
        <x:f>MONTH(B767)</x:f>
        <x:v>9</x:v>
      </x:c>
      <x:c r="K767" s="14" t="n">
        <x:f>ROUND(E767*F767-G767,10)</x:f>
        <x:v>0</x:v>
      </x:c>
      <x:c r="L767" s="2"/>
      <x:c r="M767" s="2"/>
      <x:c r="N767" s="2"/>
      <x:c r="O767" s="2"/>
      <x:c r="P767" s="2"/>
      <x:c r="Q767" s="2"/>
      <x:c r="R767" s="2"/>
    </x:row>
    <x:row r="768" ht="22" customHeight="1">
      <x:c r="A768" s="2" t="n">
        <x:v>100762</x:v>
      </x:c>
      <x:c r="B768" s="10" t="n">
        <x:v>45499</x:v>
      </x:c>
      <x:c r="C768" s="2" t="str">
        <x:v>Argentina</x:v>
      </x:c>
      <x:c r="D768" s="2" t="str">
        <x:v>Moda Infantil</x:v>
      </x:c>
      <x:c r="E768" s="11" t="n">
        <x:v>24</x:v>
      </x:c>
      <x:c r="F768" s="12" t="n">
        <x:v>100.87</x:v>
      </x:c>
      <x:c r="G768" s="12" t="n">
        <x:v>2420.88</x:v>
      </x:c>
      <x:c r="H768" s="13" t="n">
        <x:v>209</x:v>
      </x:c>
      <x:c r="I768" s="13" t="n">
        <x:f>YEAR(B768)</x:f>
        <x:v>2024</x:v>
      </x:c>
      <x:c r="J768" s="13" t="n">
        <x:f>MONTH(B768)</x:f>
        <x:v>7</x:v>
      </x:c>
      <x:c r="K768" s="14" t="n">
        <x:f>ROUND(E768*F768-G768,10)</x:f>
        <x:v>0</x:v>
      </x:c>
      <x:c r="L768" s="2"/>
      <x:c r="M768" s="2"/>
      <x:c r="N768" s="2"/>
      <x:c r="O768" s="2"/>
      <x:c r="P768" s="2"/>
      <x:c r="Q768" s="2"/>
      <x:c r="R768" s="2"/>
    </x:row>
    <x:row r="769" ht="22" customHeight="1">
      <x:c r="A769" s="2" t="n">
        <x:v>100763</x:v>
      </x:c>
      <x:c r="B769" s="10" t="n">
        <x:v>45547</x:v>
      </x:c>
      <x:c r="C769" s="2" t="str">
        <x:v>Chile</x:v>
      </x:c>
      <x:c r="D769" s="2" t="str">
        <x:v>Acessórios</x:v>
      </x:c>
      <x:c r="E769" s="11" t="n">
        <x:v>5</x:v>
      </x:c>
      <x:c r="F769" s="12" t="n">
        <x:v>73.36</x:v>
      </x:c>
      <x:c r="G769" s="12" t="n">
        <x:v>366.8</x:v>
      </x:c>
      <x:c r="H769" s="13" t="n">
        <x:v>315</x:v>
      </x:c>
      <x:c r="I769" s="13" t="n">
        <x:f>YEAR(B769)</x:f>
        <x:v>2024</x:v>
      </x:c>
      <x:c r="J769" s="13" t="n">
        <x:f>MONTH(B769)</x:f>
        <x:v>9</x:v>
      </x:c>
      <x:c r="K769" s="14" t="n">
        <x:f>ROUND(E769*F769-G769,10)</x:f>
        <x:v>0</x:v>
      </x:c>
      <x:c r="L769" s="2"/>
      <x:c r="M769" s="2"/>
      <x:c r="N769" s="2"/>
      <x:c r="O769" s="2"/>
      <x:c r="P769" s="2"/>
      <x:c r="Q769" s="2"/>
      <x:c r="R769" s="2"/>
    </x:row>
    <x:row r="770" ht="22" customHeight="1">
      <x:c r="A770" s="2" t="n">
        <x:v>100764</x:v>
      </x:c>
      <x:c r="B770" s="10" t="n">
        <x:v>45327</x:v>
      </x:c>
      <x:c r="C770" s="2" t="str">
        <x:v>México</x:v>
      </x:c>
      <x:c r="D770" s="2" t="str">
        <x:v>Moda Masculina</x:v>
      </x:c>
      <x:c r="E770" s="11" t="n">
        <x:v>6</x:v>
      </x:c>
      <x:c r="F770" s="12" t="n">
        <x:v>187.34</x:v>
      </x:c>
      <x:c r="G770" s="12" t="n">
        <x:v>1124.04</x:v>
      </x:c>
      <x:c r="H770" s="13" t="n">
        <x:v>369</x:v>
      </x:c>
      <x:c r="I770" s="13" t="n">
        <x:f>YEAR(B770)</x:f>
        <x:v>2024</x:v>
      </x:c>
      <x:c r="J770" s="13" t="n">
        <x:f>MONTH(B770)</x:f>
        <x:v>2</x:v>
      </x:c>
      <x:c r="K770" s="14" t="n">
        <x:f>ROUND(E770*F770-G770,10)</x:f>
        <x:v>0</x:v>
      </x:c>
      <x:c r="L770" s="2"/>
      <x:c r="M770" s="2"/>
      <x:c r="N770" s="2"/>
      <x:c r="O770" s="2"/>
      <x:c r="P770" s="2"/>
      <x:c r="Q770" s="2"/>
      <x:c r="R770" s="2"/>
    </x:row>
    <x:row r="771" ht="22" customHeight="1">
      <x:c r="A771" s="2" t="n">
        <x:v>100765</x:v>
      </x:c>
      <x:c r="B771" s="10" t="n">
        <x:v>45642</x:v>
      </x:c>
      <x:c r="C771" s="2" t="str">
        <x:v>Brasil</x:v>
      </x:c>
      <x:c r="D771" s="2" t="str">
        <x:v>Acessórios</x:v>
      </x:c>
      <x:c r="E771" s="11" t="n">
        <x:v>49</x:v>
      </x:c>
      <x:c r="F771" s="12" t="n">
        <x:v>42.43</x:v>
      </x:c>
      <x:c r="G771" s="12" t="n">
        <x:v>2079.07</x:v>
      </x:c>
      <x:c r="H771" s="13" t="n">
        <x:v>281</x:v>
      </x:c>
      <x:c r="I771" s="13" t="n">
        <x:f>YEAR(B771)</x:f>
        <x:v>2024</x:v>
      </x:c>
      <x:c r="J771" s="13" t="n">
        <x:f>MONTH(B771)</x:f>
        <x:v>12</x:v>
      </x:c>
      <x:c r="K771" s="14" t="n">
        <x:f>ROUND(E771*F771-G771,10)</x:f>
        <x:v>0</x:v>
      </x:c>
      <x:c r="L771" s="2"/>
      <x:c r="M771" s="2"/>
      <x:c r="N771" s="2"/>
      <x:c r="O771" s="2"/>
      <x:c r="P771" s="2"/>
      <x:c r="Q771" s="2"/>
      <x:c r="R771" s="2"/>
    </x:row>
    <x:row r="772" ht="22" customHeight="1">
      <x:c r="A772" s="2" t="n">
        <x:v>100766</x:v>
      </x:c>
      <x:c r="B772" s="10" t="n">
        <x:v>45647</x:v>
      </x:c>
      <x:c r="C772" s="2" t="str">
        <x:v>Argentina</x:v>
      </x:c>
      <x:c r="D772" s="2" t="str">
        <x:v>Acessórios</x:v>
      </x:c>
      <x:c r="E772" s="11" t="n">
        <x:v>43</x:v>
      </x:c>
      <x:c r="F772" s="12" t="n">
        <x:v>137.45</x:v>
      </x:c>
      <x:c r="G772" s="12" t="n">
        <x:v>5910.349999999999</x:v>
      </x:c>
      <x:c r="H772" s="13" t="n">
        <x:v>374</x:v>
      </x:c>
      <x:c r="I772" s="13" t="n">
        <x:f>YEAR(B772)</x:f>
        <x:v>2024</x:v>
      </x:c>
      <x:c r="J772" s="13" t="n">
        <x:f>MONTH(B772)</x:f>
        <x:v>12</x:v>
      </x:c>
      <x:c r="K772" s="14" t="n">
        <x:f>ROUND(E772*F772-G772,10)</x:f>
        <x:v>0</x:v>
      </x:c>
      <x:c r="L772" s="2"/>
      <x:c r="M772" s="2"/>
      <x:c r="N772" s="2"/>
      <x:c r="O772" s="2"/>
      <x:c r="P772" s="2"/>
      <x:c r="Q772" s="2"/>
      <x:c r="R772" s="2"/>
    </x:row>
    <x:row r="773" ht="22" customHeight="1">
      <x:c r="A773" s="2" t="n">
        <x:v>100767</x:v>
      </x:c>
      <x:c r="B773" s="10" t="n">
        <x:v>45651</x:v>
      </x:c>
      <x:c r="C773" s="2" t="str">
        <x:v>Argentina</x:v>
      </x:c>
      <x:c r="D773" s="2" t="str">
        <x:v>Moda Feminina</x:v>
      </x:c>
      <x:c r="E773" s="11" t="n">
        <x:v>48</x:v>
      </x:c>
      <x:c r="F773" s="12" t="n">
        <x:v>29.49</x:v>
      </x:c>
      <x:c r="G773" s="12" t="n">
        <x:v>1415.52</x:v>
      </x:c>
      <x:c r="H773" s="13" t="n">
        <x:v>117</x:v>
      </x:c>
      <x:c r="I773" s="13" t="n">
        <x:f>YEAR(B773)</x:f>
        <x:v>2024</x:v>
      </x:c>
      <x:c r="J773" s="13" t="n">
        <x:f>MONTH(B773)</x:f>
        <x:v>12</x:v>
      </x:c>
      <x:c r="K773" s="14" t="n">
        <x:f>ROUND(E773*F773-G773,10)</x:f>
        <x:v>0</x:v>
      </x:c>
      <x:c r="L773" s="2"/>
      <x:c r="M773" s="2"/>
      <x:c r="N773" s="2"/>
      <x:c r="O773" s="2"/>
      <x:c r="P773" s="2"/>
      <x:c r="Q773" s="2"/>
      <x:c r="R773" s="2"/>
    </x:row>
    <x:row r="774" ht="22" customHeight="1">
      <x:c r="A774" s="2" t="n">
        <x:v>100768</x:v>
      </x:c>
      <x:c r="B774" s="10" t="n">
        <x:v>45225</x:v>
      </x:c>
      <x:c r="C774" s="2" t="str">
        <x:v>Peru</x:v>
      </x:c>
      <x:c r="D774" s="2" t="str">
        <x:v>Acessórios</x:v>
      </x:c>
      <x:c r="E774" s="11" t="n">
        <x:v>44</x:v>
      </x:c>
      <x:c r="F774" s="12" t="n">
        <x:v>100.31</x:v>
      </x:c>
      <x:c r="G774" s="12" t="n">
        <x:v>4413.64</x:v>
      </x:c>
      <x:c r="H774" s="13" t="n">
        <x:v>77</x:v>
      </x:c>
      <x:c r="I774" s="13" t="n">
        <x:f>YEAR(B774)</x:f>
        <x:v>2023</x:v>
      </x:c>
      <x:c r="J774" s="13" t="n">
        <x:f>MONTH(B774)</x:f>
        <x:v>10</x:v>
      </x:c>
      <x:c r="K774" s="14" t="n">
        <x:f>ROUND(E774*F774-G774,10)</x:f>
        <x:v>0</x:v>
      </x:c>
      <x:c r="L774" s="2"/>
      <x:c r="M774" s="2"/>
      <x:c r="N774" s="2"/>
      <x:c r="O774" s="2"/>
      <x:c r="P774" s="2"/>
      <x:c r="Q774" s="2"/>
      <x:c r="R774" s="2"/>
    </x:row>
    <x:row r="775" ht="22" customHeight="1">
      <x:c r="A775" s="2" t="n">
        <x:v>100769</x:v>
      </x:c>
      <x:c r="B775" s="10" t="n">
        <x:v>45344</x:v>
      </x:c>
      <x:c r="C775" s="2" t="str">
        <x:v>Argentina</x:v>
      </x:c>
      <x:c r="D775" s="2" t="str">
        <x:v>Calçados</x:v>
      </x:c>
      <x:c r="E775" s="11" t="n">
        <x:v>47</x:v>
      </x:c>
      <x:c r="F775" s="12" t="n">
        <x:v>119.72</x:v>
      </x:c>
      <x:c r="G775" s="12" t="n">
        <x:v>5626.84</x:v>
      </x:c>
      <x:c r="H775" s="13" t="n">
        <x:v>486</x:v>
      </x:c>
      <x:c r="I775" s="13" t="n">
        <x:f>YEAR(B775)</x:f>
        <x:v>2024</x:v>
      </x:c>
      <x:c r="J775" s="13" t="n">
        <x:f>MONTH(B775)</x:f>
        <x:v>2</x:v>
      </x:c>
      <x:c r="K775" s="14" t="n">
        <x:f>ROUND(E775*F775-G775,10)</x:f>
        <x:v>0</x:v>
      </x:c>
      <x:c r="L775" s="2"/>
      <x:c r="M775" s="2"/>
      <x:c r="N775" s="2"/>
      <x:c r="O775" s="2"/>
      <x:c r="P775" s="2"/>
      <x:c r="Q775" s="2"/>
      <x:c r="R775" s="2"/>
    </x:row>
    <x:row r="776" ht="22" customHeight="1">
      <x:c r="A776" s="2" t="n">
        <x:v>100770</x:v>
      </x:c>
      <x:c r="B776" s="10" t="n">
        <x:v>45110</x:v>
      </x:c>
      <x:c r="C776" s="2" t="str">
        <x:v>Chile</x:v>
      </x:c>
      <x:c r="D776" s="2" t="str">
        <x:v>Calçados</x:v>
      </x:c>
      <x:c r="E776" s="11" t="n">
        <x:v>23</x:v>
      </x:c>
      <x:c r="F776" s="12" t="n">
        <x:v>73.63</x:v>
      </x:c>
      <x:c r="G776" s="12" t="n">
        <x:v>1693.49</x:v>
      </x:c>
      <x:c r="H776" s="13" t="n">
        <x:v>165</x:v>
      </x:c>
      <x:c r="I776" s="13" t="n">
        <x:f>YEAR(B776)</x:f>
        <x:v>2023</x:v>
      </x:c>
      <x:c r="J776" s="13" t="n">
        <x:f>MONTH(B776)</x:f>
        <x:v>7</x:v>
      </x:c>
      <x:c r="K776" s="14" t="n">
        <x:f>ROUND(E776*F776-G776,10)</x:f>
        <x:v>0</x:v>
      </x:c>
      <x:c r="L776" s="2"/>
      <x:c r="M776" s="2"/>
      <x:c r="N776" s="2"/>
      <x:c r="O776" s="2"/>
      <x:c r="P776" s="2"/>
      <x:c r="Q776" s="2"/>
      <x:c r="R776" s="2"/>
    </x:row>
    <x:row r="777" ht="22" customHeight="1">
      <x:c r="A777" s="2" t="n">
        <x:v>100771</x:v>
      </x:c>
      <x:c r="B777" s="10" t="n">
        <x:v>45400</x:v>
      </x:c>
      <x:c r="C777" s="2" t="str">
        <x:v>México</x:v>
      </x:c>
      <x:c r="D777" s="2" t="str">
        <x:v>Moda Feminina</x:v>
      </x:c>
      <x:c r="E777" s="11" t="n">
        <x:v>4</x:v>
      </x:c>
      <x:c r="F777" s="12" t="n">
        <x:v>101.91</x:v>
      </x:c>
      <x:c r="G777" s="12" t="n">
        <x:v>407.64</x:v>
      </x:c>
      <x:c r="H777" s="13" t="n">
        <x:v>100</x:v>
      </x:c>
      <x:c r="I777" s="13" t="n">
        <x:f>YEAR(B777)</x:f>
        <x:v>2024</x:v>
      </x:c>
      <x:c r="J777" s="13" t="n">
        <x:f>MONTH(B777)</x:f>
        <x:v>4</x:v>
      </x:c>
      <x:c r="K777" s="14" t="n">
        <x:f>ROUND(E777*F777-G777,10)</x:f>
        <x:v>0</x:v>
      </x:c>
      <x:c r="L777" s="2"/>
      <x:c r="M777" s="2"/>
      <x:c r="N777" s="2"/>
      <x:c r="O777" s="2"/>
      <x:c r="P777" s="2"/>
      <x:c r="Q777" s="2"/>
      <x:c r="R777" s="2"/>
    </x:row>
    <x:row r="778" ht="22" customHeight="1">
      <x:c r="A778" s="2" t="n">
        <x:v>100772</x:v>
      </x:c>
      <x:c r="B778" s="10" t="n">
        <x:v>45448</x:v>
      </x:c>
      <x:c r="C778" s="2" t="str">
        <x:v>México</x:v>
      </x:c>
      <x:c r="D778" s="2" t="str">
        <x:v>Moda Masculina</x:v>
      </x:c>
      <x:c r="E778" s="11" t="n">
        <x:v>27</x:v>
      </x:c>
      <x:c r="F778" s="12" t="n">
        <x:v>49.44</x:v>
      </x:c>
      <x:c r="G778" s="12" t="n">
        <x:v>1334.88</x:v>
      </x:c>
      <x:c r="H778" s="13" t="n">
        <x:v>230</x:v>
      </x:c>
      <x:c r="I778" s="13" t="n">
        <x:f>YEAR(B778)</x:f>
        <x:v>2024</x:v>
      </x:c>
      <x:c r="J778" s="13" t="n">
        <x:f>MONTH(B778)</x:f>
        <x:v>6</x:v>
      </x:c>
      <x:c r="K778" s="14" t="n">
        <x:f>ROUND(E778*F778-G778,10)</x:f>
        <x:v>0</x:v>
      </x:c>
      <x:c r="L778" s="2"/>
      <x:c r="M778" s="2"/>
      <x:c r="N778" s="2"/>
      <x:c r="O778" s="2"/>
      <x:c r="P778" s="2"/>
      <x:c r="Q778" s="2"/>
      <x:c r="R778" s="2"/>
    </x:row>
    <x:row r="779" ht="22" customHeight="1">
      <x:c r="A779" s="2" t="n">
        <x:v>100773</x:v>
      </x:c>
      <x:c r="B779" s="10" t="n">
        <x:v>44958</x:v>
      </x:c>
      <x:c r="C779" s="2" t="str">
        <x:v>Brasil</x:v>
      </x:c>
      <x:c r="D779" s="2" t="str">
        <x:v>Moda Masculina</x:v>
      </x:c>
      <x:c r="E779" s="11" t="n">
        <x:v>18</x:v>
      </x:c>
      <x:c r="F779" s="12" t="n">
        <x:v>74.74</x:v>
      </x:c>
      <x:c r="G779" s="12" t="n">
        <x:v>1345.32</x:v>
      </x:c>
      <x:c r="H779" s="13" t="n">
        <x:v>309</x:v>
      </x:c>
      <x:c r="I779" s="13" t="n">
        <x:f>YEAR(B779)</x:f>
        <x:v>2023</x:v>
      </x:c>
      <x:c r="J779" s="13" t="n">
        <x:f>MONTH(B779)</x:f>
        <x:v>2</x:v>
      </x:c>
      <x:c r="K779" s="14" t="n">
        <x:f>ROUND(E779*F779-G779,10)</x:f>
        <x:v>0</x:v>
      </x:c>
      <x:c r="L779" s="2"/>
      <x:c r="M779" s="2"/>
      <x:c r="N779" s="2"/>
      <x:c r="O779" s="2"/>
      <x:c r="P779" s="2"/>
      <x:c r="Q779" s="2"/>
      <x:c r="R779" s="2"/>
    </x:row>
    <x:row r="780" ht="22" customHeight="1">
      <x:c r="A780" s="2" t="n">
        <x:v>100774</x:v>
      </x:c>
      <x:c r="B780" s="10" t="n">
        <x:v>45610</x:v>
      </x:c>
      <x:c r="C780" s="2" t="str">
        <x:v>Peru</x:v>
      </x:c>
      <x:c r="D780" s="2" t="str">
        <x:v>Acessórios</x:v>
      </x:c>
      <x:c r="E780" s="11" t="n">
        <x:v>21</x:v>
      </x:c>
      <x:c r="F780" s="12" t="n">
        <x:v>131.8</x:v>
      </x:c>
      <x:c r="G780" s="12" t="n">
        <x:v>2767.8</x:v>
      </x:c>
      <x:c r="H780" s="13" t="n">
        <x:v>128</x:v>
      </x:c>
      <x:c r="I780" s="13" t="n">
        <x:f>YEAR(B780)</x:f>
        <x:v>2024</x:v>
      </x:c>
      <x:c r="J780" s="13" t="n">
        <x:f>MONTH(B780)</x:f>
        <x:v>11</x:v>
      </x:c>
      <x:c r="K780" s="14" t="n">
        <x:f>ROUND(E780*F780-G780,10)</x:f>
        <x:v>0</x:v>
      </x:c>
      <x:c r="L780" s="2"/>
      <x:c r="M780" s="2"/>
      <x:c r="N780" s="2"/>
      <x:c r="O780" s="2"/>
      <x:c r="P780" s="2"/>
      <x:c r="Q780" s="2"/>
      <x:c r="R780" s="2"/>
    </x:row>
    <x:row r="781" ht="22" customHeight="1">
      <x:c r="A781" s="2" t="n">
        <x:v>100775</x:v>
      </x:c>
      <x:c r="B781" s="10" t="n">
        <x:v>45032</x:v>
      </x:c>
      <x:c r="C781" s="2" t="str">
        <x:v>Brasil</x:v>
      </x:c>
      <x:c r="D781" s="2" t="str">
        <x:v>Acessórios</x:v>
      </x:c>
      <x:c r="E781" s="11" t="n">
        <x:v>28</x:v>
      </x:c>
      <x:c r="F781" s="12" t="n">
        <x:v>74.32</x:v>
      </x:c>
      <x:c r="G781" s="12" t="n">
        <x:v>2080.96</x:v>
      </x:c>
      <x:c r="H781" s="13" t="n">
        <x:v>322</x:v>
      </x:c>
      <x:c r="I781" s="13" t="n">
        <x:f>YEAR(B781)</x:f>
        <x:v>2023</x:v>
      </x:c>
      <x:c r="J781" s="13" t="n">
        <x:f>MONTH(B781)</x:f>
        <x:v>4</x:v>
      </x:c>
      <x:c r="K781" s="14" t="n">
        <x:f>ROUND(E781*F781-G781,10)</x:f>
        <x:v>0</x:v>
      </x:c>
      <x:c r="L781" s="2"/>
      <x:c r="M781" s="2"/>
      <x:c r="N781" s="2"/>
      <x:c r="O781" s="2"/>
      <x:c r="P781" s="2"/>
      <x:c r="Q781" s="2"/>
      <x:c r="R781" s="2"/>
    </x:row>
    <x:row r="782" ht="22" customHeight="1">
      <x:c r="A782" s="2" t="n">
        <x:v>100776</x:v>
      </x:c>
      <x:c r="B782" s="10" t="n">
        <x:v>45329</x:v>
      </x:c>
      <x:c r="C782" s="2" t="str">
        <x:v>Argentina</x:v>
      </x:c>
      <x:c r="D782" s="2" t="str">
        <x:v>Acessórios</x:v>
      </x:c>
      <x:c r="E782" s="11" t="n">
        <x:v>35</x:v>
      </x:c>
      <x:c r="F782" s="12" t="n">
        <x:v>181.95</x:v>
      </x:c>
      <x:c r="G782" s="12" t="n">
        <x:v>6368.25</x:v>
      </x:c>
      <x:c r="H782" s="13" t="n">
        <x:v>157</x:v>
      </x:c>
      <x:c r="I782" s="13" t="n">
        <x:f>YEAR(B782)</x:f>
        <x:v>2024</x:v>
      </x:c>
      <x:c r="J782" s="13" t="n">
        <x:f>MONTH(B782)</x:f>
        <x:v>2</x:v>
      </x:c>
      <x:c r="K782" s="14" t="n">
        <x:f>ROUND(E782*F782-G782,10)</x:f>
        <x:v>0</x:v>
      </x:c>
      <x:c r="L782" s="2"/>
      <x:c r="M782" s="2"/>
      <x:c r="N782" s="2"/>
      <x:c r="O782" s="2"/>
      <x:c r="P782" s="2"/>
      <x:c r="Q782" s="2"/>
      <x:c r="R782" s="2"/>
    </x:row>
    <x:row r="783" ht="22" customHeight="1">
      <x:c r="A783" s="2" t="n">
        <x:v>100777</x:v>
      </x:c>
      <x:c r="B783" s="10" t="n">
        <x:v>45601</x:v>
      </x:c>
      <x:c r="C783" s="2" t="str">
        <x:v>Brasil</x:v>
      </x:c>
      <x:c r="D783" s="2" t="str">
        <x:v>Moda Masculina</x:v>
      </x:c>
      <x:c r="E783" s="11" t="n">
        <x:v>22</x:v>
      </x:c>
      <x:c r="F783" s="12" t="n">
        <x:v>133.11</x:v>
      </x:c>
      <x:c r="G783" s="12" t="n">
        <x:v>2928.42</x:v>
      </x:c>
      <x:c r="H783" s="13" t="n">
        <x:v>123</x:v>
      </x:c>
      <x:c r="I783" s="13" t="n">
        <x:f>YEAR(B783)</x:f>
        <x:v>2024</x:v>
      </x:c>
      <x:c r="J783" s="13" t="n">
        <x:f>MONTH(B783)</x:f>
        <x:v>11</x:v>
      </x:c>
      <x:c r="K783" s="14" t="n">
        <x:f>ROUND(E783*F783-G783,10)</x:f>
        <x:v>0</x:v>
      </x:c>
      <x:c r="L783" s="2"/>
      <x:c r="M783" s="2"/>
      <x:c r="N783" s="2"/>
      <x:c r="O783" s="2"/>
      <x:c r="P783" s="2"/>
      <x:c r="Q783" s="2"/>
      <x:c r="R783" s="2"/>
    </x:row>
    <x:row r="784" ht="22" customHeight="1">
      <x:c r="A784" s="2" t="n">
        <x:v>100778</x:v>
      </x:c>
      <x:c r="B784" s="10" t="n">
        <x:v>45448</x:v>
      </x:c>
      <x:c r="C784" s="2" t="str">
        <x:v>Chile</x:v>
      </x:c>
      <x:c r="D784" s="2" t="str">
        <x:v>Moda Infantil</x:v>
      </x:c>
      <x:c r="E784" s="11" t="n">
        <x:v>40</x:v>
      </x:c>
      <x:c r="F784" s="12" t="n">
        <x:v>98.96</x:v>
      </x:c>
      <x:c r="G784" s="12" t="n">
        <x:v>3958.4</x:v>
      </x:c>
      <x:c r="H784" s="13" t="n">
        <x:v>224</x:v>
      </x:c>
      <x:c r="I784" s="13" t="n">
        <x:f>YEAR(B784)</x:f>
        <x:v>2024</x:v>
      </x:c>
      <x:c r="J784" s="13" t="n">
        <x:f>MONTH(B784)</x:f>
        <x:v>6</x:v>
      </x:c>
      <x:c r="K784" s="14" t="n">
        <x:f>ROUND(E784*F784-G784,10)</x:f>
        <x:v>0</x:v>
      </x:c>
      <x:c r="L784" s="2"/>
      <x:c r="M784" s="2"/>
      <x:c r="N784" s="2"/>
      <x:c r="O784" s="2"/>
      <x:c r="P784" s="2"/>
      <x:c r="Q784" s="2"/>
      <x:c r="R784" s="2"/>
    </x:row>
    <x:row r="785" ht="22" customHeight="1">
      <x:c r="A785" s="2" t="n">
        <x:v>100779</x:v>
      </x:c>
      <x:c r="B785" s="10" t="n">
        <x:v>45616</x:v>
      </x:c>
      <x:c r="C785" s="2" t="str">
        <x:v>México</x:v>
      </x:c>
      <x:c r="D785" s="2" t="str">
        <x:v>Calçados</x:v>
      </x:c>
      <x:c r="E785" s="11" t="n">
        <x:v>23</x:v>
      </x:c>
      <x:c r="F785" s="12" t="n">
        <x:v>26.98</x:v>
      </x:c>
      <x:c r="G785" s="12" t="n">
        <x:v>620.54</x:v>
      </x:c>
      <x:c r="H785" s="13" t="n">
        <x:v>233</x:v>
      </x:c>
      <x:c r="I785" s="13" t="n">
        <x:f>YEAR(B785)</x:f>
        <x:v>2024</x:v>
      </x:c>
      <x:c r="J785" s="13" t="n">
        <x:f>MONTH(B785)</x:f>
        <x:v>11</x:v>
      </x:c>
      <x:c r="K785" s="14" t="n">
        <x:f>ROUND(E785*F785-G785,10)</x:f>
        <x:v>0</x:v>
      </x:c>
      <x:c r="L785" s="2"/>
      <x:c r="M785" s="2"/>
      <x:c r="N785" s="2"/>
      <x:c r="O785" s="2"/>
      <x:c r="P785" s="2"/>
      <x:c r="Q785" s="2"/>
      <x:c r="R785" s="2"/>
    </x:row>
    <x:row r="786" ht="22" customHeight="1">
      <x:c r="A786" s="2" t="n">
        <x:v>100780</x:v>
      </x:c>
      <x:c r="B786" s="10" t="n">
        <x:v>45206</x:v>
      </x:c>
      <x:c r="C786" s="2" t="str">
        <x:v>Argentina</x:v>
      </x:c>
      <x:c r="D786" s="2" t="str">
        <x:v>Moda Infantil</x:v>
      </x:c>
      <x:c r="E786" s="11" t="n">
        <x:v>3</x:v>
      </x:c>
      <x:c r="F786" s="12" t="n">
        <x:v>109.92</x:v>
      </x:c>
      <x:c r="G786" s="12" t="n">
        <x:v>329.76</x:v>
      </x:c>
      <x:c r="H786" s="13" t="n">
        <x:v>72</x:v>
      </x:c>
      <x:c r="I786" s="13" t="n">
        <x:f>YEAR(B786)</x:f>
        <x:v>2023</x:v>
      </x:c>
      <x:c r="J786" s="13" t="n">
        <x:f>MONTH(B786)</x:f>
        <x:v>10</x:v>
      </x:c>
      <x:c r="K786" s="14" t="n">
        <x:f>ROUND(E786*F786-G786,10)</x:f>
        <x:v>0</x:v>
      </x:c>
      <x:c r="L786" s="2"/>
      <x:c r="M786" s="2"/>
      <x:c r="N786" s="2"/>
      <x:c r="O786" s="2"/>
      <x:c r="P786" s="2"/>
      <x:c r="Q786" s="2"/>
      <x:c r="R786" s="2"/>
    </x:row>
    <x:row r="787" ht="22" customHeight="1">
      <x:c r="A787" s="2" t="n">
        <x:v>100781</x:v>
      </x:c>
      <x:c r="B787" s="10" t="n">
        <x:v>45409</x:v>
      </x:c>
      <x:c r="C787" s="2" t="str">
        <x:v>Brasil</x:v>
      </x:c>
      <x:c r="D787" s="2" t="str">
        <x:v>Moda Infantil</x:v>
      </x:c>
      <x:c r="E787" s="11" t="n">
        <x:v>40</x:v>
      </x:c>
      <x:c r="F787" s="12" t="n">
        <x:v>157.66</x:v>
      </x:c>
      <x:c r="G787" s="12" t="n">
        <x:v>6306.4</x:v>
      </x:c>
      <x:c r="H787" s="13" t="n">
        <x:v>323</x:v>
      </x:c>
      <x:c r="I787" s="13" t="n">
        <x:f>YEAR(B787)</x:f>
        <x:v>2024</x:v>
      </x:c>
      <x:c r="J787" s="13" t="n">
        <x:f>MONTH(B787)</x:f>
        <x:v>4</x:v>
      </x:c>
      <x:c r="K787" s="14" t="n">
        <x:f>ROUND(E787*F787-G787,10)</x:f>
        <x:v>0</x:v>
      </x:c>
      <x:c r="L787" s="2"/>
      <x:c r="M787" s="2"/>
      <x:c r="N787" s="2"/>
      <x:c r="O787" s="2"/>
      <x:c r="P787" s="2"/>
      <x:c r="Q787" s="2"/>
      <x:c r="R787" s="2"/>
    </x:row>
    <x:row r="788" ht="22" customHeight="1">
      <x:c r="A788" s="2" t="n">
        <x:v>100782</x:v>
      </x:c>
      <x:c r="B788" s="10" t="n">
        <x:v>45457</x:v>
      </x:c>
      <x:c r="C788" s="2" t="str">
        <x:v>Peru</x:v>
      </x:c>
      <x:c r="D788" s="2" t="str">
        <x:v>Moda Masculina</x:v>
      </x:c>
      <x:c r="E788" s="11" t="n">
        <x:v>10</x:v>
      </x:c>
      <x:c r="F788" s="12" t="n">
        <x:v>67.8</x:v>
      </x:c>
      <x:c r="G788" s="12" t="n">
        <x:v>678</x:v>
      </x:c>
      <x:c r="H788" s="13" t="n">
        <x:v>178</x:v>
      </x:c>
      <x:c r="I788" s="13" t="n">
        <x:f>YEAR(B788)</x:f>
        <x:v>2024</x:v>
      </x:c>
      <x:c r="J788" s="13" t="n">
        <x:f>MONTH(B788)</x:f>
        <x:v>6</x:v>
      </x:c>
      <x:c r="K788" s="14" t="n">
        <x:f>ROUND(E788*F788-G788,10)</x:f>
        <x:v>0</x:v>
      </x:c>
      <x:c r="L788" s="2"/>
      <x:c r="M788" s="2"/>
      <x:c r="N788" s="2"/>
      <x:c r="O788" s="2"/>
      <x:c r="P788" s="2"/>
      <x:c r="Q788" s="2"/>
      <x:c r="R788" s="2"/>
    </x:row>
    <x:row r="789" ht="22" customHeight="1">
      <x:c r="A789" s="2" t="n">
        <x:v>100783</x:v>
      </x:c>
      <x:c r="B789" s="10" t="n">
        <x:v>45392</x:v>
      </x:c>
      <x:c r="C789" s="2" t="str">
        <x:v>Chile</x:v>
      </x:c>
      <x:c r="D789" s="2" t="str">
        <x:v>Moda Infantil</x:v>
      </x:c>
      <x:c r="E789" s="11" t="n">
        <x:v>25</x:v>
      </x:c>
      <x:c r="F789" s="12" t="n">
        <x:v>165.22</x:v>
      </x:c>
      <x:c r="G789" s="12" t="n">
        <x:v>4130.5</x:v>
      </x:c>
      <x:c r="H789" s="13" t="n">
        <x:v>340</x:v>
      </x:c>
      <x:c r="I789" s="13" t="n">
        <x:f>YEAR(B789)</x:f>
        <x:v>2024</x:v>
      </x:c>
      <x:c r="J789" s="13" t="n">
        <x:f>MONTH(B789)</x:f>
        <x:v>4</x:v>
      </x:c>
      <x:c r="K789" s="14" t="n">
        <x:f>ROUND(E789*F789-G789,10)</x:f>
        <x:v>0</x:v>
      </x:c>
      <x:c r="L789" s="2"/>
      <x:c r="M789" s="2"/>
      <x:c r="N789" s="2"/>
      <x:c r="O789" s="2"/>
      <x:c r="P789" s="2"/>
      <x:c r="Q789" s="2"/>
      <x:c r="R789" s="2"/>
    </x:row>
    <x:row r="790" ht="22" customHeight="1">
      <x:c r="A790" s="2" t="n">
        <x:v>100784</x:v>
      </x:c>
      <x:c r="B790" s="10" t="n">
        <x:v>45349</x:v>
      </x:c>
      <x:c r="C790" s="2" t="str">
        <x:v>Chile</x:v>
      </x:c>
      <x:c r="D790" s="2" t="str">
        <x:v>Moda Feminina</x:v>
      </x:c>
      <x:c r="E790" s="11" t="n">
        <x:v>49</x:v>
      </x:c>
      <x:c r="F790" s="12" t="n">
        <x:v>65.33</x:v>
      </x:c>
      <x:c r="G790" s="12" t="n">
        <x:v>3201.17</x:v>
      </x:c>
      <x:c r="H790" s="13" t="n">
        <x:v>369</x:v>
      </x:c>
      <x:c r="I790" s="13" t="n">
        <x:f>YEAR(B790)</x:f>
        <x:v>2024</x:v>
      </x:c>
      <x:c r="J790" s="13" t="n">
        <x:f>MONTH(B790)</x:f>
        <x:v>2</x:v>
      </x:c>
      <x:c r="K790" s="14" t="n">
        <x:f>ROUND(E790*F790-G790,10)</x:f>
        <x:v>0</x:v>
      </x:c>
      <x:c r="L790" s="2"/>
      <x:c r="M790" s="2"/>
      <x:c r="N790" s="2"/>
      <x:c r="O790" s="2"/>
      <x:c r="P790" s="2"/>
      <x:c r="Q790" s="2"/>
      <x:c r="R790" s="2"/>
    </x:row>
    <x:row r="791" ht="22" customHeight="1">
      <x:c r="A791" s="2" t="n">
        <x:v>100785</x:v>
      </x:c>
      <x:c r="B791" s="10" t="n">
        <x:v>45467</x:v>
      </x:c>
      <x:c r="C791" s="2" t="str">
        <x:v>Brasil</x:v>
      </x:c>
      <x:c r="D791" s="2" t="str">
        <x:v>Acessórios</x:v>
      </x:c>
      <x:c r="E791" s="11" t="n">
        <x:v>8</x:v>
      </x:c>
      <x:c r="F791" s="12" t="n">
        <x:v>168.27</x:v>
      </x:c>
      <x:c r="G791" s="12" t="n">
        <x:v>1346.16</x:v>
      </x:c>
      <x:c r="H791" s="13" t="n">
        <x:v>235</x:v>
      </x:c>
      <x:c r="I791" s="13" t="n">
        <x:f>YEAR(B791)</x:f>
        <x:v>2024</x:v>
      </x:c>
      <x:c r="J791" s="13" t="n">
        <x:f>MONTH(B791)</x:f>
        <x:v>6</x:v>
      </x:c>
      <x:c r="K791" s="14" t="n">
        <x:f>ROUND(E791*F791-G791,10)</x:f>
        <x:v>0</x:v>
      </x:c>
      <x:c r="L791" s="2"/>
      <x:c r="M791" s="2"/>
      <x:c r="N791" s="2"/>
      <x:c r="O791" s="2"/>
      <x:c r="P791" s="2"/>
      <x:c r="Q791" s="2"/>
      <x:c r="R791" s="2"/>
    </x:row>
    <x:row r="792" ht="22" customHeight="1">
      <x:c r="A792" s="2" t="n">
        <x:v>100786</x:v>
      </x:c>
      <x:c r="B792" s="10" t="n">
        <x:v>45333</x:v>
      </x:c>
      <x:c r="C792" s="2" t="str">
        <x:v>México</x:v>
      </x:c>
      <x:c r="D792" s="2" t="str">
        <x:v>Moda Feminina</x:v>
      </x:c>
      <x:c r="E792" s="11" t="n">
        <x:v>11</x:v>
      </x:c>
      <x:c r="F792" s="12" t="n">
        <x:v>35.35</x:v>
      </x:c>
      <x:c r="G792" s="12" t="n">
        <x:v>388.85</x:v>
      </x:c>
      <x:c r="H792" s="13" t="n">
        <x:v>108</x:v>
      </x:c>
      <x:c r="I792" s="13" t="n">
        <x:f>YEAR(B792)</x:f>
        <x:v>2024</x:v>
      </x:c>
      <x:c r="J792" s="13" t="n">
        <x:f>MONTH(B792)</x:f>
        <x:v>2</x:v>
      </x:c>
      <x:c r="K792" s="14" t="n">
        <x:f>ROUND(E792*F792-G792,10)</x:f>
        <x:v>0</x:v>
      </x:c>
      <x:c r="L792" s="2"/>
      <x:c r="M792" s="2"/>
      <x:c r="N792" s="2"/>
      <x:c r="O792" s="2"/>
      <x:c r="P792" s="2"/>
      <x:c r="Q792" s="2"/>
      <x:c r="R792" s="2"/>
    </x:row>
    <x:row r="793" ht="22" customHeight="1">
      <x:c r="A793" s="2" t="n">
        <x:v>100787</x:v>
      </x:c>
      <x:c r="B793" s="10" t="n">
        <x:v>45398</x:v>
      </x:c>
      <x:c r="C793" s="2" t="str">
        <x:v>Brasil</x:v>
      </x:c>
      <x:c r="D793" s="2" t="str">
        <x:v>Calçados</x:v>
      </x:c>
      <x:c r="E793" s="11" t="n">
        <x:v>5</x:v>
      </x:c>
      <x:c r="F793" s="12" t="n">
        <x:v>175.91</x:v>
      </x:c>
      <x:c r="G793" s="12" t="n">
        <x:v>879.55</x:v>
      </x:c>
      <x:c r="H793" s="13" t="n">
        <x:v>50</x:v>
      </x:c>
      <x:c r="I793" s="13" t="n">
        <x:f>YEAR(B793)</x:f>
        <x:v>2024</x:v>
      </x:c>
      <x:c r="J793" s="13" t="n">
        <x:f>MONTH(B793)</x:f>
        <x:v>4</x:v>
      </x:c>
      <x:c r="K793" s="14" t="n">
        <x:f>ROUND(E793*F793-G793,10)</x:f>
        <x:v>0</x:v>
      </x:c>
      <x:c r="L793" s="2"/>
      <x:c r="M793" s="2"/>
      <x:c r="N793" s="2"/>
      <x:c r="O793" s="2"/>
      <x:c r="P793" s="2"/>
      <x:c r="Q793" s="2"/>
      <x:c r="R793" s="2"/>
    </x:row>
    <x:row r="794" ht="22" customHeight="1">
      <x:c r="A794" s="2" t="n">
        <x:v>100788</x:v>
      </x:c>
      <x:c r="B794" s="10" t="n">
        <x:v>45205</x:v>
      </x:c>
      <x:c r="C794" s="2" t="str">
        <x:v>Argentina</x:v>
      </x:c>
      <x:c r="D794" s="2" t="str">
        <x:v>Acessórios</x:v>
      </x:c>
      <x:c r="E794" s="11" t="n">
        <x:v>45</x:v>
      </x:c>
      <x:c r="F794" s="12" t="n">
        <x:v>109.85</x:v>
      </x:c>
      <x:c r="G794" s="12" t="n">
        <x:v>4943.25</x:v>
      </x:c>
      <x:c r="H794" s="13" t="n">
        <x:v>180</x:v>
      </x:c>
      <x:c r="I794" s="13" t="n">
        <x:f>YEAR(B794)</x:f>
        <x:v>2023</x:v>
      </x:c>
      <x:c r="J794" s="13" t="n">
        <x:f>MONTH(B794)</x:f>
        <x:v>10</x:v>
      </x:c>
      <x:c r="K794" s="14" t="n">
        <x:f>ROUND(E794*F794-G794,10)</x:f>
        <x:v>0</x:v>
      </x:c>
      <x:c r="L794" s="2"/>
      <x:c r="M794" s="2"/>
      <x:c r="N794" s="2"/>
      <x:c r="O794" s="2"/>
      <x:c r="P794" s="2"/>
      <x:c r="Q794" s="2"/>
      <x:c r="R794" s="2"/>
    </x:row>
    <x:row r="795" ht="22" customHeight="1">
      <x:c r="A795" s="2" t="n">
        <x:v>100789</x:v>
      </x:c>
      <x:c r="B795" s="10" t="n">
        <x:v>45326</x:v>
      </x:c>
      <x:c r="C795" s="2" t="str">
        <x:v>Brasil</x:v>
      </x:c>
      <x:c r="D795" s="2" t="str">
        <x:v>Moda Infantil</x:v>
      </x:c>
      <x:c r="E795" s="11" t="n">
        <x:v>37</x:v>
      </x:c>
      <x:c r="F795" s="12" t="n">
        <x:v>73.38</x:v>
      </x:c>
      <x:c r="G795" s="12" t="n">
        <x:v>2715.06</x:v>
      </x:c>
      <x:c r="H795" s="13" t="n">
        <x:v>116</x:v>
      </x:c>
      <x:c r="I795" s="13" t="n">
        <x:f>YEAR(B795)</x:f>
        <x:v>2024</x:v>
      </x:c>
      <x:c r="J795" s="13" t="n">
        <x:f>MONTH(B795)</x:f>
        <x:v>2</x:v>
      </x:c>
      <x:c r="K795" s="14" t="n">
        <x:f>ROUND(E795*F795-G795,10)</x:f>
        <x:v>0</x:v>
      </x:c>
      <x:c r="L795" s="2"/>
      <x:c r="M795" s="2"/>
      <x:c r="N795" s="2"/>
      <x:c r="O795" s="2"/>
      <x:c r="P795" s="2"/>
      <x:c r="Q795" s="2"/>
      <x:c r="R795" s="2"/>
    </x:row>
    <x:row r="796" ht="22" customHeight="1">
      <x:c r="A796" s="2" t="n">
        <x:v>100790</x:v>
      </x:c>
      <x:c r="B796" s="10" t="n">
        <x:v>45619</x:v>
      </x:c>
      <x:c r="C796" s="2" t="str">
        <x:v>Chile</x:v>
      </x:c>
      <x:c r="D796" s="2" t="str">
        <x:v>Calçados</x:v>
      </x:c>
      <x:c r="E796" s="11" t="n">
        <x:v>45</x:v>
      </x:c>
      <x:c r="F796" s="12" t="n">
        <x:v>67.72</x:v>
      </x:c>
      <x:c r="G796" s="12" t="n">
        <x:v>3047.4</x:v>
      </x:c>
      <x:c r="H796" s="13" t="n">
        <x:v>342</x:v>
      </x:c>
      <x:c r="I796" s="13" t="n">
        <x:f>YEAR(B796)</x:f>
        <x:v>2024</x:v>
      </x:c>
      <x:c r="J796" s="13" t="n">
        <x:f>MONTH(B796)</x:f>
        <x:v>11</x:v>
      </x:c>
      <x:c r="K796" s="14" t="n">
        <x:f>ROUND(E796*F796-G796,10)</x:f>
        <x:v>0</x:v>
      </x:c>
      <x:c r="L796" s="2"/>
      <x:c r="M796" s="2"/>
      <x:c r="N796" s="2"/>
      <x:c r="O796" s="2"/>
      <x:c r="P796" s="2"/>
      <x:c r="Q796" s="2"/>
      <x:c r="R796" s="2"/>
    </x:row>
    <x:row r="797" ht="22" customHeight="1">
      <x:c r="A797" s="2" t="n">
        <x:v>100791</x:v>
      </x:c>
      <x:c r="B797" s="10" t="n">
        <x:v>45019</x:v>
      </x:c>
      <x:c r="C797" s="2" t="str">
        <x:v>Brasil</x:v>
      </x:c>
      <x:c r="D797" s="2" t="str">
        <x:v>Acessórios</x:v>
      </x:c>
      <x:c r="E797" s="11" t="n">
        <x:v>38</x:v>
      </x:c>
      <x:c r="F797" s="12" t="n">
        <x:v>97.76</x:v>
      </x:c>
      <x:c r="G797" s="12" t="n">
        <x:v>3714.88</x:v>
      </x:c>
      <x:c r="H797" s="13" t="n">
        <x:v>334</x:v>
      </x:c>
      <x:c r="I797" s="13" t="n">
        <x:f>YEAR(B797)</x:f>
        <x:v>2023</x:v>
      </x:c>
      <x:c r="J797" s="13" t="n">
        <x:f>MONTH(B797)</x:f>
        <x:v>4</x:v>
      </x:c>
      <x:c r="K797" s="14" t="n">
        <x:f>ROUND(E797*F797-G797,10)</x:f>
        <x:v>0</x:v>
      </x:c>
      <x:c r="L797" s="2"/>
      <x:c r="M797" s="2"/>
      <x:c r="N797" s="2"/>
      <x:c r="O797" s="2"/>
      <x:c r="P797" s="2"/>
      <x:c r="Q797" s="2"/>
      <x:c r="R797" s="2"/>
    </x:row>
    <x:row r="798" ht="22" customHeight="1">
      <x:c r="A798" s="2" t="n">
        <x:v>100792</x:v>
      </x:c>
      <x:c r="B798" s="10" t="n">
        <x:v>45496</x:v>
      </x:c>
      <x:c r="C798" s="2" t="str">
        <x:v>México</x:v>
      </x:c>
      <x:c r="D798" s="2" t="str">
        <x:v>Moda Infantil</x:v>
      </x:c>
      <x:c r="E798" s="11" t="n">
        <x:v>29</x:v>
      </x:c>
      <x:c r="F798" s="12" t="n">
        <x:v>199.83</x:v>
      </x:c>
      <x:c r="G798" s="12" t="n">
        <x:v>5795.070000000001</x:v>
      </x:c>
      <x:c r="H798" s="13" t="n">
        <x:v>138</x:v>
      </x:c>
      <x:c r="I798" s="13" t="n">
        <x:f>YEAR(B798)</x:f>
        <x:v>2024</x:v>
      </x:c>
      <x:c r="J798" s="13" t="n">
        <x:f>MONTH(B798)</x:f>
        <x:v>7</x:v>
      </x:c>
      <x:c r="K798" s="14" t="n">
        <x:f>ROUND(E798*F798-G798,10)</x:f>
        <x:v>0</x:v>
      </x:c>
      <x:c r="L798" s="2"/>
      <x:c r="M798" s="2"/>
      <x:c r="N798" s="2"/>
      <x:c r="O798" s="2"/>
      <x:c r="P798" s="2"/>
      <x:c r="Q798" s="2"/>
      <x:c r="R798" s="2"/>
    </x:row>
    <x:row r="799" ht="22" customHeight="1">
      <x:c r="A799" s="2" t="n">
        <x:v>100793</x:v>
      </x:c>
      <x:c r="B799" s="10" t="n">
        <x:v>45183</x:v>
      </x:c>
      <x:c r="C799" s="2" t="str">
        <x:v>Peru</x:v>
      </x:c>
      <x:c r="D799" s="2" t="str">
        <x:v>Moda Feminina</x:v>
      </x:c>
      <x:c r="E799" s="11" t="n">
        <x:v>5</x:v>
      </x:c>
      <x:c r="F799" s="12" t="n">
        <x:v>59.66</x:v>
      </x:c>
      <x:c r="G799" s="12" t="n">
        <x:v>298.3</x:v>
      </x:c>
      <x:c r="H799" s="13" t="n">
        <x:v>466</x:v>
      </x:c>
      <x:c r="I799" s="13" t="n">
        <x:f>YEAR(B799)</x:f>
        <x:v>2023</x:v>
      </x:c>
      <x:c r="J799" s="13" t="n">
        <x:f>MONTH(B799)</x:f>
        <x:v>9</x:v>
      </x:c>
      <x:c r="K799" s="14" t="n">
        <x:f>ROUND(E799*F799-G799,10)</x:f>
        <x:v>0</x:v>
      </x:c>
      <x:c r="L799" s="2"/>
      <x:c r="M799" s="2"/>
      <x:c r="N799" s="2"/>
      <x:c r="O799" s="2"/>
      <x:c r="P799" s="2"/>
      <x:c r="Q799" s="2"/>
      <x:c r="R799" s="2"/>
    </x:row>
    <x:row r="800" ht="22" customHeight="1">
      <x:c r="A800" s="2" t="n">
        <x:v>100794</x:v>
      </x:c>
      <x:c r="B800" s="10" t="n">
        <x:v>45393</x:v>
      </x:c>
      <x:c r="C800" s="2" t="str">
        <x:v>Colômbia</x:v>
      </x:c>
      <x:c r="D800" s="2" t="str">
        <x:v>Acessórios</x:v>
      </x:c>
      <x:c r="E800" s="11" t="n">
        <x:v>9</x:v>
      </x:c>
      <x:c r="F800" s="12" t="n">
        <x:v>38.58</x:v>
      </x:c>
      <x:c r="G800" s="12" t="n">
        <x:v>347.22</x:v>
      </x:c>
      <x:c r="H800" s="13" t="n">
        <x:v>149</x:v>
      </x:c>
      <x:c r="I800" s="13" t="n">
        <x:f>YEAR(B800)</x:f>
        <x:v>2024</x:v>
      </x:c>
      <x:c r="J800" s="13" t="n">
        <x:f>MONTH(B800)</x:f>
        <x:v>4</x:v>
      </x:c>
      <x:c r="K800" s="14" t="n">
        <x:f>ROUND(E800*F800-G800,10)</x:f>
        <x:v>0</x:v>
      </x:c>
      <x:c r="L800" s="2"/>
      <x:c r="M800" s="2"/>
      <x:c r="N800" s="2"/>
      <x:c r="O800" s="2"/>
      <x:c r="P800" s="2"/>
      <x:c r="Q800" s="2"/>
      <x:c r="R800" s="2"/>
    </x:row>
    <x:row r="801" ht="22" customHeight="1">
      <x:c r="A801" s="2" t="n">
        <x:v>100795</x:v>
      </x:c>
      <x:c r="B801" s="10" t="n">
        <x:v>45453</x:v>
      </x:c>
      <x:c r="C801" s="2" t="str">
        <x:v>Brasil</x:v>
      </x:c>
      <x:c r="D801" s="2" t="str">
        <x:v>Moda Infantil</x:v>
      </x:c>
      <x:c r="E801" s="11" t="n">
        <x:v>48</x:v>
      </x:c>
      <x:c r="F801" s="12" t="n">
        <x:v>125.31</x:v>
      </x:c>
      <x:c r="G801" s="12" t="n">
        <x:v>6014.88</x:v>
      </x:c>
      <x:c r="H801" s="13" t="n">
        <x:v>238</x:v>
      </x:c>
      <x:c r="I801" s="13" t="n">
        <x:f>YEAR(B801)</x:f>
        <x:v>2024</x:v>
      </x:c>
      <x:c r="J801" s="13" t="n">
        <x:f>MONTH(B801)</x:f>
        <x:v>6</x:v>
      </x:c>
      <x:c r="K801" s="14" t="n">
        <x:f>ROUND(E801*F801-G801,10)</x:f>
        <x:v>0</x:v>
      </x:c>
      <x:c r="L801" s="2"/>
      <x:c r="M801" s="2"/>
      <x:c r="N801" s="2"/>
      <x:c r="O801" s="2"/>
      <x:c r="P801" s="2"/>
      <x:c r="Q801" s="2"/>
      <x:c r="R801" s="2"/>
    </x:row>
    <x:row r="802" ht="22" customHeight="1">
      <x:c r="A802" s="2" t="n">
        <x:v>100796</x:v>
      </x:c>
      <x:c r="B802" s="10" t="n">
        <x:v>45361</x:v>
      </x:c>
      <x:c r="C802" s="2" t="str">
        <x:v>México</x:v>
      </x:c>
      <x:c r="D802" s="2" t="str">
        <x:v>Moda Feminina</x:v>
      </x:c>
      <x:c r="E802" s="11" t="n">
        <x:v>2</x:v>
      </x:c>
      <x:c r="F802" s="12" t="n">
        <x:v>107.94</x:v>
      </x:c>
      <x:c r="G802" s="12" t="n">
        <x:v>215.88</x:v>
      </x:c>
      <x:c r="H802" s="13" t="n">
        <x:v>427</x:v>
      </x:c>
      <x:c r="I802" s="13" t="n">
        <x:f>YEAR(B802)</x:f>
        <x:v>2024</x:v>
      </x:c>
      <x:c r="J802" s="13" t="n">
        <x:f>MONTH(B802)</x:f>
        <x:v>3</x:v>
      </x:c>
      <x:c r="K802" s="14" t="n">
        <x:f>ROUND(E802*F802-G802,10)</x:f>
        <x:v>0</x:v>
      </x:c>
      <x:c r="L802" s="2"/>
      <x:c r="M802" s="2"/>
      <x:c r="N802" s="2"/>
      <x:c r="O802" s="2"/>
      <x:c r="P802" s="2"/>
      <x:c r="Q802" s="2"/>
      <x:c r="R802" s="2"/>
    </x:row>
    <x:row r="803" ht="22" customHeight="1">
      <x:c r="A803" s="2" t="n">
        <x:v>100797</x:v>
      </x:c>
      <x:c r="B803" s="10" t="n">
        <x:v>45308</x:v>
      </x:c>
      <x:c r="C803" s="2" t="str">
        <x:v>México</x:v>
      </x:c>
      <x:c r="D803" s="2" t="str">
        <x:v>Calçados</x:v>
      </x:c>
      <x:c r="E803" s="11" t="n">
        <x:v>1</x:v>
      </x:c>
      <x:c r="F803" s="12" t="n">
        <x:v>114.36</x:v>
      </x:c>
      <x:c r="G803" s="12" t="n">
        <x:v>114.36</x:v>
      </x:c>
      <x:c r="H803" s="13" t="n">
        <x:v>395</x:v>
      </x:c>
      <x:c r="I803" s="13" t="n">
        <x:f>YEAR(B803)</x:f>
        <x:v>2024</x:v>
      </x:c>
      <x:c r="J803" s="13" t="n">
        <x:f>MONTH(B803)</x:f>
        <x:v>1</x:v>
      </x:c>
      <x:c r="K803" s="14" t="n">
        <x:f>ROUND(E803*F803-G803,10)</x:f>
        <x:v>0</x:v>
      </x:c>
      <x:c r="L803" s="2"/>
      <x:c r="M803" s="2"/>
      <x:c r="N803" s="2"/>
      <x:c r="O803" s="2"/>
      <x:c r="P803" s="2"/>
      <x:c r="Q803" s="2"/>
      <x:c r="R803" s="2"/>
    </x:row>
    <x:row r="804" ht="22" customHeight="1">
      <x:c r="A804" s="2" t="n">
        <x:v>100798</x:v>
      </x:c>
      <x:c r="B804" s="10" t="n">
        <x:v>45467</x:v>
      </x:c>
      <x:c r="C804" s="2" t="str">
        <x:v>Peru</x:v>
      </x:c>
      <x:c r="D804" s="2" t="str">
        <x:v>Calçados</x:v>
      </x:c>
      <x:c r="E804" s="11" t="n">
        <x:v>40</x:v>
      </x:c>
      <x:c r="F804" s="12" t="n">
        <x:v>140.05</x:v>
      </x:c>
      <x:c r="G804" s="12" t="n">
        <x:v>5602</x:v>
      </x:c>
      <x:c r="H804" s="13" t="n">
        <x:v>437</x:v>
      </x:c>
      <x:c r="I804" s="13" t="n">
        <x:f>YEAR(B804)</x:f>
        <x:v>2024</x:v>
      </x:c>
      <x:c r="J804" s="13" t="n">
        <x:f>MONTH(B804)</x:f>
        <x:v>6</x:v>
      </x:c>
      <x:c r="K804" s="14" t="n">
        <x:f>ROUND(E804*F804-G804,10)</x:f>
        <x:v>0</x:v>
      </x:c>
      <x:c r="L804" s="2"/>
      <x:c r="M804" s="2"/>
      <x:c r="N804" s="2"/>
      <x:c r="O804" s="2"/>
      <x:c r="P804" s="2"/>
      <x:c r="Q804" s="2"/>
      <x:c r="R804" s="2"/>
    </x:row>
    <x:row r="805" ht="22" customHeight="1">
      <x:c r="A805" s="2" t="n">
        <x:v>100799</x:v>
      </x:c>
      <x:c r="B805" s="10" t="n">
        <x:v>45592</x:v>
      </x:c>
      <x:c r="C805" s="2" t="str">
        <x:v>Chile</x:v>
      </x:c>
      <x:c r="D805" s="2" t="str">
        <x:v>Calçados</x:v>
      </x:c>
      <x:c r="E805" s="11" t="n">
        <x:v>30</x:v>
      </x:c>
      <x:c r="F805" s="12" t="n">
        <x:v>68.09</x:v>
      </x:c>
      <x:c r="G805" s="12" t="n">
        <x:v>2042.7</x:v>
      </x:c>
      <x:c r="H805" s="13" t="n">
        <x:v>290</x:v>
      </x:c>
      <x:c r="I805" s="13" t="n">
        <x:f>YEAR(B805)</x:f>
        <x:v>2024</x:v>
      </x:c>
      <x:c r="J805" s="13" t="n">
        <x:f>MONTH(B805)</x:f>
        <x:v>10</x:v>
      </x:c>
      <x:c r="K805" s="14" t="n">
        <x:f>ROUND(E805*F805-G805,10)</x:f>
        <x:v>0</x:v>
      </x:c>
      <x:c r="L805" s="2"/>
      <x:c r="M805" s="2"/>
      <x:c r="N805" s="2"/>
      <x:c r="O805" s="2"/>
      <x:c r="P805" s="2"/>
      <x:c r="Q805" s="2"/>
      <x:c r="R805" s="2"/>
    </x:row>
    <x:row r="806" ht="22" customHeight="1">
      <x:c r="A806" s="2" t="n">
        <x:v>100800</x:v>
      </x:c>
      <x:c r="B806" s="10" t="n">
        <x:v>45447</x:v>
      </x:c>
      <x:c r="C806" s="2" t="str">
        <x:v>México</x:v>
      </x:c>
      <x:c r="D806" s="2" t="str">
        <x:v>Calçados</x:v>
      </x:c>
      <x:c r="E806" s="11" t="n">
        <x:v>11</x:v>
      </x:c>
      <x:c r="F806" s="12" t="n">
        <x:v>183.92</x:v>
      </x:c>
      <x:c r="G806" s="12" t="n">
        <x:v>2023.12</x:v>
      </x:c>
      <x:c r="H806" s="13" t="n">
        <x:v>319</x:v>
      </x:c>
      <x:c r="I806" s="13" t="n">
        <x:f>YEAR(B806)</x:f>
        <x:v>2024</x:v>
      </x:c>
      <x:c r="J806" s="13" t="n">
        <x:f>MONTH(B806)</x:f>
        <x:v>6</x:v>
      </x:c>
      <x:c r="K806" s="14" t="n">
        <x:f>ROUND(E806*F806-G806,10)</x:f>
        <x:v>0</x:v>
      </x:c>
      <x:c r="L806" s="2"/>
      <x:c r="M806" s="2"/>
      <x:c r="N806" s="2"/>
      <x:c r="O806" s="2"/>
      <x:c r="P806" s="2"/>
      <x:c r="Q806" s="2"/>
      <x:c r="R806" s="2"/>
    </x:row>
    <x:row r="807" ht="22" customHeight="1">
      <x:c r="A807" s="2" t="n">
        <x:v>100801</x:v>
      </x:c>
      <x:c r="B807" s="10" t="n">
        <x:v>45304</x:v>
      </x:c>
      <x:c r="C807" s="2" t="str">
        <x:v>México</x:v>
      </x:c>
      <x:c r="D807" s="2" t="str">
        <x:v>Moda Masculina</x:v>
      </x:c>
      <x:c r="E807" s="11" t="n">
        <x:v>28</x:v>
      </x:c>
      <x:c r="F807" s="12" t="n">
        <x:v>98.42</x:v>
      </x:c>
      <x:c r="G807" s="12" t="n">
        <x:v>2755.76</x:v>
      </x:c>
      <x:c r="H807" s="13" t="n">
        <x:v>268</x:v>
      </x:c>
      <x:c r="I807" s="13" t="n">
        <x:f>YEAR(B807)</x:f>
        <x:v>2024</x:v>
      </x:c>
      <x:c r="J807" s="13" t="n">
        <x:f>MONTH(B807)</x:f>
        <x:v>1</x:v>
      </x:c>
      <x:c r="K807" s="14" t="n">
        <x:f>ROUND(E807*F807-G807,10)</x:f>
        <x:v>0</x:v>
      </x:c>
      <x:c r="L807" s="2"/>
      <x:c r="M807" s="2"/>
      <x:c r="N807" s="2"/>
      <x:c r="O807" s="2"/>
      <x:c r="P807" s="2"/>
      <x:c r="Q807" s="2"/>
      <x:c r="R807" s="2"/>
    </x:row>
    <x:row r="808" ht="22" customHeight="1">
      <x:c r="A808" s="2" t="n">
        <x:v>100802</x:v>
      </x:c>
      <x:c r="B808" s="10" t="n">
        <x:v>45563</x:v>
      </x:c>
      <x:c r="C808" s="2" t="str">
        <x:v>México</x:v>
      </x:c>
      <x:c r="D808" s="2" t="str">
        <x:v>Acessórios</x:v>
      </x:c>
      <x:c r="E808" s="11" t="n">
        <x:v>44</x:v>
      </x:c>
      <x:c r="F808" s="12" t="n">
        <x:v>43.24</x:v>
      </x:c>
      <x:c r="G808" s="12" t="n">
        <x:v>1902.56</x:v>
      </x:c>
      <x:c r="H808" s="13" t="n">
        <x:v>466</x:v>
      </x:c>
      <x:c r="I808" s="13" t="n">
        <x:f>YEAR(B808)</x:f>
        <x:v>2024</x:v>
      </x:c>
      <x:c r="J808" s="13" t="n">
        <x:f>MONTH(B808)</x:f>
        <x:v>9</x:v>
      </x:c>
      <x:c r="K808" s="14" t="n">
        <x:f>ROUND(E808*F808-G808,10)</x:f>
        <x:v>0</x:v>
      </x:c>
      <x:c r="L808" s="2"/>
      <x:c r="M808" s="2"/>
      <x:c r="N808" s="2"/>
      <x:c r="O808" s="2"/>
      <x:c r="P808" s="2"/>
      <x:c r="Q808" s="2"/>
      <x:c r="R808" s="2"/>
    </x:row>
    <x:row r="809" ht="22" customHeight="1">
      <x:c r="A809" s="2" t="n">
        <x:v>100803</x:v>
      </x:c>
      <x:c r="B809" s="10" t="n">
        <x:v>45619</x:v>
      </x:c>
      <x:c r="C809" s="2" t="str">
        <x:v>México</x:v>
      </x:c>
      <x:c r="D809" s="2" t="str">
        <x:v>Acessórios</x:v>
      </x:c>
      <x:c r="E809" s="11" t="n">
        <x:v>12</x:v>
      </x:c>
      <x:c r="F809" s="12" t="n">
        <x:v>153.61</x:v>
      </x:c>
      <x:c r="G809" s="12" t="n">
        <x:v>1843.32</x:v>
      </x:c>
      <x:c r="H809" s="13" t="n">
        <x:v>455</x:v>
      </x:c>
      <x:c r="I809" s="13" t="n">
        <x:f>YEAR(B809)</x:f>
        <x:v>2024</x:v>
      </x:c>
      <x:c r="J809" s="13" t="n">
        <x:f>MONTH(B809)</x:f>
        <x:v>11</x:v>
      </x:c>
      <x:c r="K809" s="14" t="n">
        <x:f>ROUND(E809*F809-G809,10)</x:f>
        <x:v>0</x:v>
      </x:c>
      <x:c r="L809" s="2"/>
      <x:c r="M809" s="2"/>
      <x:c r="N809" s="2"/>
      <x:c r="O809" s="2"/>
      <x:c r="P809" s="2"/>
      <x:c r="Q809" s="2"/>
      <x:c r="R809" s="2"/>
    </x:row>
    <x:row r="810" ht="22" customHeight="1">
      <x:c r="A810" s="2" t="n">
        <x:v>100804</x:v>
      </x:c>
      <x:c r="B810" s="10" t="n">
        <x:v>45209</x:v>
      </x:c>
      <x:c r="C810" s="2" t="str">
        <x:v>Argentina</x:v>
      </x:c>
      <x:c r="D810" s="2" t="str">
        <x:v>Moda Masculina</x:v>
      </x:c>
      <x:c r="E810" s="11" t="n">
        <x:v>39</x:v>
      </x:c>
      <x:c r="F810" s="12" t="n">
        <x:v>135.76</x:v>
      </x:c>
      <x:c r="G810" s="12" t="n">
        <x:v>5294.639999999999</x:v>
      </x:c>
      <x:c r="H810" s="13" t="n">
        <x:v>225</x:v>
      </x:c>
      <x:c r="I810" s="13" t="n">
        <x:f>YEAR(B810)</x:f>
        <x:v>2023</x:v>
      </x:c>
      <x:c r="J810" s="13" t="n">
        <x:f>MONTH(B810)</x:f>
        <x:v>10</x:v>
      </x:c>
      <x:c r="K810" s="14" t="n">
        <x:f>ROUND(E810*F810-G810,10)</x:f>
        <x:v>0</x:v>
      </x:c>
      <x:c r="L810" s="2"/>
      <x:c r="M810" s="2"/>
      <x:c r="N810" s="2"/>
      <x:c r="O810" s="2"/>
      <x:c r="P810" s="2"/>
      <x:c r="Q810" s="2"/>
      <x:c r="R810" s="2"/>
    </x:row>
    <x:row r="811" ht="22" customHeight="1">
      <x:c r="A811" s="2" t="n">
        <x:v>100805</x:v>
      </x:c>
      <x:c r="B811" s="10" t="n">
        <x:v>45224</x:v>
      </x:c>
      <x:c r="C811" s="2" t="str">
        <x:v>Argentina</x:v>
      </x:c>
      <x:c r="D811" s="2" t="str">
        <x:v>Moda Infantil</x:v>
      </x:c>
      <x:c r="E811" s="11" t="n">
        <x:v>26</x:v>
      </x:c>
      <x:c r="F811" s="12" t="n">
        <x:v>76.83</x:v>
      </x:c>
      <x:c r="G811" s="12" t="n">
        <x:v>1997.58</x:v>
      </x:c>
      <x:c r="H811" s="13" t="n">
        <x:v>436</x:v>
      </x:c>
      <x:c r="I811" s="13" t="n">
        <x:f>YEAR(B811)</x:f>
        <x:v>2023</x:v>
      </x:c>
      <x:c r="J811" s="13" t="n">
        <x:f>MONTH(B811)</x:f>
        <x:v>10</x:v>
      </x:c>
      <x:c r="K811" s="14" t="n">
        <x:f>ROUND(E811*F811-G811,10)</x:f>
        <x:v>0</x:v>
      </x:c>
      <x:c r="L811" s="2"/>
      <x:c r="M811" s="2"/>
      <x:c r="N811" s="2"/>
      <x:c r="O811" s="2"/>
      <x:c r="P811" s="2"/>
      <x:c r="Q811" s="2"/>
      <x:c r="R811" s="2"/>
    </x:row>
    <x:row r="812" ht="22" customHeight="1">
      <x:c r="A812" s="2" t="n">
        <x:v>100806</x:v>
      </x:c>
      <x:c r="B812" s="10" t="n">
        <x:v>45193</x:v>
      </x:c>
      <x:c r="C812" s="2" t="str">
        <x:v>Chile</x:v>
      </x:c>
      <x:c r="D812" s="2" t="str">
        <x:v>Moda Infantil</x:v>
      </x:c>
      <x:c r="E812" s="11" t="n">
        <x:v>13</x:v>
      </x:c>
      <x:c r="F812" s="12" t="n">
        <x:v>131.87</x:v>
      </x:c>
      <x:c r="G812" s="12" t="n">
        <x:v>1714.31</x:v>
      </x:c>
      <x:c r="H812" s="13" t="n">
        <x:v>390</x:v>
      </x:c>
      <x:c r="I812" s="13" t="n">
        <x:f>YEAR(B812)</x:f>
        <x:v>2023</x:v>
      </x:c>
      <x:c r="J812" s="13" t="n">
        <x:f>MONTH(B812)</x:f>
        <x:v>9</x:v>
      </x:c>
      <x:c r="K812" s="14" t="n">
        <x:f>ROUND(E812*F812-G812,10)</x:f>
        <x:v>0</x:v>
      </x:c>
      <x:c r="L812" s="2"/>
      <x:c r="M812" s="2"/>
      <x:c r="N812" s="2"/>
      <x:c r="O812" s="2"/>
      <x:c r="P812" s="2"/>
      <x:c r="Q812" s="2"/>
      <x:c r="R812" s="2"/>
    </x:row>
    <x:row r="813" ht="22" customHeight="1">
      <x:c r="A813" s="2" t="n">
        <x:v>100807</x:v>
      </x:c>
      <x:c r="B813" s="10" t="n">
        <x:v>45387</x:v>
      </x:c>
      <x:c r="C813" s="2" t="str">
        <x:v>Brasil</x:v>
      </x:c>
      <x:c r="D813" s="2" t="str">
        <x:v>Calçados</x:v>
      </x:c>
      <x:c r="E813" s="11" t="n">
        <x:v>8</x:v>
      </x:c>
      <x:c r="F813" s="12" t="n">
        <x:v>59.58</x:v>
      </x:c>
      <x:c r="G813" s="12" t="n">
        <x:v>476.64</x:v>
      </x:c>
      <x:c r="H813" s="13" t="n">
        <x:v>282</x:v>
      </x:c>
      <x:c r="I813" s="13" t="n">
        <x:f>YEAR(B813)</x:f>
        <x:v>2024</x:v>
      </x:c>
      <x:c r="J813" s="13" t="n">
        <x:f>MONTH(B813)</x:f>
        <x:v>4</x:v>
      </x:c>
      <x:c r="K813" s="14" t="n">
        <x:f>ROUND(E813*F813-G813,10)</x:f>
        <x:v>0</x:v>
      </x:c>
      <x:c r="L813" s="2"/>
      <x:c r="M813" s="2"/>
      <x:c r="N813" s="2"/>
      <x:c r="O813" s="2"/>
      <x:c r="P813" s="2"/>
      <x:c r="Q813" s="2"/>
      <x:c r="R813" s="2"/>
    </x:row>
    <x:row r="814" ht="22" customHeight="1">
      <x:c r="A814" s="2" t="n">
        <x:v>100808</x:v>
      </x:c>
      <x:c r="B814" s="10" t="n">
        <x:v>45613</x:v>
      </x:c>
      <x:c r="C814" s="2" t="str">
        <x:v>México</x:v>
      </x:c>
      <x:c r="D814" s="2" t="str">
        <x:v>Moda Feminina</x:v>
      </x:c>
      <x:c r="E814" s="11" t="n">
        <x:v>28</x:v>
      </x:c>
      <x:c r="F814" s="12" t="n">
        <x:v>100.07</x:v>
      </x:c>
      <x:c r="G814" s="12" t="n">
        <x:v>2801.96</x:v>
      </x:c>
      <x:c r="H814" s="13" t="n">
        <x:v>200</x:v>
      </x:c>
      <x:c r="I814" s="13" t="n">
        <x:f>YEAR(B814)</x:f>
        <x:v>2024</x:v>
      </x:c>
      <x:c r="J814" s="13" t="n">
        <x:f>MONTH(B814)</x:f>
        <x:v>11</x:v>
      </x:c>
      <x:c r="K814" s="14" t="n">
        <x:f>ROUND(E814*F814-G814,10)</x:f>
        <x:v>0</x:v>
      </x:c>
      <x:c r="L814" s="2"/>
      <x:c r="M814" s="2"/>
      <x:c r="N814" s="2"/>
      <x:c r="O814" s="2"/>
      <x:c r="P814" s="2"/>
      <x:c r="Q814" s="2"/>
      <x:c r="R814" s="2"/>
    </x:row>
    <x:row r="815" ht="22" customHeight="1">
      <x:c r="A815" s="2" t="n">
        <x:v>100809</x:v>
      </x:c>
      <x:c r="B815" s="10" t="n">
        <x:v>45514</x:v>
      </x:c>
      <x:c r="C815" s="2" t="str">
        <x:v>Peru</x:v>
      </x:c>
      <x:c r="D815" s="2" t="str">
        <x:v>Moda Infantil</x:v>
      </x:c>
      <x:c r="E815" s="11" t="n">
        <x:v>30</x:v>
      </x:c>
      <x:c r="F815" s="12" t="n">
        <x:v>181.89</x:v>
      </x:c>
      <x:c r="G815" s="12" t="n">
        <x:v>5456.7</x:v>
      </x:c>
      <x:c r="H815" s="13" t="n">
        <x:v>326</x:v>
      </x:c>
      <x:c r="I815" s="13" t="n">
        <x:f>YEAR(B815)</x:f>
        <x:v>2024</x:v>
      </x:c>
      <x:c r="J815" s="13" t="n">
        <x:f>MONTH(B815)</x:f>
        <x:v>8</x:v>
      </x:c>
      <x:c r="K815" s="14" t="n">
        <x:f>ROUND(E815*F815-G815,10)</x:f>
        <x:v>0</x:v>
      </x:c>
      <x:c r="L815" s="2"/>
      <x:c r="M815" s="2"/>
      <x:c r="N815" s="2"/>
      <x:c r="O815" s="2"/>
      <x:c r="P815" s="2"/>
      <x:c r="Q815" s="2"/>
      <x:c r="R815" s="2"/>
    </x:row>
    <x:row r="816" ht="22" customHeight="1">
      <x:c r="A816" s="2" t="n">
        <x:v>100810</x:v>
      </x:c>
      <x:c r="B816" s="10" t="n">
        <x:v>44997</x:v>
      </x:c>
      <x:c r="C816" s="2" t="str">
        <x:v>Brasil</x:v>
      </x:c>
      <x:c r="D816" s="2" t="str">
        <x:v>Moda Feminina</x:v>
      </x:c>
      <x:c r="E816" s="11" t="n">
        <x:v>9</x:v>
      </x:c>
      <x:c r="F816" s="12" t="n">
        <x:v>44.04</x:v>
      </x:c>
      <x:c r="G816" s="12" t="n">
        <x:v>396.36</x:v>
      </x:c>
      <x:c r="H816" s="13" t="n">
        <x:v>278</x:v>
      </x:c>
      <x:c r="I816" s="13" t="n">
        <x:f>YEAR(B816)</x:f>
        <x:v>2023</x:v>
      </x:c>
      <x:c r="J816" s="13" t="n">
        <x:f>MONTH(B816)</x:f>
        <x:v>3</x:v>
      </x:c>
      <x:c r="K816" s="14" t="n">
        <x:f>ROUND(E816*F816-G816,10)</x:f>
        <x:v>0</x:v>
      </x:c>
      <x:c r="L816" s="2"/>
      <x:c r="M816" s="2"/>
      <x:c r="N816" s="2"/>
      <x:c r="O816" s="2"/>
      <x:c r="P816" s="2"/>
      <x:c r="Q816" s="2"/>
      <x:c r="R816" s="2"/>
    </x:row>
    <x:row r="817" ht="22" customHeight="1">
      <x:c r="A817" s="2" t="n">
        <x:v>100811</x:v>
      </x:c>
      <x:c r="B817" s="10" t="n">
        <x:v>45141</x:v>
      </x:c>
      <x:c r="C817" s="2" t="str">
        <x:v>Peru</x:v>
      </x:c>
      <x:c r="D817" s="2" t="str">
        <x:v>Acessórios</x:v>
      </x:c>
      <x:c r="E817" s="11" t="n">
        <x:v>39</x:v>
      </x:c>
      <x:c r="F817" s="12" t="n">
        <x:v>89.61</x:v>
      </x:c>
      <x:c r="G817" s="12" t="n">
        <x:v>3494.79</x:v>
      </x:c>
      <x:c r="H817" s="13" t="n">
        <x:v>220</x:v>
      </x:c>
      <x:c r="I817" s="13" t="n">
        <x:f>YEAR(B817)</x:f>
        <x:v>2023</x:v>
      </x:c>
      <x:c r="J817" s="13" t="n">
        <x:f>MONTH(B817)</x:f>
        <x:v>8</x:v>
      </x:c>
      <x:c r="K817" s="14" t="n">
        <x:f>ROUND(E817*F817-G817,10)</x:f>
        <x:v>0</x:v>
      </x:c>
      <x:c r="L817" s="2"/>
      <x:c r="M817" s="2"/>
      <x:c r="N817" s="2"/>
      <x:c r="O817" s="2"/>
      <x:c r="P817" s="2"/>
      <x:c r="Q817" s="2"/>
      <x:c r="R817" s="2"/>
    </x:row>
    <x:row r="818" ht="22" customHeight="1">
      <x:c r="A818" s="2" t="n">
        <x:v>100812</x:v>
      </x:c>
      <x:c r="B818" s="10" t="n">
        <x:v>45007</x:v>
      </x:c>
      <x:c r="C818" s="2" t="str">
        <x:v>Brasil</x:v>
      </x:c>
      <x:c r="D818" s="2" t="str">
        <x:v>Moda Feminina</x:v>
      </x:c>
      <x:c r="E818" s="11" t="n">
        <x:v>31</x:v>
      </x:c>
      <x:c r="F818" s="12" t="n">
        <x:v>167.81</x:v>
      </x:c>
      <x:c r="G818" s="12" t="n">
        <x:v>5202.11</x:v>
      </x:c>
      <x:c r="H818" s="13" t="n">
        <x:v>272</x:v>
      </x:c>
      <x:c r="I818" s="13" t="n">
        <x:f>YEAR(B818)</x:f>
        <x:v>2023</x:v>
      </x:c>
      <x:c r="J818" s="13" t="n">
        <x:f>MONTH(B818)</x:f>
        <x:v>3</x:v>
      </x:c>
      <x:c r="K818" s="14" t="n">
        <x:f>ROUND(E818*F818-G818,10)</x:f>
        <x:v>0</x:v>
      </x:c>
      <x:c r="L818" s="2"/>
      <x:c r="M818" s="2"/>
      <x:c r="N818" s="2"/>
      <x:c r="O818" s="2"/>
      <x:c r="P818" s="2"/>
      <x:c r="Q818" s="2"/>
      <x:c r="R818" s="2"/>
    </x:row>
    <x:row r="819" ht="22" customHeight="1">
      <x:c r="A819" s="2" t="n">
        <x:v>100813</x:v>
      </x:c>
      <x:c r="B819" s="10" t="n">
        <x:v>45080</x:v>
      </x:c>
      <x:c r="C819" s="2" t="str">
        <x:v>Chile</x:v>
      </x:c>
      <x:c r="D819" s="2" t="str">
        <x:v>Acessórios</x:v>
      </x:c>
      <x:c r="E819" s="11" t="n">
        <x:v>21</x:v>
      </x:c>
      <x:c r="F819" s="12" t="n">
        <x:v>194.51</x:v>
      </x:c>
      <x:c r="G819" s="12" t="n">
        <x:v>4084.71</x:v>
      </x:c>
      <x:c r="H819" s="13" t="n">
        <x:v>262</x:v>
      </x:c>
      <x:c r="I819" s="13" t="n">
        <x:f>YEAR(B819)</x:f>
        <x:v>2023</x:v>
      </x:c>
      <x:c r="J819" s="13" t="n">
        <x:f>MONTH(B819)</x:f>
        <x:v>6</x:v>
      </x:c>
      <x:c r="K819" s="14" t="n">
        <x:f>ROUND(E819*F819-G819,10)</x:f>
        <x:v>0</x:v>
      </x:c>
      <x:c r="L819" s="2"/>
      <x:c r="M819" s="2"/>
      <x:c r="N819" s="2"/>
      <x:c r="O819" s="2"/>
      <x:c r="P819" s="2"/>
      <x:c r="Q819" s="2"/>
      <x:c r="R819" s="2"/>
    </x:row>
    <x:row r="820" ht="22" customHeight="1">
      <x:c r="A820" s="2" t="n">
        <x:v>100814</x:v>
      </x:c>
      <x:c r="B820" s="10" t="n">
        <x:v>45368</x:v>
      </x:c>
      <x:c r="C820" s="2" t="str">
        <x:v>México</x:v>
      </x:c>
      <x:c r="D820" s="2" t="str">
        <x:v>Moda Masculina</x:v>
      </x:c>
      <x:c r="E820" s="11" t="n">
        <x:v>47</x:v>
      </x:c>
      <x:c r="F820" s="12" t="n">
        <x:v>101.71</x:v>
      </x:c>
      <x:c r="G820" s="12" t="n">
        <x:v>4780.37</x:v>
      </x:c>
      <x:c r="H820" s="13" t="n">
        <x:v>331</x:v>
      </x:c>
      <x:c r="I820" s="13" t="n">
        <x:f>YEAR(B820)</x:f>
        <x:v>2024</x:v>
      </x:c>
      <x:c r="J820" s="13" t="n">
        <x:f>MONTH(B820)</x:f>
        <x:v>3</x:v>
      </x:c>
      <x:c r="K820" s="14" t="n">
        <x:f>ROUND(E820*F820-G820,10)</x:f>
        <x:v>0</x:v>
      </x:c>
      <x:c r="L820" s="2"/>
      <x:c r="M820" s="2"/>
      <x:c r="N820" s="2"/>
      <x:c r="O820" s="2"/>
      <x:c r="P820" s="2"/>
      <x:c r="Q820" s="2"/>
      <x:c r="R820" s="2"/>
    </x:row>
    <x:row r="821" ht="22" customHeight="1">
      <x:c r="A821" s="2" t="n">
        <x:v>100815</x:v>
      </x:c>
      <x:c r="B821" s="10" t="n">
        <x:v>45531</x:v>
      </x:c>
      <x:c r="C821" s="2" t="str">
        <x:v>México</x:v>
      </x:c>
      <x:c r="D821" s="2" t="str">
        <x:v>Moda Masculina</x:v>
      </x:c>
      <x:c r="E821" s="11" t="n">
        <x:v>34</x:v>
      </x:c>
      <x:c r="F821" s="12" t="n">
        <x:v>111.26</x:v>
      </x:c>
      <x:c r="G821" s="12" t="n">
        <x:v>3782.84</x:v>
      </x:c>
      <x:c r="H821" s="13" t="n">
        <x:v>90</x:v>
      </x:c>
      <x:c r="I821" s="13" t="n">
        <x:f>YEAR(B821)</x:f>
        <x:v>2024</x:v>
      </x:c>
      <x:c r="J821" s="13" t="n">
        <x:f>MONTH(B821)</x:f>
        <x:v>8</x:v>
      </x:c>
      <x:c r="K821" s="14" t="n">
        <x:f>ROUND(E821*F821-G821,10)</x:f>
        <x:v>0</x:v>
      </x:c>
      <x:c r="L821" s="2"/>
      <x:c r="M821" s="2"/>
      <x:c r="N821" s="2"/>
      <x:c r="O821" s="2"/>
      <x:c r="P821" s="2"/>
      <x:c r="Q821" s="2"/>
      <x:c r="R821" s="2"/>
    </x:row>
    <x:row r="822" ht="22" customHeight="1">
      <x:c r="A822" s="2" t="n">
        <x:v>100816</x:v>
      </x:c>
      <x:c r="B822" s="10" t="n">
        <x:v>45188</x:v>
      </x:c>
      <x:c r="C822" s="2" t="str">
        <x:v>Colômbia</x:v>
      </x:c>
      <x:c r="D822" s="2" t="str">
        <x:v>Calçados</x:v>
      </x:c>
      <x:c r="E822" s="11" t="n">
        <x:v>31</x:v>
      </x:c>
      <x:c r="F822" s="12" t="n">
        <x:v>122.99</x:v>
      </x:c>
      <x:c r="G822" s="12" t="n">
        <x:v>3812.69</x:v>
      </x:c>
      <x:c r="H822" s="13" t="n">
        <x:v>171</x:v>
      </x:c>
      <x:c r="I822" s="13" t="n">
        <x:f>YEAR(B822)</x:f>
        <x:v>2023</x:v>
      </x:c>
      <x:c r="J822" s="13" t="n">
        <x:f>MONTH(B822)</x:f>
        <x:v>9</x:v>
      </x:c>
      <x:c r="K822" s="14" t="n">
        <x:f>ROUND(E822*F822-G822,10)</x:f>
        <x:v>0</x:v>
      </x:c>
      <x:c r="L822" s="2"/>
      <x:c r="M822" s="2"/>
      <x:c r="N822" s="2"/>
      <x:c r="O822" s="2"/>
      <x:c r="P822" s="2"/>
      <x:c r="Q822" s="2"/>
      <x:c r="R822" s="2"/>
    </x:row>
    <x:row r="823" ht="22" customHeight="1">
      <x:c r="A823" s="2" t="n">
        <x:v>100817</x:v>
      </x:c>
      <x:c r="B823" s="10" t="n">
        <x:v>45292</x:v>
      </x:c>
      <x:c r="C823" s="2" t="str">
        <x:v>Peru</x:v>
      </x:c>
      <x:c r="D823" s="2" t="str">
        <x:v>Moda Infantil</x:v>
      </x:c>
      <x:c r="E823" s="11" t="n">
        <x:v>25</x:v>
      </x:c>
      <x:c r="F823" s="12" t="n">
        <x:v>187.82</x:v>
      </x:c>
      <x:c r="G823" s="12" t="n">
        <x:v>4695.5</x:v>
      </x:c>
      <x:c r="H823" s="13" t="n">
        <x:v>276</x:v>
      </x:c>
      <x:c r="I823" s="13" t="n">
        <x:f>YEAR(B823)</x:f>
        <x:v>2024</x:v>
      </x:c>
      <x:c r="J823" s="13" t="n">
        <x:f>MONTH(B823)</x:f>
        <x:v>1</x:v>
      </x:c>
      <x:c r="K823" s="14" t="n">
        <x:f>ROUND(E823*F823-G823,10)</x:f>
        <x:v>0</x:v>
      </x:c>
      <x:c r="L823" s="2"/>
      <x:c r="M823" s="2"/>
      <x:c r="N823" s="2"/>
      <x:c r="O823" s="2"/>
      <x:c r="P823" s="2"/>
      <x:c r="Q823" s="2"/>
      <x:c r="R823" s="2"/>
    </x:row>
    <x:row r="824" ht="22" customHeight="1">
      <x:c r="A824" s="2" t="n">
        <x:v>100818</x:v>
      </x:c>
      <x:c r="B824" s="10" t="n">
        <x:v>45142</x:v>
      </x:c>
      <x:c r="C824" s="2" t="str">
        <x:v>Brasil</x:v>
      </x:c>
      <x:c r="D824" s="2" t="str">
        <x:v>Calçados</x:v>
      </x:c>
      <x:c r="E824" s="11" t="n">
        <x:v>12</x:v>
      </x:c>
      <x:c r="F824" s="12" t="n">
        <x:v>174.48</x:v>
      </x:c>
      <x:c r="G824" s="12" t="n">
        <x:v>2093.76</x:v>
      </x:c>
      <x:c r="H824" s="13" t="n">
        <x:v>343</x:v>
      </x:c>
      <x:c r="I824" s="13" t="n">
        <x:f>YEAR(B824)</x:f>
        <x:v>2023</x:v>
      </x:c>
      <x:c r="J824" s="13" t="n">
        <x:f>MONTH(B824)</x:f>
        <x:v>8</x:v>
      </x:c>
      <x:c r="K824" s="14" t="n">
        <x:f>ROUND(E824*F824-G824,10)</x:f>
        <x:v>0</x:v>
      </x:c>
      <x:c r="L824" s="2"/>
      <x:c r="M824" s="2"/>
      <x:c r="N824" s="2"/>
      <x:c r="O824" s="2"/>
      <x:c r="P824" s="2"/>
      <x:c r="Q824" s="2"/>
      <x:c r="R824" s="2"/>
    </x:row>
    <x:row r="825" ht="22" customHeight="1">
      <x:c r="A825" s="2" t="n">
        <x:v>100819</x:v>
      </x:c>
      <x:c r="B825" s="10" t="n">
        <x:v>45268</x:v>
      </x:c>
      <x:c r="C825" s="2" t="str">
        <x:v>Brasil</x:v>
      </x:c>
      <x:c r="D825" s="2" t="str">
        <x:v>Acessórios</x:v>
      </x:c>
      <x:c r="E825" s="11" t="n">
        <x:v>1</x:v>
      </x:c>
      <x:c r="F825" s="12" t="n">
        <x:v>50.71</x:v>
      </x:c>
      <x:c r="G825" s="12" t="n">
        <x:v>50.71</x:v>
      </x:c>
      <x:c r="H825" s="13" t="n">
        <x:v>137</x:v>
      </x:c>
      <x:c r="I825" s="13" t="n">
        <x:f>YEAR(B825)</x:f>
        <x:v>2023</x:v>
      </x:c>
      <x:c r="J825" s="13" t="n">
        <x:f>MONTH(B825)</x:f>
        <x:v>12</x:v>
      </x:c>
      <x:c r="K825" s="14" t="n">
        <x:f>ROUND(E825*F825-G825,10)</x:f>
        <x:v>0</x:v>
      </x:c>
      <x:c r="L825" s="2"/>
      <x:c r="M825" s="2"/>
      <x:c r="N825" s="2"/>
      <x:c r="O825" s="2"/>
      <x:c r="P825" s="2"/>
      <x:c r="Q825" s="2"/>
      <x:c r="R825" s="2"/>
    </x:row>
    <x:row r="826" ht="22" customHeight="1">
      <x:c r="A826" s="2" t="n">
        <x:v>100820</x:v>
      </x:c>
      <x:c r="B826" s="10" t="n">
        <x:v>45308</x:v>
      </x:c>
      <x:c r="C826" s="2" t="str">
        <x:v>Argentina</x:v>
      </x:c>
      <x:c r="D826" s="2" t="str">
        <x:v>Calçados</x:v>
      </x:c>
      <x:c r="E826" s="11" t="n">
        <x:v>22</x:v>
      </x:c>
      <x:c r="F826" s="12" t="n">
        <x:v>98.62</x:v>
      </x:c>
      <x:c r="G826" s="12" t="n">
        <x:v>2169.64</x:v>
      </x:c>
      <x:c r="H826" s="13" t="n">
        <x:v>316</x:v>
      </x:c>
      <x:c r="I826" s="13" t="n">
        <x:f>YEAR(B826)</x:f>
        <x:v>2024</x:v>
      </x:c>
      <x:c r="J826" s="13" t="n">
        <x:f>MONTH(B826)</x:f>
        <x:v>1</x:v>
      </x:c>
      <x:c r="K826" s="14" t="n">
        <x:f>ROUND(E826*F826-G826,10)</x:f>
        <x:v>0</x:v>
      </x:c>
      <x:c r="L826" s="2"/>
      <x:c r="M826" s="2"/>
      <x:c r="N826" s="2"/>
      <x:c r="O826" s="2"/>
      <x:c r="P826" s="2"/>
      <x:c r="Q826" s="2"/>
      <x:c r="R826" s="2"/>
    </x:row>
    <x:row r="827" ht="22" customHeight="1">
      <x:c r="A827" s="2" t="n">
        <x:v>100821</x:v>
      </x:c>
      <x:c r="B827" s="10" t="n">
        <x:v>45114</x:v>
      </x:c>
      <x:c r="C827" s="2" t="str">
        <x:v>Colômbia</x:v>
      </x:c>
      <x:c r="D827" s="2" t="str">
        <x:v>Moda Feminina</x:v>
      </x:c>
      <x:c r="E827" s="11" t="n">
        <x:v>40</x:v>
      </x:c>
      <x:c r="F827" s="12" t="n">
        <x:v>103.52</x:v>
      </x:c>
      <x:c r="G827" s="12" t="n">
        <x:v>4140.8</x:v>
      </x:c>
      <x:c r="H827" s="13" t="n">
        <x:v>78</x:v>
      </x:c>
      <x:c r="I827" s="13" t="n">
        <x:f>YEAR(B827)</x:f>
        <x:v>2023</x:v>
      </x:c>
      <x:c r="J827" s="13" t="n">
        <x:f>MONTH(B827)</x:f>
        <x:v>7</x:v>
      </x:c>
      <x:c r="K827" s="14" t="n">
        <x:f>ROUND(E827*F827-G827,10)</x:f>
        <x:v>0</x:v>
      </x:c>
      <x:c r="L827" s="2"/>
      <x:c r="M827" s="2"/>
      <x:c r="N827" s="2"/>
      <x:c r="O827" s="2"/>
      <x:c r="P827" s="2"/>
      <x:c r="Q827" s="2"/>
      <x:c r="R827" s="2"/>
    </x:row>
    <x:row r="828" ht="22" customHeight="1">
      <x:c r="A828" s="2" t="n">
        <x:v>100822</x:v>
      </x:c>
      <x:c r="B828" s="10" t="n">
        <x:v>45636</x:v>
      </x:c>
      <x:c r="C828" s="2" t="str">
        <x:v>Argentina</x:v>
      </x:c>
      <x:c r="D828" s="2" t="str">
        <x:v>Acessórios</x:v>
      </x:c>
      <x:c r="E828" s="11" t="n">
        <x:v>37</x:v>
      </x:c>
      <x:c r="F828" s="12" t="n">
        <x:v>162.04</x:v>
      </x:c>
      <x:c r="G828" s="12" t="n">
        <x:v>5995.48</x:v>
      </x:c>
      <x:c r="H828" s="13" t="n">
        <x:v>296</x:v>
      </x:c>
      <x:c r="I828" s="13" t="n">
        <x:f>YEAR(B828)</x:f>
        <x:v>2024</x:v>
      </x:c>
      <x:c r="J828" s="13" t="n">
        <x:f>MONTH(B828)</x:f>
        <x:v>12</x:v>
      </x:c>
      <x:c r="K828" s="14" t="n">
        <x:f>ROUND(E828*F828-G828,10)</x:f>
        <x:v>0</x:v>
      </x:c>
      <x:c r="L828" s="2"/>
      <x:c r="M828" s="2"/>
      <x:c r="N828" s="2"/>
      <x:c r="O828" s="2"/>
      <x:c r="P828" s="2"/>
      <x:c r="Q828" s="2"/>
      <x:c r="R828" s="2"/>
    </x:row>
    <x:row r="829" ht="22" customHeight="1">
      <x:c r="A829" s="2" t="n">
        <x:v>100823</x:v>
      </x:c>
      <x:c r="B829" s="10" t="n">
        <x:v>45251</x:v>
      </x:c>
      <x:c r="C829" s="2" t="str">
        <x:v>Argentina</x:v>
      </x:c>
      <x:c r="D829" s="2" t="str">
        <x:v>Moda Masculina</x:v>
      </x:c>
      <x:c r="E829" s="11" t="n">
        <x:v>47</x:v>
      </x:c>
      <x:c r="F829" s="12" t="n">
        <x:v>128.52</x:v>
      </x:c>
      <x:c r="G829" s="12" t="n">
        <x:v>6040.440000000001</x:v>
      </x:c>
      <x:c r="H829" s="13" t="n">
        <x:v>365</x:v>
      </x:c>
      <x:c r="I829" s="13" t="n">
        <x:f>YEAR(B829)</x:f>
        <x:v>2023</x:v>
      </x:c>
      <x:c r="J829" s="13" t="n">
        <x:f>MONTH(B829)</x:f>
        <x:v>11</x:v>
      </x:c>
      <x:c r="K829" s="14" t="n">
        <x:f>ROUND(E829*F829-G829,10)</x:f>
        <x:v>0</x:v>
      </x:c>
      <x:c r="L829" s="2"/>
      <x:c r="M829" s="2"/>
      <x:c r="N829" s="2"/>
      <x:c r="O829" s="2"/>
      <x:c r="P829" s="2"/>
      <x:c r="Q829" s="2"/>
      <x:c r="R829" s="2"/>
    </x:row>
    <x:row r="830" ht="22" customHeight="1">
      <x:c r="A830" s="2" t="n">
        <x:v>100824</x:v>
      </x:c>
      <x:c r="B830" s="10" t="n">
        <x:v>45150</x:v>
      </x:c>
      <x:c r="C830" s="2" t="str">
        <x:v>Argentina</x:v>
      </x:c>
      <x:c r="D830" s="2" t="str">
        <x:v>Moda Infantil</x:v>
      </x:c>
      <x:c r="E830" s="11" t="n">
        <x:v>1</x:v>
      </x:c>
      <x:c r="F830" s="12" t="n">
        <x:v>137.76</x:v>
      </x:c>
      <x:c r="G830" s="12" t="n">
        <x:v>137.76</x:v>
      </x:c>
      <x:c r="H830" s="13" t="n">
        <x:v>498</x:v>
      </x:c>
      <x:c r="I830" s="13" t="n">
        <x:f>YEAR(B830)</x:f>
        <x:v>2023</x:v>
      </x:c>
      <x:c r="J830" s="13" t="n">
        <x:f>MONTH(B830)</x:f>
        <x:v>8</x:v>
      </x:c>
      <x:c r="K830" s="14" t="n">
        <x:f>ROUND(E830*F830-G830,10)</x:f>
        <x:v>0</x:v>
      </x:c>
      <x:c r="L830" s="2"/>
      <x:c r="M830" s="2"/>
      <x:c r="N830" s="2"/>
      <x:c r="O830" s="2"/>
      <x:c r="P830" s="2"/>
      <x:c r="Q830" s="2"/>
      <x:c r="R830" s="2"/>
    </x:row>
    <x:row r="831" ht="22" customHeight="1">
      <x:c r="A831" s="2" t="n">
        <x:v>100825</x:v>
      </x:c>
      <x:c r="B831" s="10" t="n">
        <x:v>45079</x:v>
      </x:c>
      <x:c r="C831" s="2" t="str">
        <x:v>Peru</x:v>
      </x:c>
      <x:c r="D831" s="2" t="str">
        <x:v>Acessórios</x:v>
      </x:c>
      <x:c r="E831" s="11" t="n">
        <x:v>1</x:v>
      </x:c>
      <x:c r="F831" s="12" t="n">
        <x:v>199.68</x:v>
      </x:c>
      <x:c r="G831" s="12" t="n">
        <x:v>199.68</x:v>
      </x:c>
      <x:c r="H831" s="13" t="n">
        <x:v>293</x:v>
      </x:c>
      <x:c r="I831" s="13" t="n">
        <x:f>YEAR(B831)</x:f>
        <x:v>2023</x:v>
      </x:c>
      <x:c r="J831" s="13" t="n">
        <x:f>MONTH(B831)</x:f>
        <x:v>6</x:v>
      </x:c>
      <x:c r="K831" s="14" t="n">
        <x:f>ROUND(E831*F831-G831,10)</x:f>
        <x:v>0</x:v>
      </x:c>
      <x:c r="L831" s="2"/>
      <x:c r="M831" s="2"/>
      <x:c r="N831" s="2"/>
      <x:c r="O831" s="2"/>
      <x:c r="P831" s="2"/>
      <x:c r="Q831" s="2"/>
      <x:c r="R831" s="2"/>
    </x:row>
    <x:row r="832" ht="22" customHeight="1">
      <x:c r="A832" s="2" t="n">
        <x:v>100826</x:v>
      </x:c>
      <x:c r="B832" s="10" t="n">
        <x:v>45524</x:v>
      </x:c>
      <x:c r="C832" s="2" t="str">
        <x:v>Peru</x:v>
      </x:c>
      <x:c r="D832" s="2" t="str">
        <x:v>Acessórios</x:v>
      </x:c>
      <x:c r="E832" s="11" t="n">
        <x:v>42</x:v>
      </x:c>
      <x:c r="F832" s="12" t="n">
        <x:v>33.49</x:v>
      </x:c>
      <x:c r="G832" s="12" t="n">
        <x:v>1406.58</x:v>
      </x:c>
      <x:c r="H832" s="13" t="n">
        <x:v>110</x:v>
      </x:c>
      <x:c r="I832" s="13" t="n">
        <x:f>YEAR(B832)</x:f>
        <x:v>2024</x:v>
      </x:c>
      <x:c r="J832" s="13" t="n">
        <x:f>MONTH(B832)</x:f>
        <x:v>8</x:v>
      </x:c>
      <x:c r="K832" s="14" t="n">
        <x:f>ROUND(E832*F832-G832,10)</x:f>
        <x:v>0</x:v>
      </x:c>
      <x:c r="L832" s="2"/>
      <x:c r="M832" s="2"/>
      <x:c r="N832" s="2"/>
      <x:c r="O832" s="2"/>
      <x:c r="P832" s="2"/>
      <x:c r="Q832" s="2"/>
      <x:c r="R832" s="2"/>
    </x:row>
    <x:row r="833" ht="22" customHeight="1">
      <x:c r="A833" s="2" t="n">
        <x:v>100827</x:v>
      </x:c>
      <x:c r="B833" s="10" t="n">
        <x:v>45033</x:v>
      </x:c>
      <x:c r="C833" s="2" t="str">
        <x:v>Chile</x:v>
      </x:c>
      <x:c r="D833" s="2" t="str">
        <x:v>Moda Feminina</x:v>
      </x:c>
      <x:c r="E833" s="11" t="n">
        <x:v>42</x:v>
      </x:c>
      <x:c r="F833" s="12" t="n">
        <x:v>60.14</x:v>
      </x:c>
      <x:c r="G833" s="12" t="n">
        <x:v>2525.88</x:v>
      </x:c>
      <x:c r="H833" s="13" t="n">
        <x:v>196</x:v>
      </x:c>
      <x:c r="I833" s="13" t="n">
        <x:f>YEAR(B833)</x:f>
        <x:v>2023</x:v>
      </x:c>
      <x:c r="J833" s="13" t="n">
        <x:f>MONTH(B833)</x:f>
        <x:v>4</x:v>
      </x:c>
      <x:c r="K833" s="14" t="n">
        <x:f>ROUND(E833*F833-G833,10)</x:f>
        <x:v>0</x:v>
      </x:c>
      <x:c r="L833" s="2"/>
      <x:c r="M833" s="2"/>
      <x:c r="N833" s="2"/>
      <x:c r="O833" s="2"/>
      <x:c r="P833" s="2"/>
      <x:c r="Q833" s="2"/>
      <x:c r="R833" s="2"/>
    </x:row>
    <x:row r="834" ht="22" customHeight="1">
      <x:c r="A834" s="2" t="n">
        <x:v>100828</x:v>
      </x:c>
      <x:c r="B834" s="10" t="n">
        <x:v>44935</x:v>
      </x:c>
      <x:c r="C834" s="2" t="str">
        <x:v>Chile</x:v>
      </x:c>
      <x:c r="D834" s="2" t="str">
        <x:v>Moda Infantil</x:v>
      </x:c>
      <x:c r="E834" s="11" t="n">
        <x:v>21</x:v>
      </x:c>
      <x:c r="F834" s="12" t="n">
        <x:v>93.42</x:v>
      </x:c>
      <x:c r="G834" s="12" t="n">
        <x:v>1961.82</x:v>
      </x:c>
      <x:c r="H834" s="13" t="n">
        <x:v>223</x:v>
      </x:c>
      <x:c r="I834" s="13" t="n">
        <x:f>YEAR(B834)</x:f>
        <x:v>2023</x:v>
      </x:c>
      <x:c r="J834" s="13" t="n">
        <x:f>MONTH(B834)</x:f>
        <x:v>1</x:v>
      </x:c>
      <x:c r="K834" s="14" t="n">
        <x:f>ROUND(E834*F834-G834,10)</x:f>
        <x:v>0</x:v>
      </x:c>
      <x:c r="L834" s="2"/>
      <x:c r="M834" s="2"/>
      <x:c r="N834" s="2"/>
      <x:c r="O834" s="2"/>
      <x:c r="P834" s="2"/>
      <x:c r="Q834" s="2"/>
      <x:c r="R834" s="2"/>
    </x:row>
    <x:row r="835" ht="22" customHeight="1">
      <x:c r="A835" s="2" t="n">
        <x:v>100829</x:v>
      </x:c>
      <x:c r="B835" s="10" t="n">
        <x:v>45446</x:v>
      </x:c>
      <x:c r="C835" s="2" t="str">
        <x:v>Argentina</x:v>
      </x:c>
      <x:c r="D835" s="2" t="str">
        <x:v>Moda Masculina</x:v>
      </x:c>
      <x:c r="E835" s="11" t="n">
        <x:v>15</x:v>
      </x:c>
      <x:c r="F835" s="12" t="n">
        <x:v>82.6</x:v>
      </x:c>
      <x:c r="G835" s="12" t="n">
        <x:v>1239</x:v>
      </x:c>
      <x:c r="H835" s="13" t="n">
        <x:v>482</x:v>
      </x:c>
      <x:c r="I835" s="13" t="n">
        <x:f>YEAR(B835)</x:f>
        <x:v>2024</x:v>
      </x:c>
      <x:c r="J835" s="13" t="n">
        <x:f>MONTH(B835)</x:f>
        <x:v>6</x:v>
      </x:c>
      <x:c r="K835" s="14" t="n">
        <x:f>ROUND(E835*F835-G835,10)</x:f>
        <x:v>0</x:v>
      </x:c>
      <x:c r="L835" s="2"/>
      <x:c r="M835" s="2"/>
      <x:c r="N835" s="2"/>
      <x:c r="O835" s="2"/>
      <x:c r="P835" s="2"/>
      <x:c r="Q835" s="2"/>
      <x:c r="R835" s="2"/>
    </x:row>
    <x:row r="836" ht="22" customHeight="1">
      <x:c r="A836" s="2" t="n">
        <x:v>100830</x:v>
      </x:c>
      <x:c r="B836" s="10" t="n">
        <x:v>45345</x:v>
      </x:c>
      <x:c r="C836" s="2" t="str">
        <x:v>Colômbia</x:v>
      </x:c>
      <x:c r="D836" s="2" t="str">
        <x:v>Acessórios</x:v>
      </x:c>
      <x:c r="E836" s="11" t="n">
        <x:v>17</x:v>
      </x:c>
      <x:c r="F836" s="12" t="n">
        <x:v>23.9</x:v>
      </x:c>
      <x:c r="G836" s="12" t="n">
        <x:v>406.3</x:v>
      </x:c>
      <x:c r="H836" s="13" t="n">
        <x:v>327</x:v>
      </x:c>
      <x:c r="I836" s="13" t="n">
        <x:f>YEAR(B836)</x:f>
        <x:v>2024</x:v>
      </x:c>
      <x:c r="J836" s="13" t="n">
        <x:f>MONTH(B836)</x:f>
        <x:v>2</x:v>
      </x:c>
      <x:c r="K836" s="14" t="n">
        <x:f>ROUND(E836*F836-G836,10)</x:f>
        <x:v>0</x:v>
      </x:c>
      <x:c r="L836" s="2"/>
      <x:c r="M836" s="2"/>
      <x:c r="N836" s="2"/>
      <x:c r="O836" s="2"/>
      <x:c r="P836" s="2"/>
      <x:c r="Q836" s="2"/>
      <x:c r="R836" s="2"/>
    </x:row>
    <x:row r="837" ht="22" customHeight="1">
      <x:c r="A837" s="2" t="n">
        <x:v>100831</x:v>
      </x:c>
      <x:c r="B837" s="10" t="n">
        <x:v>45546</x:v>
      </x:c>
      <x:c r="C837" s="2" t="str">
        <x:v>Brasil</x:v>
      </x:c>
      <x:c r="D837" s="2" t="str">
        <x:v>Acessórios</x:v>
      </x:c>
      <x:c r="E837" s="11" t="n">
        <x:v>22</x:v>
      </x:c>
      <x:c r="F837" s="12" t="n">
        <x:v>36.52</x:v>
      </x:c>
      <x:c r="G837" s="12" t="n">
        <x:v>803.44</x:v>
      </x:c>
      <x:c r="H837" s="13" t="n">
        <x:v>383</x:v>
      </x:c>
      <x:c r="I837" s="13" t="n">
        <x:f>YEAR(B837)</x:f>
        <x:v>2024</x:v>
      </x:c>
      <x:c r="J837" s="13" t="n">
        <x:f>MONTH(B837)</x:f>
        <x:v>9</x:v>
      </x:c>
      <x:c r="K837" s="14" t="n">
        <x:f>ROUND(E837*F837-G837,10)</x:f>
        <x:v>0</x:v>
      </x:c>
      <x:c r="L837" s="2"/>
      <x:c r="M837" s="2"/>
      <x:c r="N837" s="2"/>
      <x:c r="O837" s="2"/>
      <x:c r="P837" s="2"/>
      <x:c r="Q837" s="2"/>
      <x:c r="R837" s="2"/>
    </x:row>
    <x:row r="838" ht="22" customHeight="1">
      <x:c r="A838" s="2" t="n">
        <x:v>100832</x:v>
      </x:c>
      <x:c r="B838" s="10" t="n">
        <x:v>45012</x:v>
      </x:c>
      <x:c r="C838" s="2" t="str">
        <x:v>Peru</x:v>
      </x:c>
      <x:c r="D838" s="2" t="str">
        <x:v>Moda Feminina</x:v>
      </x:c>
      <x:c r="E838" s="11" t="n">
        <x:v>38</x:v>
      </x:c>
      <x:c r="F838" s="12" t="n">
        <x:v>142.57</x:v>
      </x:c>
      <x:c r="G838" s="12" t="n">
        <x:v>5417.66</x:v>
      </x:c>
      <x:c r="H838" s="13" t="n">
        <x:v>418</x:v>
      </x:c>
      <x:c r="I838" s="13" t="n">
        <x:f>YEAR(B838)</x:f>
        <x:v>2023</x:v>
      </x:c>
      <x:c r="J838" s="13" t="n">
        <x:f>MONTH(B838)</x:f>
        <x:v>3</x:v>
      </x:c>
      <x:c r="K838" s="14" t="n">
        <x:f>ROUND(E838*F838-G838,10)</x:f>
        <x:v>0</x:v>
      </x:c>
      <x:c r="L838" s="2"/>
      <x:c r="M838" s="2"/>
      <x:c r="N838" s="2"/>
      <x:c r="O838" s="2"/>
      <x:c r="P838" s="2"/>
      <x:c r="Q838" s="2"/>
      <x:c r="R838" s="2"/>
    </x:row>
    <x:row r="839" ht="22" customHeight="1">
      <x:c r="A839" s="2" t="n">
        <x:v>100833</x:v>
      </x:c>
      <x:c r="B839" s="10" t="n">
        <x:v>45468</x:v>
      </x:c>
      <x:c r="C839" s="2" t="str">
        <x:v>Colômbia</x:v>
      </x:c>
      <x:c r="D839" s="2" t="str">
        <x:v>Calçados</x:v>
      </x:c>
      <x:c r="E839" s="11" t="n">
        <x:v>35</x:v>
      </x:c>
      <x:c r="F839" s="12" t="n">
        <x:v>178.28</x:v>
      </x:c>
      <x:c r="G839" s="12" t="n">
        <x:v>6239.8</x:v>
      </x:c>
      <x:c r="H839" s="13" t="n">
        <x:v>490</x:v>
      </x:c>
      <x:c r="I839" s="13" t="n">
        <x:f>YEAR(B839)</x:f>
        <x:v>2024</x:v>
      </x:c>
      <x:c r="J839" s="13" t="n">
        <x:f>MONTH(B839)</x:f>
        <x:v>6</x:v>
      </x:c>
      <x:c r="K839" s="14" t="n">
        <x:f>ROUND(E839*F839-G839,10)</x:f>
        <x:v>0</x:v>
      </x:c>
      <x:c r="L839" s="2"/>
      <x:c r="M839" s="2"/>
      <x:c r="N839" s="2"/>
      <x:c r="O839" s="2"/>
      <x:c r="P839" s="2"/>
      <x:c r="Q839" s="2"/>
      <x:c r="R839" s="2"/>
    </x:row>
    <x:row r="840" ht="22" customHeight="1">
      <x:c r="A840" s="2" t="n">
        <x:v>100834</x:v>
      </x:c>
      <x:c r="B840" s="10" t="n">
        <x:v>45172</x:v>
      </x:c>
      <x:c r="C840" s="2" t="str">
        <x:v>México</x:v>
      </x:c>
      <x:c r="D840" s="2" t="str">
        <x:v>Moda Masculina</x:v>
      </x:c>
      <x:c r="E840" s="11" t="n">
        <x:v>45</x:v>
      </x:c>
      <x:c r="F840" s="12" t="n">
        <x:v>112.56</x:v>
      </x:c>
      <x:c r="G840" s="12" t="n">
        <x:v>5065.2</x:v>
      </x:c>
      <x:c r="H840" s="13" t="n">
        <x:v>428</x:v>
      </x:c>
      <x:c r="I840" s="13" t="n">
        <x:f>YEAR(B840)</x:f>
        <x:v>2023</x:v>
      </x:c>
      <x:c r="J840" s="13" t="n">
        <x:f>MONTH(B840)</x:f>
        <x:v>9</x:v>
      </x:c>
      <x:c r="K840" s="14" t="n">
        <x:f>ROUND(E840*F840-G840,10)</x:f>
        <x:v>0</x:v>
      </x:c>
      <x:c r="L840" s="2"/>
      <x:c r="M840" s="2"/>
      <x:c r="N840" s="2"/>
      <x:c r="O840" s="2"/>
      <x:c r="P840" s="2"/>
      <x:c r="Q840" s="2"/>
      <x:c r="R840" s="2"/>
    </x:row>
    <x:row r="841" ht="22" customHeight="1">
      <x:c r="A841" s="2" t="n">
        <x:v>100835</x:v>
      </x:c>
      <x:c r="B841" s="10" t="n">
        <x:v>45024</x:v>
      </x:c>
      <x:c r="C841" s="2" t="str">
        <x:v>Peru</x:v>
      </x:c>
      <x:c r="D841" s="2" t="str">
        <x:v>Moda Infantil</x:v>
      </x:c>
      <x:c r="E841" s="11" t="n">
        <x:v>16</x:v>
      </x:c>
      <x:c r="F841" s="12" t="n">
        <x:v>117.05</x:v>
      </x:c>
      <x:c r="G841" s="12" t="n">
        <x:v>1872.8</x:v>
      </x:c>
      <x:c r="H841" s="13" t="n">
        <x:v>191</x:v>
      </x:c>
      <x:c r="I841" s="13" t="n">
        <x:f>YEAR(B841)</x:f>
        <x:v>2023</x:v>
      </x:c>
      <x:c r="J841" s="13" t="n">
        <x:f>MONTH(B841)</x:f>
        <x:v>4</x:v>
      </x:c>
      <x:c r="K841" s="14" t="n">
        <x:f>ROUND(E841*F841-G841,10)</x:f>
        <x:v>0</x:v>
      </x:c>
      <x:c r="L841" s="2"/>
      <x:c r="M841" s="2"/>
      <x:c r="N841" s="2"/>
      <x:c r="O841" s="2"/>
      <x:c r="P841" s="2"/>
      <x:c r="Q841" s="2"/>
      <x:c r="R841" s="2"/>
    </x:row>
    <x:row r="842" ht="22" customHeight="1">
      <x:c r="A842" s="2" t="n">
        <x:v>100836</x:v>
      </x:c>
      <x:c r="B842" s="10" t="n">
        <x:v>45583</x:v>
      </x:c>
      <x:c r="C842" s="2" t="str">
        <x:v>Peru</x:v>
      </x:c>
      <x:c r="D842" s="2" t="str">
        <x:v>Acessórios</x:v>
      </x:c>
      <x:c r="E842" s="11" t="n">
        <x:v>8</x:v>
      </x:c>
      <x:c r="F842" s="12" t="n">
        <x:v>65.92</x:v>
      </x:c>
      <x:c r="G842" s="12" t="n">
        <x:v>527.36</x:v>
      </x:c>
      <x:c r="H842" s="13" t="n">
        <x:v>93</x:v>
      </x:c>
      <x:c r="I842" s="13" t="n">
        <x:f>YEAR(B842)</x:f>
        <x:v>2024</x:v>
      </x:c>
      <x:c r="J842" s="13" t="n">
        <x:f>MONTH(B842)</x:f>
        <x:v>10</x:v>
      </x:c>
      <x:c r="K842" s="14" t="n">
        <x:f>ROUND(E842*F842-G842,10)</x:f>
        <x:v>0</x:v>
      </x:c>
      <x:c r="L842" s="2"/>
      <x:c r="M842" s="2"/>
      <x:c r="N842" s="2"/>
      <x:c r="O842" s="2"/>
      <x:c r="P842" s="2"/>
      <x:c r="Q842" s="2"/>
      <x:c r="R842" s="2"/>
    </x:row>
    <x:row r="843" ht="22" customHeight="1">
      <x:c r="A843" s="2" t="n">
        <x:v>100837</x:v>
      </x:c>
      <x:c r="B843" s="10" t="n">
        <x:v>45591</x:v>
      </x:c>
      <x:c r="C843" s="2" t="str">
        <x:v>Chile</x:v>
      </x:c>
      <x:c r="D843" s="2" t="str">
        <x:v>Acessórios</x:v>
      </x:c>
      <x:c r="E843" s="11" t="n">
        <x:v>47</x:v>
      </x:c>
      <x:c r="F843" s="12" t="n">
        <x:v>158.22</x:v>
      </x:c>
      <x:c r="G843" s="12" t="n">
        <x:v>7436.34</x:v>
      </x:c>
      <x:c r="H843" s="13" t="n">
        <x:v>193</x:v>
      </x:c>
      <x:c r="I843" s="13" t="n">
        <x:f>YEAR(B843)</x:f>
        <x:v>2024</x:v>
      </x:c>
      <x:c r="J843" s="13" t="n">
        <x:f>MONTH(B843)</x:f>
        <x:v>10</x:v>
      </x:c>
      <x:c r="K843" s="14" t="n">
        <x:f>ROUND(E843*F843-G843,10)</x:f>
        <x:v>0</x:v>
      </x:c>
      <x:c r="L843" s="2"/>
      <x:c r="M843" s="2"/>
      <x:c r="N843" s="2"/>
      <x:c r="O843" s="2"/>
      <x:c r="P843" s="2"/>
      <x:c r="Q843" s="2"/>
      <x:c r="R843" s="2"/>
    </x:row>
    <x:row r="844" ht="22" customHeight="1">
      <x:c r="A844" s="2" t="n">
        <x:v>100838</x:v>
      </x:c>
      <x:c r="B844" s="10" t="n">
        <x:v>45543</x:v>
      </x:c>
      <x:c r="C844" s="2" t="str">
        <x:v>Brasil</x:v>
      </x:c>
      <x:c r="D844" s="2" t="str">
        <x:v>Moda Masculina</x:v>
      </x:c>
      <x:c r="E844" s="11" t="n">
        <x:v>17</x:v>
      </x:c>
      <x:c r="F844" s="12" t="n">
        <x:v>155.32</x:v>
      </x:c>
      <x:c r="G844" s="12" t="n">
        <x:v>2640.44</x:v>
      </x:c>
      <x:c r="H844" s="13" t="n">
        <x:v>402</x:v>
      </x:c>
      <x:c r="I844" s="13" t="n">
        <x:f>YEAR(B844)</x:f>
        <x:v>2024</x:v>
      </x:c>
      <x:c r="J844" s="13" t="n">
        <x:f>MONTH(B844)</x:f>
        <x:v>9</x:v>
      </x:c>
      <x:c r="K844" s="14" t="n">
        <x:f>ROUND(E844*F844-G844,10)</x:f>
        <x:v>0</x:v>
      </x:c>
      <x:c r="L844" s="2"/>
      <x:c r="M844" s="2"/>
      <x:c r="N844" s="2"/>
      <x:c r="O844" s="2"/>
      <x:c r="P844" s="2"/>
      <x:c r="Q844" s="2"/>
      <x:c r="R844" s="2"/>
    </x:row>
    <x:row r="845" ht="22" customHeight="1">
      <x:c r="A845" s="2" t="n">
        <x:v>100839</x:v>
      </x:c>
      <x:c r="B845" s="10" t="n">
        <x:v>45165</x:v>
      </x:c>
      <x:c r="C845" s="2" t="str">
        <x:v>Brasil</x:v>
      </x:c>
      <x:c r="D845" s="2" t="str">
        <x:v>Calçados</x:v>
      </x:c>
      <x:c r="E845" s="11" t="n">
        <x:v>17</x:v>
      </x:c>
      <x:c r="F845" s="12" t="n">
        <x:v>125.91</x:v>
      </x:c>
      <x:c r="G845" s="12" t="n">
        <x:v>2140.47</x:v>
      </x:c>
      <x:c r="H845" s="13" t="n">
        <x:v>382</x:v>
      </x:c>
      <x:c r="I845" s="13" t="n">
        <x:f>YEAR(B845)</x:f>
        <x:v>2023</x:v>
      </x:c>
      <x:c r="J845" s="13" t="n">
        <x:f>MONTH(B845)</x:f>
        <x:v>8</x:v>
      </x:c>
      <x:c r="K845" s="14" t="n">
        <x:f>ROUND(E845*F845-G845,10)</x:f>
        <x:v>0</x:v>
      </x:c>
      <x:c r="L845" s="2"/>
      <x:c r="M845" s="2"/>
      <x:c r="N845" s="2"/>
      <x:c r="O845" s="2"/>
      <x:c r="P845" s="2"/>
      <x:c r="Q845" s="2"/>
      <x:c r="R845" s="2"/>
    </x:row>
    <x:row r="846" ht="22" customHeight="1">
      <x:c r="A846" s="2" t="n">
        <x:v>100840</x:v>
      </x:c>
      <x:c r="B846" s="10" t="n">
        <x:v>45117</x:v>
      </x:c>
      <x:c r="C846" s="2" t="str">
        <x:v>México</x:v>
      </x:c>
      <x:c r="D846" s="2" t="str">
        <x:v>Acessórios</x:v>
      </x:c>
      <x:c r="E846" s="11" t="n">
        <x:v>26</x:v>
      </x:c>
      <x:c r="F846" s="12" t="n">
        <x:v>58.28</x:v>
      </x:c>
      <x:c r="G846" s="12" t="n">
        <x:v>1515.28</x:v>
      </x:c>
      <x:c r="H846" s="13" t="n">
        <x:v>445</x:v>
      </x:c>
      <x:c r="I846" s="13" t="n">
        <x:f>YEAR(B846)</x:f>
        <x:v>2023</x:v>
      </x:c>
      <x:c r="J846" s="13" t="n">
        <x:f>MONTH(B846)</x:f>
        <x:v>7</x:v>
      </x:c>
      <x:c r="K846" s="14" t="n">
        <x:f>ROUND(E846*F846-G846,10)</x:f>
        <x:v>0</x:v>
      </x:c>
      <x:c r="L846" s="2"/>
      <x:c r="M846" s="2"/>
      <x:c r="N846" s="2"/>
      <x:c r="O846" s="2"/>
      <x:c r="P846" s="2"/>
      <x:c r="Q846" s="2"/>
      <x:c r="R846" s="2"/>
    </x:row>
    <x:row r="847" ht="22" customHeight="1">
      <x:c r="A847" s="2" t="n">
        <x:v>100841</x:v>
      </x:c>
      <x:c r="B847" s="10" t="n">
        <x:v>45470</x:v>
      </x:c>
      <x:c r="C847" s="2" t="str">
        <x:v>México</x:v>
      </x:c>
      <x:c r="D847" s="2" t="str">
        <x:v>Moda Masculina</x:v>
      </x:c>
      <x:c r="E847" s="11" t="n">
        <x:v>13</x:v>
      </x:c>
      <x:c r="F847" s="12" t="n">
        <x:v>37.46</x:v>
      </x:c>
      <x:c r="G847" s="12" t="n">
        <x:v>486.98</x:v>
      </x:c>
      <x:c r="H847" s="13" t="n">
        <x:v>104</x:v>
      </x:c>
      <x:c r="I847" s="13" t="n">
        <x:f>YEAR(B847)</x:f>
        <x:v>2024</x:v>
      </x:c>
      <x:c r="J847" s="13" t="n">
        <x:f>MONTH(B847)</x:f>
        <x:v>6</x:v>
      </x:c>
      <x:c r="K847" s="14" t="n">
        <x:f>ROUND(E847*F847-G847,10)</x:f>
        <x:v>0</x:v>
      </x:c>
      <x:c r="L847" s="2"/>
      <x:c r="M847" s="2"/>
      <x:c r="N847" s="2"/>
      <x:c r="O847" s="2"/>
      <x:c r="P847" s="2"/>
      <x:c r="Q847" s="2"/>
      <x:c r="R847" s="2"/>
    </x:row>
    <x:row r="848" ht="22" customHeight="1">
      <x:c r="A848" s="2" t="n">
        <x:v>100842</x:v>
      </x:c>
      <x:c r="B848" s="10" t="n">
        <x:v>44996</x:v>
      </x:c>
      <x:c r="C848" s="2" t="str">
        <x:v>Peru</x:v>
      </x:c>
      <x:c r="D848" s="2" t="str">
        <x:v>Moda Feminina</x:v>
      </x:c>
      <x:c r="E848" s="11" t="n">
        <x:v>17</x:v>
      </x:c>
      <x:c r="F848" s="12" t="n">
        <x:v>31.56</x:v>
      </x:c>
      <x:c r="G848" s="12" t="n">
        <x:v>536.52</x:v>
      </x:c>
      <x:c r="H848" s="13" t="n">
        <x:v>356</x:v>
      </x:c>
      <x:c r="I848" s="13" t="n">
        <x:f>YEAR(B848)</x:f>
        <x:v>2023</x:v>
      </x:c>
      <x:c r="J848" s="13" t="n">
        <x:f>MONTH(B848)</x:f>
        <x:v>3</x:v>
      </x:c>
      <x:c r="K848" s="14" t="n">
        <x:f>ROUND(E848*F848-G848,10)</x:f>
        <x:v>0</x:v>
      </x:c>
      <x:c r="L848" s="2"/>
      <x:c r="M848" s="2"/>
      <x:c r="N848" s="2"/>
      <x:c r="O848" s="2"/>
      <x:c r="P848" s="2"/>
      <x:c r="Q848" s="2"/>
      <x:c r="R848" s="2"/>
    </x:row>
    <x:row r="849" ht="22" customHeight="1">
      <x:c r="A849" s="2" t="n">
        <x:v>100843</x:v>
      </x:c>
      <x:c r="B849" s="10" t="n">
        <x:v>45359</x:v>
      </x:c>
      <x:c r="C849" s="2" t="str">
        <x:v>Argentina</x:v>
      </x:c>
      <x:c r="D849" s="2" t="str">
        <x:v>Calçados</x:v>
      </x:c>
      <x:c r="E849" s="11" t="n">
        <x:v>38</x:v>
      </x:c>
      <x:c r="F849" s="12" t="n">
        <x:v>126.69</x:v>
      </x:c>
      <x:c r="G849" s="12" t="n">
        <x:v>4814.22</x:v>
      </x:c>
      <x:c r="H849" s="13" t="n">
        <x:v>407</x:v>
      </x:c>
      <x:c r="I849" s="13" t="n">
        <x:f>YEAR(B849)</x:f>
        <x:v>2024</x:v>
      </x:c>
      <x:c r="J849" s="13" t="n">
        <x:f>MONTH(B849)</x:f>
        <x:v>3</x:v>
      </x:c>
      <x:c r="K849" s="14" t="n">
        <x:f>ROUND(E849*F849-G849,10)</x:f>
        <x:v>0</x:v>
      </x:c>
      <x:c r="L849" s="2"/>
      <x:c r="M849" s="2"/>
      <x:c r="N849" s="2"/>
      <x:c r="O849" s="2"/>
      <x:c r="P849" s="2"/>
      <x:c r="Q849" s="2"/>
      <x:c r="R849" s="2"/>
    </x:row>
    <x:row r="850" ht="22" customHeight="1">
      <x:c r="A850" s="2" t="n">
        <x:v>100844</x:v>
      </x:c>
      <x:c r="B850" s="10" t="n">
        <x:v>45391</x:v>
      </x:c>
      <x:c r="C850" s="2" t="str">
        <x:v>Chile</x:v>
      </x:c>
      <x:c r="D850" s="2" t="str">
        <x:v>Moda Infantil</x:v>
      </x:c>
      <x:c r="E850" s="11" t="n">
        <x:v>17</x:v>
      </x:c>
      <x:c r="F850" s="12" t="n">
        <x:v>168.51</x:v>
      </x:c>
      <x:c r="G850" s="12" t="n">
        <x:v>2864.67</x:v>
      </x:c>
      <x:c r="H850" s="13" t="n">
        <x:v>472</x:v>
      </x:c>
      <x:c r="I850" s="13" t="n">
        <x:f>YEAR(B850)</x:f>
        <x:v>2024</x:v>
      </x:c>
      <x:c r="J850" s="13" t="n">
        <x:f>MONTH(B850)</x:f>
        <x:v>4</x:v>
      </x:c>
      <x:c r="K850" s="14" t="n">
        <x:f>ROUND(E850*F850-G850,10)</x:f>
        <x:v>0</x:v>
      </x:c>
      <x:c r="L850" s="2"/>
      <x:c r="M850" s="2"/>
      <x:c r="N850" s="2"/>
      <x:c r="O850" s="2"/>
      <x:c r="P850" s="2"/>
      <x:c r="Q850" s="2"/>
      <x:c r="R850" s="2"/>
    </x:row>
    <x:row r="851" ht="22" customHeight="1">
      <x:c r="A851" s="2" t="n">
        <x:v>100845</x:v>
      </x:c>
      <x:c r="B851" s="10" t="n">
        <x:v>45627</x:v>
      </x:c>
      <x:c r="C851" s="2" t="str">
        <x:v>Chile</x:v>
      </x:c>
      <x:c r="D851" s="2" t="str">
        <x:v>Acessórios</x:v>
      </x:c>
      <x:c r="E851" s="11" t="n">
        <x:v>48</x:v>
      </x:c>
      <x:c r="F851" s="12" t="n">
        <x:v>174.5</x:v>
      </x:c>
      <x:c r="G851" s="12" t="n">
        <x:v>8376</x:v>
      </x:c>
      <x:c r="H851" s="13" t="n">
        <x:v>466</x:v>
      </x:c>
      <x:c r="I851" s="13" t="n">
        <x:f>YEAR(B851)</x:f>
        <x:v>2024</x:v>
      </x:c>
      <x:c r="J851" s="13" t="n">
        <x:f>MONTH(B851)</x:f>
        <x:v>12</x:v>
      </x:c>
      <x:c r="K851" s="14" t="n">
        <x:f>ROUND(E851*F851-G851,10)</x:f>
        <x:v>0</x:v>
      </x:c>
      <x:c r="L851" s="2"/>
      <x:c r="M851" s="2"/>
      <x:c r="N851" s="2"/>
      <x:c r="O851" s="2"/>
      <x:c r="P851" s="2"/>
      <x:c r="Q851" s="2"/>
      <x:c r="R851" s="2"/>
    </x:row>
    <x:row r="852" ht="22" customHeight="1">
      <x:c r="A852" s="2" t="n">
        <x:v>100846</x:v>
      </x:c>
      <x:c r="B852" s="10" t="n">
        <x:v>45278</x:v>
      </x:c>
      <x:c r="C852" s="2" t="str">
        <x:v>Peru</x:v>
      </x:c>
      <x:c r="D852" s="2" t="str">
        <x:v>Moda Masculina</x:v>
      </x:c>
      <x:c r="E852" s="11" t="n">
        <x:v>14</x:v>
      </x:c>
      <x:c r="F852" s="12" t="n">
        <x:v>103.45</x:v>
      </x:c>
      <x:c r="G852" s="12" t="n">
        <x:v>1448.3</x:v>
      </x:c>
      <x:c r="H852" s="13" t="n">
        <x:v>210</x:v>
      </x:c>
      <x:c r="I852" s="13" t="n">
        <x:f>YEAR(B852)</x:f>
        <x:v>2023</x:v>
      </x:c>
      <x:c r="J852" s="13" t="n">
        <x:f>MONTH(B852)</x:f>
        <x:v>12</x:v>
      </x:c>
      <x:c r="K852" s="14" t="n">
        <x:f>ROUND(E852*F852-G852,10)</x:f>
        <x:v>0</x:v>
      </x:c>
      <x:c r="L852" s="2"/>
      <x:c r="M852" s="2"/>
      <x:c r="N852" s="2"/>
      <x:c r="O852" s="2"/>
      <x:c r="P852" s="2"/>
      <x:c r="Q852" s="2"/>
      <x:c r="R852" s="2"/>
    </x:row>
    <x:row r="853" ht="22" customHeight="1">
      <x:c r="A853" s="2" t="n">
        <x:v>100847</x:v>
      </x:c>
      <x:c r="B853" s="10" t="n">
        <x:v>45597</x:v>
      </x:c>
      <x:c r="C853" s="2" t="str">
        <x:v>Colômbia</x:v>
      </x:c>
      <x:c r="D853" s="2" t="str">
        <x:v>Moda Feminina</x:v>
      </x:c>
      <x:c r="E853" s="11" t="n">
        <x:v>45</x:v>
      </x:c>
      <x:c r="F853" s="12" t="n">
        <x:v>161.17</x:v>
      </x:c>
      <x:c r="G853" s="12" t="n">
        <x:v>7252.65</x:v>
      </x:c>
      <x:c r="H853" s="13" t="n">
        <x:v>334</x:v>
      </x:c>
      <x:c r="I853" s="13" t="n">
        <x:f>YEAR(B853)</x:f>
        <x:v>2024</x:v>
      </x:c>
      <x:c r="J853" s="13" t="n">
        <x:f>MONTH(B853)</x:f>
        <x:v>11</x:v>
      </x:c>
      <x:c r="K853" s="14" t="n">
        <x:f>ROUND(E853*F853-G853,10)</x:f>
        <x:v>0</x:v>
      </x:c>
      <x:c r="L853" s="2"/>
      <x:c r="M853" s="2"/>
      <x:c r="N853" s="2"/>
      <x:c r="O853" s="2"/>
      <x:c r="P853" s="2"/>
      <x:c r="Q853" s="2"/>
      <x:c r="R853" s="2"/>
    </x:row>
    <x:row r="854" ht="22" customHeight="1">
      <x:c r="A854" s="2" t="n">
        <x:v>100848</x:v>
      </x:c>
      <x:c r="B854" s="10" t="n">
        <x:v>45455</x:v>
      </x:c>
      <x:c r="C854" s="2" t="str">
        <x:v>Argentina</x:v>
      </x:c>
      <x:c r="D854" s="2" t="str">
        <x:v>Moda Infantil</x:v>
      </x:c>
      <x:c r="E854" s="11" t="n">
        <x:v>6</x:v>
      </x:c>
      <x:c r="F854" s="12" t="n">
        <x:v>190.44</x:v>
      </x:c>
      <x:c r="G854" s="12" t="n">
        <x:v>1142.64</x:v>
      </x:c>
      <x:c r="H854" s="13" t="n">
        <x:v>374</x:v>
      </x:c>
      <x:c r="I854" s="13" t="n">
        <x:f>YEAR(B854)</x:f>
        <x:v>2024</x:v>
      </x:c>
      <x:c r="J854" s="13" t="n">
        <x:f>MONTH(B854)</x:f>
        <x:v>6</x:v>
      </x:c>
      <x:c r="K854" s="14" t="n">
        <x:f>ROUND(E854*F854-G854,10)</x:f>
        <x:v>0</x:v>
      </x:c>
      <x:c r="L854" s="2"/>
      <x:c r="M854" s="2"/>
      <x:c r="N854" s="2"/>
      <x:c r="O854" s="2"/>
      <x:c r="P854" s="2"/>
      <x:c r="Q854" s="2"/>
      <x:c r="R854" s="2"/>
    </x:row>
    <x:row r="855" ht="22" customHeight="1">
      <x:c r="A855" s="2" t="n">
        <x:v>100849</x:v>
      </x:c>
      <x:c r="B855" s="10" t="n">
        <x:v>45231</x:v>
      </x:c>
      <x:c r="C855" s="2" t="str">
        <x:v>Peru</x:v>
      </x:c>
      <x:c r="D855" s="2" t="str">
        <x:v>Moda Masculina</x:v>
      </x:c>
      <x:c r="E855" s="11" t="n">
        <x:v>35</x:v>
      </x:c>
      <x:c r="F855" s="12" t="n">
        <x:v>69.53</x:v>
      </x:c>
      <x:c r="G855" s="12" t="n">
        <x:v>2433.55</x:v>
      </x:c>
      <x:c r="H855" s="13" t="n">
        <x:v>247</x:v>
      </x:c>
      <x:c r="I855" s="13" t="n">
        <x:f>YEAR(B855)</x:f>
        <x:v>2023</x:v>
      </x:c>
      <x:c r="J855" s="13" t="n">
        <x:f>MONTH(B855)</x:f>
        <x:v>11</x:v>
      </x:c>
      <x:c r="K855" s="14" t="n">
        <x:f>ROUND(E855*F855-G855,10)</x:f>
        <x:v>0</x:v>
      </x:c>
      <x:c r="L855" s="2"/>
      <x:c r="M855" s="2"/>
      <x:c r="N855" s="2"/>
      <x:c r="O855" s="2"/>
      <x:c r="P855" s="2"/>
      <x:c r="Q855" s="2"/>
      <x:c r="R855" s="2"/>
    </x:row>
    <x:row r="856" ht="22" customHeight="1">
      <x:c r="A856" s="2" t="n">
        <x:v>100850</x:v>
      </x:c>
      <x:c r="B856" s="10" t="n">
        <x:v>44936</x:v>
      </x:c>
      <x:c r="C856" s="2" t="str">
        <x:v>Argentina</x:v>
      </x:c>
      <x:c r="D856" s="2" t="str">
        <x:v>Moda Masculina</x:v>
      </x:c>
      <x:c r="E856" s="11" t="n">
        <x:v>46</x:v>
      </x:c>
      <x:c r="F856" s="12" t="n">
        <x:v>91.63</x:v>
      </x:c>
      <x:c r="G856" s="12" t="n">
        <x:v>4214.98</x:v>
      </x:c>
      <x:c r="H856" s="13" t="n">
        <x:v>208</x:v>
      </x:c>
      <x:c r="I856" s="13" t="n">
        <x:f>YEAR(B856)</x:f>
        <x:v>2023</x:v>
      </x:c>
      <x:c r="J856" s="13" t="n">
        <x:f>MONTH(B856)</x:f>
        <x:v>1</x:v>
      </x:c>
      <x:c r="K856" s="14" t="n">
        <x:f>ROUND(E856*F856-G856,10)</x:f>
        <x:v>0</x:v>
      </x:c>
      <x:c r="L856" s="2"/>
      <x:c r="M856" s="2"/>
      <x:c r="N856" s="2"/>
      <x:c r="O856" s="2"/>
      <x:c r="P856" s="2"/>
      <x:c r="Q856" s="2"/>
      <x:c r="R856" s="2"/>
    </x:row>
    <x:row r="857" ht="22" customHeight="1">
      <x:c r="A857" s="2" t="n">
        <x:v>100851</x:v>
      </x:c>
      <x:c r="B857" s="10" t="n">
        <x:v>45553</x:v>
      </x:c>
      <x:c r="C857" s="2" t="str">
        <x:v>Argentina</x:v>
      </x:c>
      <x:c r="D857" s="2" t="str">
        <x:v>Moda Infantil</x:v>
      </x:c>
      <x:c r="E857" s="11" t="n">
        <x:v>14</x:v>
      </x:c>
      <x:c r="F857" s="12" t="n">
        <x:v>187.67</x:v>
      </x:c>
      <x:c r="G857" s="12" t="n">
        <x:v>2627.38</x:v>
      </x:c>
      <x:c r="H857" s="13" t="n">
        <x:v>129</x:v>
      </x:c>
      <x:c r="I857" s="13" t="n">
        <x:f>YEAR(B857)</x:f>
        <x:v>2024</x:v>
      </x:c>
      <x:c r="J857" s="13" t="n">
        <x:f>MONTH(B857)</x:f>
        <x:v>9</x:v>
      </x:c>
      <x:c r="K857" s="14" t="n">
        <x:f>ROUND(E857*F857-G857,10)</x:f>
        <x:v>0</x:v>
      </x:c>
      <x:c r="L857" s="2"/>
      <x:c r="M857" s="2"/>
      <x:c r="N857" s="2"/>
      <x:c r="O857" s="2"/>
      <x:c r="P857" s="2"/>
      <x:c r="Q857" s="2"/>
      <x:c r="R857" s="2"/>
    </x:row>
    <x:row r="858" ht="22" customHeight="1">
      <x:c r="A858" s="2" t="n">
        <x:v>100852</x:v>
      </x:c>
      <x:c r="B858" s="10" t="n">
        <x:v>45191</x:v>
      </x:c>
      <x:c r="C858" s="2" t="str">
        <x:v>Argentina</x:v>
      </x:c>
      <x:c r="D858" s="2" t="str">
        <x:v>Moda Feminina</x:v>
      </x:c>
      <x:c r="E858" s="11" t="n">
        <x:v>47</x:v>
      </x:c>
      <x:c r="F858" s="12" t="n">
        <x:v>80.88</x:v>
      </x:c>
      <x:c r="G858" s="12" t="n">
        <x:v>3801.36</x:v>
      </x:c>
      <x:c r="H858" s="13" t="n">
        <x:v>80</x:v>
      </x:c>
      <x:c r="I858" s="13" t="n">
        <x:f>YEAR(B858)</x:f>
        <x:v>2023</x:v>
      </x:c>
      <x:c r="J858" s="13" t="n">
        <x:f>MONTH(B858)</x:f>
        <x:v>9</x:v>
      </x:c>
      <x:c r="K858" s="14" t="n">
        <x:f>ROUND(E858*F858-G858,10)</x:f>
        <x:v>0</x:v>
      </x:c>
      <x:c r="L858" s="2"/>
      <x:c r="M858" s="2"/>
      <x:c r="N858" s="2"/>
      <x:c r="O858" s="2"/>
      <x:c r="P858" s="2"/>
      <x:c r="Q858" s="2"/>
      <x:c r="R858" s="2"/>
    </x:row>
    <x:row r="859" ht="22" customHeight="1">
      <x:c r="A859" s="2" t="n">
        <x:v>100853</x:v>
      </x:c>
      <x:c r="B859" s="10" t="n">
        <x:v>45145</x:v>
      </x:c>
      <x:c r="C859" s="2" t="str">
        <x:v>Peru</x:v>
      </x:c>
      <x:c r="D859" s="2" t="str">
        <x:v>Moda Feminina</x:v>
      </x:c>
      <x:c r="E859" s="11" t="n">
        <x:v>8</x:v>
      </x:c>
      <x:c r="F859" s="12" t="n">
        <x:v>184.5</x:v>
      </x:c>
      <x:c r="G859" s="12" t="n">
        <x:v>1476</x:v>
      </x:c>
      <x:c r="H859" s="13" t="n">
        <x:v>161</x:v>
      </x:c>
      <x:c r="I859" s="13" t="n">
        <x:f>YEAR(B859)</x:f>
        <x:v>2023</x:v>
      </x:c>
      <x:c r="J859" s="13" t="n">
        <x:f>MONTH(B859)</x:f>
        <x:v>8</x:v>
      </x:c>
      <x:c r="K859" s="14" t="n">
        <x:f>ROUND(E859*F859-G859,10)</x:f>
        <x:v>0</x:v>
      </x:c>
      <x:c r="L859" s="2"/>
      <x:c r="M859" s="2"/>
      <x:c r="N859" s="2"/>
      <x:c r="O859" s="2"/>
      <x:c r="P859" s="2"/>
      <x:c r="Q859" s="2"/>
      <x:c r="R859" s="2"/>
    </x:row>
    <x:row r="860" ht="22" customHeight="1">
      <x:c r="A860" s="2" t="n">
        <x:v>100854</x:v>
      </x:c>
      <x:c r="B860" s="10" t="n">
        <x:v>45135</x:v>
      </x:c>
      <x:c r="C860" s="2" t="str">
        <x:v>Chile</x:v>
      </x:c>
      <x:c r="D860" s="2" t="str">
        <x:v>Calçados</x:v>
      </x:c>
      <x:c r="E860" s="11" t="n">
        <x:v>15</x:v>
      </x:c>
      <x:c r="F860" s="12" t="n">
        <x:v>196.59</x:v>
      </x:c>
      <x:c r="G860" s="12" t="n">
        <x:v>2948.85</x:v>
      </x:c>
      <x:c r="H860" s="13" t="n">
        <x:v>95</x:v>
      </x:c>
      <x:c r="I860" s="13" t="n">
        <x:f>YEAR(B860)</x:f>
        <x:v>2023</x:v>
      </x:c>
      <x:c r="J860" s="13" t="n">
        <x:f>MONTH(B860)</x:f>
        <x:v>7</x:v>
      </x:c>
      <x:c r="K860" s="14" t="n">
        <x:f>ROUND(E860*F860-G860,10)</x:f>
        <x:v>0</x:v>
      </x:c>
      <x:c r="L860" s="2"/>
      <x:c r="M860" s="2"/>
      <x:c r="N860" s="2"/>
      <x:c r="O860" s="2"/>
      <x:c r="P860" s="2"/>
      <x:c r="Q860" s="2"/>
      <x:c r="R860" s="2"/>
    </x:row>
    <x:row r="861" ht="22" customHeight="1">
      <x:c r="A861" s="2" t="n">
        <x:v>100855</x:v>
      </x:c>
      <x:c r="B861" s="10" t="n">
        <x:v>45460</x:v>
      </x:c>
      <x:c r="C861" s="2" t="str">
        <x:v>Chile</x:v>
      </x:c>
      <x:c r="D861" s="2" t="str">
        <x:v>Acessórios</x:v>
      </x:c>
      <x:c r="E861" s="11" t="n">
        <x:v>27</x:v>
      </x:c>
      <x:c r="F861" s="12" t="n">
        <x:v>139.13</x:v>
      </x:c>
      <x:c r="G861" s="12" t="n">
        <x:v>3756.51</x:v>
      </x:c>
      <x:c r="H861" s="13" t="n">
        <x:v>402</x:v>
      </x:c>
      <x:c r="I861" s="13" t="n">
        <x:f>YEAR(B861)</x:f>
        <x:v>2024</x:v>
      </x:c>
      <x:c r="J861" s="13" t="n">
        <x:f>MONTH(B861)</x:f>
        <x:v>6</x:v>
      </x:c>
      <x:c r="K861" s="14" t="n">
        <x:f>ROUND(E861*F861-G861,10)</x:f>
        <x:v>0</x:v>
      </x:c>
      <x:c r="L861" s="2"/>
      <x:c r="M861" s="2"/>
      <x:c r="N861" s="2"/>
      <x:c r="O861" s="2"/>
      <x:c r="P861" s="2"/>
      <x:c r="Q861" s="2"/>
      <x:c r="R861" s="2"/>
    </x:row>
    <x:row r="862" ht="22" customHeight="1">
      <x:c r="A862" s="2" t="n">
        <x:v>100856</x:v>
      </x:c>
      <x:c r="B862" s="10" t="n">
        <x:v>45232</x:v>
      </x:c>
      <x:c r="C862" s="2" t="str">
        <x:v>Argentina</x:v>
      </x:c>
      <x:c r="D862" s="2" t="str">
        <x:v>Moda Infantil</x:v>
      </x:c>
      <x:c r="E862" s="11" t="n">
        <x:v>13</x:v>
      </x:c>
      <x:c r="F862" s="12" t="n">
        <x:v>167.04</x:v>
      </x:c>
      <x:c r="G862" s="12" t="n">
        <x:v>2171.52</x:v>
      </x:c>
      <x:c r="H862" s="13" t="n">
        <x:v>254</x:v>
      </x:c>
      <x:c r="I862" s="13" t="n">
        <x:f>YEAR(B862)</x:f>
        <x:v>2023</x:v>
      </x:c>
      <x:c r="J862" s="13" t="n">
        <x:f>MONTH(B862)</x:f>
        <x:v>11</x:v>
      </x:c>
      <x:c r="K862" s="14" t="n">
        <x:f>ROUND(E862*F862-G862,10)</x:f>
        <x:v>0</x:v>
      </x:c>
      <x:c r="L862" s="2"/>
      <x:c r="M862" s="2"/>
      <x:c r="N862" s="2"/>
      <x:c r="O862" s="2"/>
      <x:c r="P862" s="2"/>
      <x:c r="Q862" s="2"/>
      <x:c r="R862" s="2"/>
    </x:row>
    <x:row r="863" ht="22" customHeight="1">
      <x:c r="A863" s="2" t="n">
        <x:v>100857</x:v>
      </x:c>
      <x:c r="B863" s="10" t="n">
        <x:v>44974</x:v>
      </x:c>
      <x:c r="C863" s="2" t="str">
        <x:v>Colômbia</x:v>
      </x:c>
      <x:c r="D863" s="2" t="str">
        <x:v>Moda Infantil</x:v>
      </x:c>
      <x:c r="E863" s="11" t="n">
        <x:v>49</x:v>
      </x:c>
      <x:c r="F863" s="12" t="n">
        <x:v>154.92</x:v>
      </x:c>
      <x:c r="G863" s="12" t="n">
        <x:v>7591.079999999999</x:v>
      </x:c>
      <x:c r="H863" s="13" t="n">
        <x:v>101</x:v>
      </x:c>
      <x:c r="I863" s="13" t="n">
        <x:f>YEAR(B863)</x:f>
        <x:v>2023</x:v>
      </x:c>
      <x:c r="J863" s="13" t="n">
        <x:f>MONTH(B863)</x:f>
        <x:v>2</x:v>
      </x:c>
      <x:c r="K863" s="14" t="n">
        <x:f>ROUND(E863*F863-G863,10)</x:f>
        <x:v>0</x:v>
      </x:c>
      <x:c r="L863" s="2"/>
      <x:c r="M863" s="2"/>
      <x:c r="N863" s="2"/>
      <x:c r="O863" s="2"/>
      <x:c r="P863" s="2"/>
      <x:c r="Q863" s="2"/>
      <x:c r="R863" s="2"/>
    </x:row>
    <x:row r="864" ht="22" customHeight="1">
      <x:c r="A864" s="2" t="n">
        <x:v>100858</x:v>
      </x:c>
      <x:c r="B864" s="10" t="n">
        <x:v>45096</x:v>
      </x:c>
      <x:c r="C864" s="2" t="str">
        <x:v>Brasil</x:v>
      </x:c>
      <x:c r="D864" s="2" t="str">
        <x:v>Moda Infantil</x:v>
      </x:c>
      <x:c r="E864" s="11" t="n">
        <x:v>31</x:v>
      </x:c>
      <x:c r="F864" s="12" t="n">
        <x:v>145.92</x:v>
      </x:c>
      <x:c r="G864" s="12" t="n">
        <x:v>4523.52</x:v>
      </x:c>
      <x:c r="H864" s="13" t="n">
        <x:v>187</x:v>
      </x:c>
      <x:c r="I864" s="13" t="n">
        <x:f>YEAR(B864)</x:f>
        <x:v>2023</x:v>
      </x:c>
      <x:c r="J864" s="13" t="n">
        <x:f>MONTH(B864)</x:f>
        <x:v>6</x:v>
      </x:c>
      <x:c r="K864" s="14" t="n">
        <x:f>ROUND(E864*F864-G864,10)</x:f>
        <x:v>0</x:v>
      </x:c>
      <x:c r="L864" s="2"/>
      <x:c r="M864" s="2"/>
      <x:c r="N864" s="2"/>
      <x:c r="O864" s="2"/>
      <x:c r="P864" s="2"/>
      <x:c r="Q864" s="2"/>
      <x:c r="R864" s="2"/>
    </x:row>
    <x:row r="865" ht="22" customHeight="1">
      <x:c r="A865" s="2" t="n">
        <x:v>100859</x:v>
      </x:c>
      <x:c r="B865" s="10" t="n">
        <x:v>44973</x:v>
      </x:c>
      <x:c r="C865" s="2" t="str">
        <x:v>Peru</x:v>
      </x:c>
      <x:c r="D865" s="2" t="str">
        <x:v>Moda Feminina</x:v>
      </x:c>
      <x:c r="E865" s="11" t="n">
        <x:v>35</x:v>
      </x:c>
      <x:c r="F865" s="12" t="n">
        <x:v>75.25</x:v>
      </x:c>
      <x:c r="G865" s="12" t="n">
        <x:v>2633.75</x:v>
      </x:c>
      <x:c r="H865" s="13" t="n">
        <x:v>123</x:v>
      </x:c>
      <x:c r="I865" s="13" t="n">
        <x:f>YEAR(B865)</x:f>
        <x:v>2023</x:v>
      </x:c>
      <x:c r="J865" s="13" t="n">
        <x:f>MONTH(B865)</x:f>
        <x:v>2</x:v>
      </x:c>
      <x:c r="K865" s="14" t="n">
        <x:f>ROUND(E865*F865-G865,10)</x:f>
        <x:v>0</x:v>
      </x:c>
      <x:c r="L865" s="2"/>
      <x:c r="M865" s="2"/>
      <x:c r="N865" s="2"/>
      <x:c r="O865" s="2"/>
      <x:c r="P865" s="2"/>
      <x:c r="Q865" s="2"/>
      <x:c r="R865" s="2"/>
    </x:row>
    <x:row r="866" ht="22" customHeight="1">
      <x:c r="A866" s="2" t="n">
        <x:v>100860</x:v>
      </x:c>
      <x:c r="B866" s="10" t="n">
        <x:v>45459</x:v>
      </x:c>
      <x:c r="C866" s="2" t="str">
        <x:v>Brasil</x:v>
      </x:c>
      <x:c r="D866" s="2" t="str">
        <x:v>Acessórios</x:v>
      </x:c>
      <x:c r="E866" s="11" t="n">
        <x:v>6</x:v>
      </x:c>
      <x:c r="F866" s="12" t="n">
        <x:v>30.28</x:v>
      </x:c>
      <x:c r="G866" s="12" t="n">
        <x:v>181.68</x:v>
      </x:c>
      <x:c r="H866" s="13" t="n">
        <x:v>90</x:v>
      </x:c>
      <x:c r="I866" s="13" t="n">
        <x:f>YEAR(B866)</x:f>
        <x:v>2024</x:v>
      </x:c>
      <x:c r="J866" s="13" t="n">
        <x:f>MONTH(B866)</x:f>
        <x:v>6</x:v>
      </x:c>
      <x:c r="K866" s="14" t="n">
        <x:f>ROUND(E866*F866-G866,10)</x:f>
        <x:v>0</x:v>
      </x:c>
      <x:c r="L866" s="2"/>
      <x:c r="M866" s="2"/>
      <x:c r="N866" s="2"/>
      <x:c r="O866" s="2"/>
      <x:c r="P866" s="2"/>
      <x:c r="Q866" s="2"/>
      <x:c r="R866" s="2"/>
    </x:row>
    <x:row r="867" ht="22" customHeight="1">
      <x:c r="A867" s="2" t="n">
        <x:v>100861</x:v>
      </x:c>
      <x:c r="B867" s="10" t="n">
        <x:v>45356</x:v>
      </x:c>
      <x:c r="C867" s="2" t="str">
        <x:v>Colômbia</x:v>
      </x:c>
      <x:c r="D867" s="2" t="str">
        <x:v>Calçados</x:v>
      </x:c>
      <x:c r="E867" s="11" t="n">
        <x:v>5</x:v>
      </x:c>
      <x:c r="F867" s="12" t="n">
        <x:v>81.75</x:v>
      </x:c>
      <x:c r="G867" s="12" t="n">
        <x:v>408.75</x:v>
      </x:c>
      <x:c r="H867" s="13" t="n">
        <x:v>126</x:v>
      </x:c>
      <x:c r="I867" s="13" t="n">
        <x:f>YEAR(B867)</x:f>
        <x:v>2024</x:v>
      </x:c>
      <x:c r="J867" s="13" t="n">
        <x:f>MONTH(B867)</x:f>
        <x:v>3</x:v>
      </x:c>
      <x:c r="K867" s="14" t="n">
        <x:f>ROUND(E867*F867-G867,10)</x:f>
        <x:v>0</x:v>
      </x:c>
      <x:c r="L867" s="2"/>
      <x:c r="M867" s="2"/>
      <x:c r="N867" s="2"/>
      <x:c r="O867" s="2"/>
      <x:c r="P867" s="2"/>
      <x:c r="Q867" s="2"/>
      <x:c r="R867" s="2"/>
    </x:row>
    <x:row r="868" ht="22" customHeight="1">
      <x:c r="A868" s="2" t="n">
        <x:v>100862</x:v>
      </x:c>
      <x:c r="B868" s="10" t="n">
        <x:v>45092</x:v>
      </x:c>
      <x:c r="C868" s="2" t="str">
        <x:v>Peru</x:v>
      </x:c>
      <x:c r="D868" s="2" t="str">
        <x:v>Moda Masculina</x:v>
      </x:c>
      <x:c r="E868" s="11" t="n">
        <x:v>22</x:v>
      </x:c>
      <x:c r="F868" s="12" t="n">
        <x:v>140.05</x:v>
      </x:c>
      <x:c r="G868" s="12" t="n">
        <x:v>3081.1</x:v>
      </x:c>
      <x:c r="H868" s="13" t="n">
        <x:v>436</x:v>
      </x:c>
      <x:c r="I868" s="13" t="n">
        <x:f>YEAR(B868)</x:f>
        <x:v>2023</x:v>
      </x:c>
      <x:c r="J868" s="13" t="n">
        <x:f>MONTH(B868)</x:f>
        <x:v>6</x:v>
      </x:c>
      <x:c r="K868" s="14" t="n">
        <x:f>ROUND(E868*F868-G868,10)</x:f>
        <x:v>0</x:v>
      </x:c>
      <x:c r="L868" s="2"/>
      <x:c r="M868" s="2"/>
      <x:c r="N868" s="2"/>
      <x:c r="O868" s="2"/>
      <x:c r="P868" s="2"/>
      <x:c r="Q868" s="2"/>
      <x:c r="R868" s="2"/>
    </x:row>
    <x:row r="869" ht="22" customHeight="1">
      <x:c r="A869" s="2" t="n">
        <x:v>100863</x:v>
      </x:c>
      <x:c r="B869" s="10" t="n">
        <x:v>45234</x:v>
      </x:c>
      <x:c r="C869" s="2" t="str">
        <x:v>Argentina</x:v>
      </x:c>
      <x:c r="D869" s="2" t="str">
        <x:v>Moda Masculina</x:v>
      </x:c>
      <x:c r="E869" s="11" t="n">
        <x:v>49</x:v>
      </x:c>
      <x:c r="F869" s="12" t="n">
        <x:v>38.46</x:v>
      </x:c>
      <x:c r="G869" s="12" t="n">
        <x:v>1884.54</x:v>
      </x:c>
      <x:c r="H869" s="13" t="n">
        <x:v>236</x:v>
      </x:c>
      <x:c r="I869" s="13" t="n">
        <x:f>YEAR(B869)</x:f>
        <x:v>2023</x:v>
      </x:c>
      <x:c r="J869" s="13" t="n">
        <x:f>MONTH(B869)</x:f>
        <x:v>11</x:v>
      </x:c>
      <x:c r="K869" s="14" t="n">
        <x:f>ROUND(E869*F869-G869,10)</x:f>
        <x:v>0</x:v>
      </x:c>
      <x:c r="L869" s="2"/>
      <x:c r="M869" s="2"/>
      <x:c r="N869" s="2"/>
      <x:c r="O869" s="2"/>
      <x:c r="P869" s="2"/>
      <x:c r="Q869" s="2"/>
      <x:c r="R869" s="2"/>
    </x:row>
    <x:row r="870" ht="22" customHeight="1">
      <x:c r="A870" s="2" t="n">
        <x:v>100864</x:v>
      </x:c>
      <x:c r="B870" s="10" t="n">
        <x:v>45030</x:v>
      </x:c>
      <x:c r="C870" s="2" t="str">
        <x:v>Chile</x:v>
      </x:c>
      <x:c r="D870" s="2" t="str">
        <x:v>Moda Infantil</x:v>
      </x:c>
      <x:c r="E870" s="11" t="n">
        <x:v>23</x:v>
      </x:c>
      <x:c r="F870" s="12" t="n">
        <x:v>22.15</x:v>
      </x:c>
      <x:c r="G870" s="12" t="n">
        <x:v>509.45</x:v>
      </x:c>
      <x:c r="H870" s="13" t="n">
        <x:v>419</x:v>
      </x:c>
      <x:c r="I870" s="13" t="n">
        <x:f>YEAR(B870)</x:f>
        <x:v>2023</x:v>
      </x:c>
      <x:c r="J870" s="13" t="n">
        <x:f>MONTH(B870)</x:f>
        <x:v>4</x:v>
      </x:c>
      <x:c r="K870" s="14" t="n">
        <x:f>ROUND(E870*F870-G870,10)</x:f>
        <x:v>0</x:v>
      </x:c>
      <x:c r="L870" s="2"/>
      <x:c r="M870" s="2"/>
      <x:c r="N870" s="2"/>
      <x:c r="O870" s="2"/>
      <x:c r="P870" s="2"/>
      <x:c r="Q870" s="2"/>
      <x:c r="R870" s="2"/>
    </x:row>
    <x:row r="871" ht="22" customHeight="1">
      <x:c r="A871" s="2" t="n">
        <x:v>100865</x:v>
      </x:c>
      <x:c r="B871" s="10" t="n">
        <x:v>45639</x:v>
      </x:c>
      <x:c r="C871" s="2" t="str">
        <x:v>Brasil</x:v>
      </x:c>
      <x:c r="D871" s="2" t="str">
        <x:v>Acessórios</x:v>
      </x:c>
      <x:c r="E871" s="11" t="n">
        <x:v>25</x:v>
      </x:c>
      <x:c r="F871" s="12" t="n">
        <x:v>45.14</x:v>
      </x:c>
      <x:c r="G871" s="12" t="n">
        <x:v>1128.5</x:v>
      </x:c>
      <x:c r="H871" s="13" t="n">
        <x:v>101</x:v>
      </x:c>
      <x:c r="I871" s="13" t="n">
        <x:f>YEAR(B871)</x:f>
        <x:v>2024</x:v>
      </x:c>
      <x:c r="J871" s="13" t="n">
        <x:f>MONTH(B871)</x:f>
        <x:v>12</x:v>
      </x:c>
      <x:c r="K871" s="14" t="n">
        <x:f>ROUND(E871*F871-G871,10)</x:f>
        <x:v>0</x:v>
      </x:c>
      <x:c r="L871" s="2"/>
      <x:c r="M871" s="2"/>
      <x:c r="N871" s="2"/>
      <x:c r="O871" s="2"/>
      <x:c r="P871" s="2"/>
      <x:c r="Q871" s="2"/>
      <x:c r="R871" s="2"/>
    </x:row>
    <x:row r="872" ht="22" customHeight="1">
      <x:c r="A872" s="2" t="n">
        <x:v>100866</x:v>
      </x:c>
      <x:c r="B872" s="10" t="n">
        <x:v>45275</x:v>
      </x:c>
      <x:c r="C872" s="2" t="str">
        <x:v>México</x:v>
      </x:c>
      <x:c r="D872" s="2" t="str">
        <x:v>Moda Feminina</x:v>
      </x:c>
      <x:c r="E872" s="11" t="n">
        <x:v>34</x:v>
      </x:c>
      <x:c r="F872" s="12" t="n">
        <x:v>148.83</x:v>
      </x:c>
      <x:c r="G872" s="12" t="n">
        <x:v>5060.22</x:v>
      </x:c>
      <x:c r="H872" s="13" t="n">
        <x:v>467</x:v>
      </x:c>
      <x:c r="I872" s="13" t="n">
        <x:f>YEAR(B872)</x:f>
        <x:v>2023</x:v>
      </x:c>
      <x:c r="J872" s="13" t="n">
        <x:f>MONTH(B872)</x:f>
        <x:v>12</x:v>
      </x:c>
      <x:c r="K872" s="14" t="n">
        <x:f>ROUND(E872*F872-G872,10)</x:f>
        <x:v>0</x:v>
      </x:c>
      <x:c r="L872" s="2"/>
      <x:c r="M872" s="2"/>
      <x:c r="N872" s="2"/>
      <x:c r="O872" s="2"/>
      <x:c r="P872" s="2"/>
      <x:c r="Q872" s="2"/>
      <x:c r="R872" s="2"/>
    </x:row>
    <x:row r="873" ht="22" customHeight="1">
      <x:c r="A873" s="2" t="n">
        <x:v>100867</x:v>
      </x:c>
      <x:c r="B873" s="10" t="n">
        <x:v>45467</x:v>
      </x:c>
      <x:c r="C873" s="2" t="str">
        <x:v>México</x:v>
      </x:c>
      <x:c r="D873" s="2" t="str">
        <x:v>Acessórios</x:v>
      </x:c>
      <x:c r="E873" s="11" t="n">
        <x:v>26</x:v>
      </x:c>
      <x:c r="F873" s="12" t="n">
        <x:v>195.1</x:v>
      </x:c>
      <x:c r="G873" s="12" t="n">
        <x:v>5072.599999999999</x:v>
      </x:c>
      <x:c r="H873" s="13" t="n">
        <x:v>482</x:v>
      </x:c>
      <x:c r="I873" s="13" t="n">
        <x:f>YEAR(B873)</x:f>
        <x:v>2024</x:v>
      </x:c>
      <x:c r="J873" s="13" t="n">
        <x:f>MONTH(B873)</x:f>
        <x:v>6</x:v>
      </x:c>
      <x:c r="K873" s="14" t="n">
        <x:f>ROUND(E873*F873-G873,10)</x:f>
        <x:v>0</x:v>
      </x:c>
      <x:c r="L873" s="2"/>
      <x:c r="M873" s="2"/>
      <x:c r="N873" s="2"/>
      <x:c r="O873" s="2"/>
      <x:c r="P873" s="2"/>
      <x:c r="Q873" s="2"/>
      <x:c r="R873" s="2"/>
    </x:row>
    <x:row r="874" ht="22" customHeight="1">
      <x:c r="A874" s="2" t="n">
        <x:v>100868</x:v>
      </x:c>
      <x:c r="B874" s="10" t="n">
        <x:v>45514</x:v>
      </x:c>
      <x:c r="C874" s="2" t="str">
        <x:v>Colômbia</x:v>
      </x:c>
      <x:c r="D874" s="2" t="str">
        <x:v>Acessórios</x:v>
      </x:c>
      <x:c r="E874" s="11" t="n">
        <x:v>47</x:v>
      </x:c>
      <x:c r="F874" s="12" t="n">
        <x:v>196.95</x:v>
      </x:c>
      <x:c r="G874" s="12" t="n">
        <x:v>9256.65</x:v>
      </x:c>
      <x:c r="H874" s="13" t="n">
        <x:v>461</x:v>
      </x:c>
      <x:c r="I874" s="13" t="n">
        <x:f>YEAR(B874)</x:f>
        <x:v>2024</x:v>
      </x:c>
      <x:c r="J874" s="13" t="n">
        <x:f>MONTH(B874)</x:f>
        <x:v>8</x:v>
      </x:c>
      <x:c r="K874" s="14" t="n">
        <x:f>ROUND(E874*F874-G874,10)</x:f>
        <x:v>0</x:v>
      </x:c>
      <x:c r="L874" s="2"/>
      <x:c r="M874" s="2"/>
      <x:c r="N874" s="2"/>
      <x:c r="O874" s="2"/>
      <x:c r="P874" s="2"/>
      <x:c r="Q874" s="2"/>
      <x:c r="R874" s="2"/>
    </x:row>
    <x:row r="875" ht="22" customHeight="1">
      <x:c r="A875" s="2" t="n">
        <x:v>100869</x:v>
      </x:c>
      <x:c r="B875" s="10" t="n">
        <x:v>45272</x:v>
      </x:c>
      <x:c r="C875" s="2" t="str">
        <x:v>Argentina</x:v>
      </x:c>
      <x:c r="D875" s="2" t="str">
        <x:v>Moda Feminina</x:v>
      </x:c>
      <x:c r="E875" s="11" t="n">
        <x:v>5</x:v>
      </x:c>
      <x:c r="F875" s="12" t="n">
        <x:v>108.92</x:v>
      </x:c>
      <x:c r="G875" s="12" t="n">
        <x:v>544.6</x:v>
      </x:c>
      <x:c r="H875" s="13" t="n">
        <x:v>136</x:v>
      </x:c>
      <x:c r="I875" s="13" t="n">
        <x:f>YEAR(B875)</x:f>
        <x:v>2023</x:v>
      </x:c>
      <x:c r="J875" s="13" t="n">
        <x:f>MONTH(B875)</x:f>
        <x:v>12</x:v>
      </x:c>
      <x:c r="K875" s="14" t="n">
        <x:f>ROUND(E875*F875-G875,10)</x:f>
        <x:v>0</x:v>
      </x:c>
      <x:c r="L875" s="2"/>
      <x:c r="M875" s="2"/>
      <x:c r="N875" s="2"/>
      <x:c r="O875" s="2"/>
      <x:c r="P875" s="2"/>
      <x:c r="Q875" s="2"/>
      <x:c r="R875" s="2"/>
    </x:row>
    <x:row r="876" ht="22" customHeight="1">
      <x:c r="A876" s="2" t="n">
        <x:v>100870</x:v>
      </x:c>
      <x:c r="B876" s="10" t="n">
        <x:v>45040</x:v>
      </x:c>
      <x:c r="C876" s="2" t="str">
        <x:v>Brasil</x:v>
      </x:c>
      <x:c r="D876" s="2" t="str">
        <x:v>Moda Infantil</x:v>
      </x:c>
      <x:c r="E876" s="11" t="n">
        <x:v>26</x:v>
      </x:c>
      <x:c r="F876" s="12" t="n">
        <x:v>176.48</x:v>
      </x:c>
      <x:c r="G876" s="12" t="n">
        <x:v>4588.48</x:v>
      </x:c>
      <x:c r="H876" s="13" t="n">
        <x:v>158</x:v>
      </x:c>
      <x:c r="I876" s="13" t="n">
        <x:f>YEAR(B876)</x:f>
        <x:v>2023</x:v>
      </x:c>
      <x:c r="J876" s="13" t="n">
        <x:f>MONTH(B876)</x:f>
        <x:v>4</x:v>
      </x:c>
      <x:c r="K876" s="14" t="n">
        <x:f>ROUND(E876*F876-G876,10)</x:f>
        <x:v>0</x:v>
      </x:c>
      <x:c r="L876" s="2"/>
      <x:c r="M876" s="2"/>
      <x:c r="N876" s="2"/>
      <x:c r="O876" s="2"/>
      <x:c r="P876" s="2"/>
      <x:c r="Q876" s="2"/>
      <x:c r="R876" s="2"/>
    </x:row>
    <x:row r="877" ht="22" customHeight="1">
      <x:c r="A877" s="2" t="n">
        <x:v>100871</x:v>
      </x:c>
      <x:c r="B877" s="10" t="n">
        <x:v>45038</x:v>
      </x:c>
      <x:c r="C877" s="2" t="str">
        <x:v>Argentina</x:v>
      </x:c>
      <x:c r="D877" s="2" t="str">
        <x:v>Acessórios</x:v>
      </x:c>
      <x:c r="E877" s="11" t="n">
        <x:v>20</x:v>
      </x:c>
      <x:c r="F877" s="12" t="n">
        <x:v>152.63</x:v>
      </x:c>
      <x:c r="G877" s="12" t="n">
        <x:v>3052.6</x:v>
      </x:c>
      <x:c r="H877" s="13" t="n">
        <x:v>446</x:v>
      </x:c>
      <x:c r="I877" s="13" t="n">
        <x:f>YEAR(B877)</x:f>
        <x:v>2023</x:v>
      </x:c>
      <x:c r="J877" s="13" t="n">
        <x:f>MONTH(B877)</x:f>
        <x:v>4</x:v>
      </x:c>
      <x:c r="K877" s="14" t="n">
        <x:f>ROUND(E877*F877-G877,10)</x:f>
        <x:v>0</x:v>
      </x:c>
      <x:c r="L877" s="2"/>
      <x:c r="M877" s="2"/>
      <x:c r="N877" s="2"/>
      <x:c r="O877" s="2"/>
      <x:c r="P877" s="2"/>
      <x:c r="Q877" s="2"/>
      <x:c r="R877" s="2"/>
    </x:row>
    <x:row r="878" ht="22" customHeight="1">
      <x:c r="A878" s="2" t="n">
        <x:v>100872</x:v>
      </x:c>
      <x:c r="B878" s="10" t="n">
        <x:v>45293</x:v>
      </x:c>
      <x:c r="C878" s="2" t="str">
        <x:v>Brasil</x:v>
      </x:c>
      <x:c r="D878" s="2" t="str">
        <x:v>Moda Masculina</x:v>
      </x:c>
      <x:c r="E878" s="11" t="n">
        <x:v>6</x:v>
      </x:c>
      <x:c r="F878" s="12" t="n">
        <x:v>110.19</x:v>
      </x:c>
      <x:c r="G878" s="12" t="n">
        <x:v>661.14</x:v>
      </x:c>
      <x:c r="H878" s="13" t="n">
        <x:v>274</x:v>
      </x:c>
      <x:c r="I878" s="13" t="n">
        <x:f>YEAR(B878)</x:f>
        <x:v>2024</x:v>
      </x:c>
      <x:c r="J878" s="13" t="n">
        <x:f>MONTH(B878)</x:f>
        <x:v>1</x:v>
      </x:c>
      <x:c r="K878" s="14" t="n">
        <x:f>ROUND(E878*F878-G878,10)</x:f>
        <x:v>0</x:v>
      </x:c>
      <x:c r="L878" s="2"/>
      <x:c r="M878" s="2"/>
      <x:c r="N878" s="2"/>
      <x:c r="O878" s="2"/>
      <x:c r="P878" s="2"/>
      <x:c r="Q878" s="2"/>
      <x:c r="R878" s="2"/>
    </x:row>
    <x:row r="879" ht="22" customHeight="1">
      <x:c r="A879" s="2" t="n">
        <x:v>100873</x:v>
      </x:c>
      <x:c r="B879" s="10" t="n">
        <x:v>45646</x:v>
      </x:c>
      <x:c r="C879" s="2" t="str">
        <x:v>Colômbia</x:v>
      </x:c>
      <x:c r="D879" s="2" t="str">
        <x:v>Moda Feminina</x:v>
      </x:c>
      <x:c r="E879" s="11" t="n">
        <x:v>6</x:v>
      </x:c>
      <x:c r="F879" s="12" t="n">
        <x:v>123.1</x:v>
      </x:c>
      <x:c r="G879" s="12" t="n">
        <x:v>738.5999999999999</x:v>
      </x:c>
      <x:c r="H879" s="13" t="n">
        <x:v>297</x:v>
      </x:c>
      <x:c r="I879" s="13" t="n">
        <x:f>YEAR(B879)</x:f>
        <x:v>2024</x:v>
      </x:c>
      <x:c r="J879" s="13" t="n">
        <x:f>MONTH(B879)</x:f>
        <x:v>12</x:v>
      </x:c>
      <x:c r="K879" s="14" t="n">
        <x:f>ROUND(E879*F879-G879,10)</x:f>
        <x:v>0</x:v>
      </x:c>
      <x:c r="L879" s="2"/>
      <x:c r="M879" s="2"/>
      <x:c r="N879" s="2"/>
      <x:c r="O879" s="2"/>
      <x:c r="P879" s="2"/>
      <x:c r="Q879" s="2"/>
      <x:c r="R879" s="2"/>
    </x:row>
    <x:row r="880" ht="22" customHeight="1">
      <x:c r="A880" s="2" t="n">
        <x:v>100874</x:v>
      </x:c>
      <x:c r="B880" s="10" t="n">
        <x:v>45021</x:v>
      </x:c>
      <x:c r="C880" s="2" t="str">
        <x:v>Colômbia</x:v>
      </x:c>
      <x:c r="D880" s="2" t="str">
        <x:v>Calçados</x:v>
      </x:c>
      <x:c r="E880" s="11" t="n">
        <x:v>18</x:v>
      </x:c>
      <x:c r="F880" s="12" t="n">
        <x:v>44.7</x:v>
      </x:c>
      <x:c r="G880" s="12" t="n">
        <x:v>804.6</x:v>
      </x:c>
      <x:c r="H880" s="13" t="n">
        <x:v>118</x:v>
      </x:c>
      <x:c r="I880" s="13" t="n">
        <x:f>YEAR(B880)</x:f>
        <x:v>2023</x:v>
      </x:c>
      <x:c r="J880" s="13" t="n">
        <x:f>MONTH(B880)</x:f>
        <x:v>4</x:v>
      </x:c>
      <x:c r="K880" s="14" t="n">
        <x:f>ROUND(E880*F880-G880,10)</x:f>
        <x:v>0</x:v>
      </x:c>
      <x:c r="L880" s="2"/>
      <x:c r="M880" s="2"/>
      <x:c r="N880" s="2"/>
      <x:c r="O880" s="2"/>
      <x:c r="P880" s="2"/>
      <x:c r="Q880" s="2"/>
      <x:c r="R880" s="2"/>
    </x:row>
    <x:row r="881" ht="22" customHeight="1">
      <x:c r="A881" s="2" t="n">
        <x:v>100875</x:v>
      </x:c>
      <x:c r="B881" s="10" t="n">
        <x:v>45027</x:v>
      </x:c>
      <x:c r="C881" s="2" t="str">
        <x:v>México</x:v>
      </x:c>
      <x:c r="D881" s="2" t="str">
        <x:v>Moda Infantil</x:v>
      </x:c>
      <x:c r="E881" s="11" t="n">
        <x:v>4</x:v>
      </x:c>
      <x:c r="F881" s="12" t="n">
        <x:v>188.78</x:v>
      </x:c>
      <x:c r="G881" s="12" t="n">
        <x:v>755.12</x:v>
      </x:c>
      <x:c r="H881" s="13" t="n">
        <x:v>169</x:v>
      </x:c>
      <x:c r="I881" s="13" t="n">
        <x:f>YEAR(B881)</x:f>
        <x:v>2023</x:v>
      </x:c>
      <x:c r="J881" s="13" t="n">
        <x:f>MONTH(B881)</x:f>
        <x:v>4</x:v>
      </x:c>
      <x:c r="K881" s="14" t="n">
        <x:f>ROUND(E881*F881-G881,10)</x:f>
        <x:v>0</x:v>
      </x:c>
      <x:c r="L881" s="2"/>
      <x:c r="M881" s="2"/>
      <x:c r="N881" s="2"/>
      <x:c r="O881" s="2"/>
      <x:c r="P881" s="2"/>
      <x:c r="Q881" s="2"/>
      <x:c r="R881" s="2"/>
    </x:row>
    <x:row r="882" ht="22" customHeight="1">
      <x:c r="A882" s="2" t="n">
        <x:v>100876</x:v>
      </x:c>
      <x:c r="B882" s="10" t="n">
        <x:v>45275</x:v>
      </x:c>
      <x:c r="C882" s="2" t="str">
        <x:v>Argentina</x:v>
      </x:c>
      <x:c r="D882" s="2" t="str">
        <x:v>Moda Feminina</x:v>
      </x:c>
      <x:c r="E882" s="11" t="n">
        <x:v>17</x:v>
      </x:c>
      <x:c r="F882" s="12" t="n">
        <x:v>83.35</x:v>
      </x:c>
      <x:c r="G882" s="12" t="n">
        <x:v>1416.95</x:v>
      </x:c>
      <x:c r="H882" s="13" t="n">
        <x:v>116</x:v>
      </x:c>
      <x:c r="I882" s="13" t="n">
        <x:f>YEAR(B882)</x:f>
        <x:v>2023</x:v>
      </x:c>
      <x:c r="J882" s="13" t="n">
        <x:f>MONTH(B882)</x:f>
        <x:v>12</x:v>
      </x:c>
      <x:c r="K882" s="14" t="n">
        <x:f>ROUND(E882*F882-G882,10)</x:f>
        <x:v>0</x:v>
      </x:c>
      <x:c r="L882" s="2"/>
      <x:c r="M882" s="2"/>
      <x:c r="N882" s="2"/>
      <x:c r="O882" s="2"/>
      <x:c r="P882" s="2"/>
      <x:c r="Q882" s="2"/>
      <x:c r="R882" s="2"/>
    </x:row>
    <x:row r="883" ht="22" customHeight="1">
      <x:c r="A883" s="2" t="n">
        <x:v>100877</x:v>
      </x:c>
      <x:c r="B883" s="10" t="n">
        <x:v>45263</x:v>
      </x:c>
      <x:c r="C883" s="2" t="str">
        <x:v>Peru</x:v>
      </x:c>
      <x:c r="D883" s="2" t="str">
        <x:v>Calçados</x:v>
      </x:c>
      <x:c r="E883" s="11" t="n">
        <x:v>14</x:v>
      </x:c>
      <x:c r="F883" s="12" t="n">
        <x:v>100.31</x:v>
      </x:c>
      <x:c r="G883" s="12" t="n">
        <x:v>1404.34</x:v>
      </x:c>
      <x:c r="H883" s="13" t="n">
        <x:v>110</x:v>
      </x:c>
      <x:c r="I883" s="13" t="n">
        <x:f>YEAR(B883)</x:f>
        <x:v>2023</x:v>
      </x:c>
      <x:c r="J883" s="13" t="n">
        <x:f>MONTH(B883)</x:f>
        <x:v>12</x:v>
      </x:c>
      <x:c r="K883" s="14" t="n">
        <x:f>ROUND(E883*F883-G883,10)</x:f>
        <x:v>0</x:v>
      </x:c>
      <x:c r="L883" s="2"/>
      <x:c r="M883" s="2"/>
      <x:c r="N883" s="2"/>
      <x:c r="O883" s="2"/>
      <x:c r="P883" s="2"/>
      <x:c r="Q883" s="2"/>
      <x:c r="R883" s="2"/>
    </x:row>
    <x:row r="884" ht="22" customHeight="1">
      <x:c r="A884" s="2" t="n">
        <x:v>100878</x:v>
      </x:c>
      <x:c r="B884" s="10" t="n">
        <x:v>45172</x:v>
      </x:c>
      <x:c r="C884" s="2" t="str">
        <x:v>México</x:v>
      </x:c>
      <x:c r="D884" s="2" t="str">
        <x:v>Calçados</x:v>
      </x:c>
      <x:c r="E884" s="11" t="n">
        <x:v>14</x:v>
      </x:c>
      <x:c r="F884" s="12" t="n">
        <x:v>140.9</x:v>
      </x:c>
      <x:c r="G884" s="12" t="n">
        <x:v>1972.6</x:v>
      </x:c>
      <x:c r="H884" s="13" t="n">
        <x:v>493</x:v>
      </x:c>
      <x:c r="I884" s="13" t="n">
        <x:f>YEAR(B884)</x:f>
        <x:v>2023</x:v>
      </x:c>
      <x:c r="J884" s="13" t="n">
        <x:f>MONTH(B884)</x:f>
        <x:v>9</x:v>
      </x:c>
      <x:c r="K884" s="14" t="n">
        <x:f>ROUND(E884*F884-G884,10)</x:f>
        <x:v>0</x:v>
      </x:c>
      <x:c r="L884" s="2"/>
      <x:c r="M884" s="2"/>
      <x:c r="N884" s="2"/>
      <x:c r="O884" s="2"/>
      <x:c r="P884" s="2"/>
      <x:c r="Q884" s="2"/>
      <x:c r="R884" s="2"/>
    </x:row>
    <x:row r="885" ht="22" customHeight="1">
      <x:c r="A885" s="2" t="n">
        <x:v>100879</x:v>
      </x:c>
      <x:c r="B885" s="10" t="n">
        <x:v>45462</x:v>
      </x:c>
      <x:c r="C885" s="2" t="str">
        <x:v>Argentina</x:v>
      </x:c>
      <x:c r="D885" s="2" t="str">
        <x:v>Acessórios</x:v>
      </x:c>
      <x:c r="E885" s="11" t="n">
        <x:v>13</x:v>
      </x:c>
      <x:c r="F885" s="12" t="n">
        <x:v>80.1</x:v>
      </x:c>
      <x:c r="G885" s="12" t="n">
        <x:v>1041.3</x:v>
      </x:c>
      <x:c r="H885" s="13" t="n">
        <x:v>376</x:v>
      </x:c>
      <x:c r="I885" s="13" t="n">
        <x:f>YEAR(B885)</x:f>
        <x:v>2024</x:v>
      </x:c>
      <x:c r="J885" s="13" t="n">
        <x:f>MONTH(B885)</x:f>
        <x:v>6</x:v>
      </x:c>
      <x:c r="K885" s="14" t="n">
        <x:f>ROUND(E885*F885-G885,10)</x:f>
        <x:v>0</x:v>
      </x:c>
      <x:c r="L885" s="2"/>
      <x:c r="M885" s="2"/>
      <x:c r="N885" s="2"/>
      <x:c r="O885" s="2"/>
      <x:c r="P885" s="2"/>
      <x:c r="Q885" s="2"/>
      <x:c r="R885" s="2"/>
    </x:row>
    <x:row r="886" ht="22" customHeight="1">
      <x:c r="A886" s="2" t="n">
        <x:v>100880</x:v>
      </x:c>
      <x:c r="B886" s="10" t="n">
        <x:v>45629</x:v>
      </x:c>
      <x:c r="C886" s="2" t="str">
        <x:v>México</x:v>
      </x:c>
      <x:c r="D886" s="2" t="str">
        <x:v>Acessórios</x:v>
      </x:c>
      <x:c r="E886" s="11" t="n">
        <x:v>7</x:v>
      </x:c>
      <x:c r="F886" s="12" t="n">
        <x:v>65.77</x:v>
      </x:c>
      <x:c r="G886" s="12" t="n">
        <x:v>460.39</x:v>
      </x:c>
      <x:c r="H886" s="13" t="n">
        <x:v>457</x:v>
      </x:c>
      <x:c r="I886" s="13" t="n">
        <x:f>YEAR(B886)</x:f>
        <x:v>2024</x:v>
      </x:c>
      <x:c r="J886" s="13" t="n">
        <x:f>MONTH(B886)</x:f>
        <x:v>12</x:v>
      </x:c>
      <x:c r="K886" s="14" t="n">
        <x:f>ROUND(E886*F886-G886,10)</x:f>
        <x:v>0</x:v>
      </x:c>
      <x:c r="L886" s="2"/>
      <x:c r="M886" s="2"/>
      <x:c r="N886" s="2"/>
      <x:c r="O886" s="2"/>
      <x:c r="P886" s="2"/>
      <x:c r="Q886" s="2"/>
      <x:c r="R886" s="2"/>
    </x:row>
    <x:row r="887" ht="22" customHeight="1">
      <x:c r="A887" s="2" t="n">
        <x:v>100881</x:v>
      </x:c>
      <x:c r="B887" s="10" t="n">
        <x:v>45431</x:v>
      </x:c>
      <x:c r="C887" s="2" t="str">
        <x:v>Peru</x:v>
      </x:c>
      <x:c r="D887" s="2" t="str">
        <x:v>Acessórios</x:v>
      </x:c>
      <x:c r="E887" s="11" t="n">
        <x:v>44</x:v>
      </x:c>
      <x:c r="F887" s="12" t="n">
        <x:v>133.59</x:v>
      </x:c>
      <x:c r="G887" s="12" t="n">
        <x:v>5877.96</x:v>
      </x:c>
      <x:c r="H887" s="13" t="n">
        <x:v>240</x:v>
      </x:c>
      <x:c r="I887" s="13" t="n">
        <x:f>YEAR(B887)</x:f>
        <x:v>2024</x:v>
      </x:c>
      <x:c r="J887" s="13" t="n">
        <x:f>MONTH(B887)</x:f>
        <x:v>5</x:v>
      </x:c>
      <x:c r="K887" s="14" t="n">
        <x:f>ROUND(E887*F887-G887,10)</x:f>
        <x:v>0</x:v>
      </x:c>
      <x:c r="L887" s="2"/>
      <x:c r="M887" s="2"/>
      <x:c r="N887" s="2"/>
      <x:c r="O887" s="2"/>
      <x:c r="P887" s="2"/>
      <x:c r="Q887" s="2"/>
      <x:c r="R887" s="2"/>
    </x:row>
    <x:row r="888" ht="22" customHeight="1">
      <x:c r="A888" s="2" t="n">
        <x:v>100882</x:v>
      </x:c>
      <x:c r="B888" s="10" t="n">
        <x:v>45574</x:v>
      </x:c>
      <x:c r="C888" s="2" t="str">
        <x:v>Chile</x:v>
      </x:c>
      <x:c r="D888" s="2" t="str">
        <x:v>Moda Feminina</x:v>
      </x:c>
      <x:c r="E888" s="11" t="n">
        <x:v>15</x:v>
      </x:c>
      <x:c r="F888" s="12" t="n">
        <x:v>24.5</x:v>
      </x:c>
      <x:c r="G888" s="12" t="n">
        <x:v>367.5</x:v>
      </x:c>
      <x:c r="H888" s="13" t="n">
        <x:v>238</x:v>
      </x:c>
      <x:c r="I888" s="13" t="n">
        <x:f>YEAR(B888)</x:f>
        <x:v>2024</x:v>
      </x:c>
      <x:c r="J888" s="13" t="n">
        <x:f>MONTH(B888)</x:f>
        <x:v>10</x:v>
      </x:c>
      <x:c r="K888" s="14" t="n">
        <x:f>ROUND(E888*F888-G888,10)</x:f>
        <x:v>0</x:v>
      </x:c>
      <x:c r="L888" s="2"/>
      <x:c r="M888" s="2"/>
      <x:c r="N888" s="2"/>
      <x:c r="O888" s="2"/>
      <x:c r="P888" s="2"/>
      <x:c r="Q888" s="2"/>
      <x:c r="R888" s="2"/>
    </x:row>
    <x:row r="889" ht="22" customHeight="1">
      <x:c r="A889" s="2" t="n">
        <x:v>100883</x:v>
      </x:c>
      <x:c r="B889" s="10" t="n">
        <x:v>45276</x:v>
      </x:c>
      <x:c r="C889" s="2" t="str">
        <x:v>Chile</x:v>
      </x:c>
      <x:c r="D889" s="2" t="str">
        <x:v>Moda Feminina</x:v>
      </x:c>
      <x:c r="E889" s="11" t="n">
        <x:v>19</x:v>
      </x:c>
      <x:c r="F889" s="12" t="n">
        <x:v>149.73</x:v>
      </x:c>
      <x:c r="G889" s="12" t="n">
        <x:v>2844.87</x:v>
      </x:c>
      <x:c r="H889" s="13" t="n">
        <x:v>200</x:v>
      </x:c>
      <x:c r="I889" s="13" t="n">
        <x:f>YEAR(B889)</x:f>
        <x:v>2023</x:v>
      </x:c>
      <x:c r="J889" s="13" t="n">
        <x:f>MONTH(B889)</x:f>
        <x:v>12</x:v>
      </x:c>
      <x:c r="K889" s="14" t="n">
        <x:f>ROUND(E889*F889-G889,10)</x:f>
        <x:v>0</x:v>
      </x:c>
      <x:c r="L889" s="2"/>
      <x:c r="M889" s="2"/>
      <x:c r="N889" s="2"/>
      <x:c r="O889" s="2"/>
      <x:c r="P889" s="2"/>
      <x:c r="Q889" s="2"/>
      <x:c r="R889" s="2"/>
    </x:row>
    <x:row r="890" ht="22" customHeight="1">
      <x:c r="A890" s="2" t="n">
        <x:v>100884</x:v>
      </x:c>
      <x:c r="B890" s="10" t="n">
        <x:v>45630</x:v>
      </x:c>
      <x:c r="C890" s="2" t="str">
        <x:v>Chile</x:v>
      </x:c>
      <x:c r="D890" s="2" t="str">
        <x:v>Moda Infantil</x:v>
      </x:c>
      <x:c r="E890" s="11" t="n">
        <x:v>43</x:v>
      </x:c>
      <x:c r="F890" s="12" t="n">
        <x:v>112.52</x:v>
      </x:c>
      <x:c r="G890" s="12" t="n">
        <x:v>4838.36</x:v>
      </x:c>
      <x:c r="H890" s="13" t="n">
        <x:v>335</x:v>
      </x:c>
      <x:c r="I890" s="13" t="n">
        <x:f>YEAR(B890)</x:f>
        <x:v>2024</x:v>
      </x:c>
      <x:c r="J890" s="13" t="n">
        <x:f>MONTH(B890)</x:f>
        <x:v>12</x:v>
      </x:c>
      <x:c r="K890" s="14" t="n">
        <x:f>ROUND(E890*F890-G890,10)</x:f>
        <x:v>0</x:v>
      </x:c>
      <x:c r="L890" s="2"/>
      <x:c r="M890" s="2"/>
      <x:c r="N890" s="2"/>
      <x:c r="O890" s="2"/>
      <x:c r="P890" s="2"/>
      <x:c r="Q890" s="2"/>
      <x:c r="R890" s="2"/>
    </x:row>
    <x:row r="891" ht="22" customHeight="1">
      <x:c r="A891" s="2" t="n">
        <x:v>100885</x:v>
      </x:c>
      <x:c r="B891" s="10" t="n">
        <x:v>45439</x:v>
      </x:c>
      <x:c r="C891" s="2" t="str">
        <x:v>Chile</x:v>
      </x:c>
      <x:c r="D891" s="2" t="str">
        <x:v>Acessórios</x:v>
      </x:c>
      <x:c r="E891" s="11" t="n">
        <x:v>47</x:v>
      </x:c>
      <x:c r="F891" s="12" t="n">
        <x:v>129.04</x:v>
      </x:c>
      <x:c r="G891" s="12" t="n">
        <x:v>6064.879999999999</x:v>
      </x:c>
      <x:c r="H891" s="13" t="n">
        <x:v>493</x:v>
      </x:c>
      <x:c r="I891" s="13" t="n">
        <x:f>YEAR(B891)</x:f>
        <x:v>2024</x:v>
      </x:c>
      <x:c r="J891" s="13" t="n">
        <x:f>MONTH(B891)</x:f>
        <x:v>5</x:v>
      </x:c>
      <x:c r="K891" s="14" t="n">
        <x:f>ROUND(E891*F891-G891,10)</x:f>
        <x:v>0</x:v>
      </x:c>
      <x:c r="L891" s="2"/>
      <x:c r="M891" s="2"/>
      <x:c r="N891" s="2"/>
      <x:c r="O891" s="2"/>
      <x:c r="P891" s="2"/>
      <x:c r="Q891" s="2"/>
      <x:c r="R891" s="2"/>
    </x:row>
    <x:row r="892" ht="22" customHeight="1">
      <x:c r="A892" s="2" t="n">
        <x:v>100886</x:v>
      </x:c>
      <x:c r="B892" s="10" t="n">
        <x:v>45250</x:v>
      </x:c>
      <x:c r="C892" s="2" t="str">
        <x:v>Brasil</x:v>
      </x:c>
      <x:c r="D892" s="2" t="str">
        <x:v>Calçados</x:v>
      </x:c>
      <x:c r="E892" s="11" t="n">
        <x:v>44</x:v>
      </x:c>
      <x:c r="F892" s="12" t="n">
        <x:v>133.74</x:v>
      </x:c>
      <x:c r="G892" s="12" t="n">
        <x:v>5884.56</x:v>
      </x:c>
      <x:c r="H892" s="13" t="n">
        <x:v>451</x:v>
      </x:c>
      <x:c r="I892" s="13" t="n">
        <x:f>YEAR(B892)</x:f>
        <x:v>2023</x:v>
      </x:c>
      <x:c r="J892" s="13" t="n">
        <x:f>MONTH(B892)</x:f>
        <x:v>11</x:v>
      </x:c>
      <x:c r="K892" s="14" t="n">
        <x:f>ROUND(E892*F892-G892,10)</x:f>
        <x:v>0</x:v>
      </x:c>
      <x:c r="L892" s="2"/>
      <x:c r="M892" s="2"/>
      <x:c r="N892" s="2"/>
      <x:c r="O892" s="2"/>
      <x:c r="P892" s="2"/>
      <x:c r="Q892" s="2"/>
      <x:c r="R892" s="2"/>
    </x:row>
    <x:row r="893" ht="22" customHeight="1">
      <x:c r="A893" s="2" t="n">
        <x:v>100887</x:v>
      </x:c>
      <x:c r="B893" s="10" t="n">
        <x:v>45483</x:v>
      </x:c>
      <x:c r="C893" s="2" t="str">
        <x:v>Chile</x:v>
      </x:c>
      <x:c r="D893" s="2" t="str">
        <x:v>Moda Masculina</x:v>
      </x:c>
      <x:c r="E893" s="11" t="n">
        <x:v>35</x:v>
      </x:c>
      <x:c r="F893" s="12" t="n">
        <x:v>114.87</x:v>
      </x:c>
      <x:c r="G893" s="12" t="n">
        <x:v>4020.45</x:v>
      </x:c>
      <x:c r="H893" s="13" t="n">
        <x:v>145</x:v>
      </x:c>
      <x:c r="I893" s="13" t="n">
        <x:f>YEAR(B893)</x:f>
        <x:v>2024</x:v>
      </x:c>
      <x:c r="J893" s="13" t="n">
        <x:f>MONTH(B893)</x:f>
        <x:v>7</x:v>
      </x:c>
      <x:c r="K893" s="14" t="n">
        <x:f>ROUND(E893*F893-G893,10)</x:f>
        <x:v>0</x:v>
      </x:c>
      <x:c r="L893" s="2"/>
      <x:c r="M893" s="2"/>
      <x:c r="N893" s="2"/>
      <x:c r="O893" s="2"/>
      <x:c r="P893" s="2"/>
      <x:c r="Q893" s="2"/>
      <x:c r="R893" s="2"/>
    </x:row>
    <x:row r="894" ht="22" customHeight="1">
      <x:c r="A894" s="2" t="n">
        <x:v>100888</x:v>
      </x:c>
      <x:c r="B894" s="10" t="n">
        <x:v>45618</x:v>
      </x:c>
      <x:c r="C894" s="2" t="str">
        <x:v>Peru</x:v>
      </x:c>
      <x:c r="D894" s="2" t="str">
        <x:v>Moda Infantil</x:v>
      </x:c>
      <x:c r="E894" s="11" t="n">
        <x:v>17</x:v>
      </x:c>
      <x:c r="F894" s="12" t="n">
        <x:v>124.86</x:v>
      </x:c>
      <x:c r="G894" s="12" t="n">
        <x:v>2122.62</x:v>
      </x:c>
      <x:c r="H894" s="13" t="n">
        <x:v>361</x:v>
      </x:c>
      <x:c r="I894" s="13" t="n">
        <x:f>YEAR(B894)</x:f>
        <x:v>2024</x:v>
      </x:c>
      <x:c r="J894" s="13" t="n">
        <x:f>MONTH(B894)</x:f>
        <x:v>11</x:v>
      </x:c>
      <x:c r="K894" s="14" t="n">
        <x:f>ROUND(E894*F894-G894,10)</x:f>
        <x:v>0</x:v>
      </x:c>
      <x:c r="L894" s="2"/>
      <x:c r="M894" s="2"/>
      <x:c r="N894" s="2"/>
      <x:c r="O894" s="2"/>
      <x:c r="P894" s="2"/>
      <x:c r="Q894" s="2"/>
      <x:c r="R894" s="2"/>
    </x:row>
    <x:row r="895" ht="22" customHeight="1">
      <x:c r="A895" s="2" t="n">
        <x:v>100889</x:v>
      </x:c>
      <x:c r="B895" s="10" t="n">
        <x:v>45552</x:v>
      </x:c>
      <x:c r="C895" s="2" t="str">
        <x:v>Colômbia</x:v>
      </x:c>
      <x:c r="D895" s="2" t="str">
        <x:v>Moda Feminina</x:v>
      </x:c>
      <x:c r="E895" s="11" t="n">
        <x:v>35</x:v>
      </x:c>
      <x:c r="F895" s="12" t="n">
        <x:v>143.08</x:v>
      </x:c>
      <x:c r="G895" s="12" t="n">
        <x:v>5007.8</x:v>
      </x:c>
      <x:c r="H895" s="13" t="n">
        <x:v>358</x:v>
      </x:c>
      <x:c r="I895" s="13" t="n">
        <x:f>YEAR(B895)</x:f>
        <x:v>2024</x:v>
      </x:c>
      <x:c r="J895" s="13" t="n">
        <x:f>MONTH(B895)</x:f>
        <x:v>9</x:v>
      </x:c>
      <x:c r="K895" s="14" t="n">
        <x:f>ROUND(E895*F895-G895,10)</x:f>
        <x:v>0</x:v>
      </x:c>
      <x:c r="L895" s="2"/>
      <x:c r="M895" s="2"/>
      <x:c r="N895" s="2"/>
      <x:c r="O895" s="2"/>
      <x:c r="P895" s="2"/>
      <x:c r="Q895" s="2"/>
      <x:c r="R895" s="2"/>
    </x:row>
    <x:row r="896" ht="22" customHeight="1">
      <x:c r="A896" s="2" t="n">
        <x:v>100890</x:v>
      </x:c>
      <x:c r="B896" s="10" t="n">
        <x:v>45275</x:v>
      </x:c>
      <x:c r="C896" s="2" t="str">
        <x:v>Colômbia</x:v>
      </x:c>
      <x:c r="D896" s="2" t="str">
        <x:v>Moda Infantil</x:v>
      </x:c>
      <x:c r="E896" s="11" t="n">
        <x:v>19</x:v>
      </x:c>
      <x:c r="F896" s="12" t="n">
        <x:v>155.56</x:v>
      </x:c>
      <x:c r="G896" s="12" t="n">
        <x:v>2955.64</x:v>
      </x:c>
      <x:c r="H896" s="13" t="n">
        <x:v>312</x:v>
      </x:c>
      <x:c r="I896" s="13" t="n">
        <x:f>YEAR(B896)</x:f>
        <x:v>2023</x:v>
      </x:c>
      <x:c r="J896" s="13" t="n">
        <x:f>MONTH(B896)</x:f>
        <x:v>12</x:v>
      </x:c>
      <x:c r="K896" s="14" t="n">
        <x:f>ROUND(E896*F896-G896,10)</x:f>
        <x:v>0</x:v>
      </x:c>
      <x:c r="L896" s="2"/>
      <x:c r="M896" s="2"/>
      <x:c r="N896" s="2"/>
      <x:c r="O896" s="2"/>
      <x:c r="P896" s="2"/>
      <x:c r="Q896" s="2"/>
      <x:c r="R896" s="2"/>
    </x:row>
    <x:row r="897" ht="22" customHeight="1">
      <x:c r="A897" s="2" t="n">
        <x:v>100891</x:v>
      </x:c>
      <x:c r="B897" s="10" t="n">
        <x:v>45516</x:v>
      </x:c>
      <x:c r="C897" s="2" t="str">
        <x:v>Brasil</x:v>
      </x:c>
      <x:c r="D897" s="2" t="str">
        <x:v>Moda Infantil</x:v>
      </x:c>
      <x:c r="E897" s="11" t="n">
        <x:v>20</x:v>
      </x:c>
      <x:c r="F897" s="12" t="n">
        <x:v>150.94</x:v>
      </x:c>
      <x:c r="G897" s="12" t="n">
        <x:v>3018.8</x:v>
      </x:c>
      <x:c r="H897" s="13" t="n">
        <x:v>146</x:v>
      </x:c>
      <x:c r="I897" s="13" t="n">
        <x:f>YEAR(B897)</x:f>
        <x:v>2024</x:v>
      </x:c>
      <x:c r="J897" s="13" t="n">
        <x:f>MONTH(B897)</x:f>
        <x:v>8</x:v>
      </x:c>
      <x:c r="K897" s="14" t="n">
        <x:f>ROUND(E897*F897-G897,10)</x:f>
        <x:v>0</x:v>
      </x:c>
      <x:c r="L897" s="2"/>
      <x:c r="M897" s="2"/>
      <x:c r="N897" s="2"/>
      <x:c r="O897" s="2"/>
      <x:c r="P897" s="2"/>
      <x:c r="Q897" s="2"/>
      <x:c r="R897" s="2"/>
    </x:row>
    <x:row r="898" ht="22" customHeight="1">
      <x:c r="A898" s="2" t="n">
        <x:v>100892</x:v>
      </x:c>
      <x:c r="B898" s="10" t="n">
        <x:v>45425</x:v>
      </x:c>
      <x:c r="C898" s="2" t="str">
        <x:v>Chile</x:v>
      </x:c>
      <x:c r="D898" s="2" t="str">
        <x:v>Moda Infantil</x:v>
      </x:c>
      <x:c r="E898" s="11" t="n">
        <x:v>36</x:v>
      </x:c>
      <x:c r="F898" s="12" t="n">
        <x:v>176.53</x:v>
      </x:c>
      <x:c r="G898" s="12" t="n">
        <x:v>6355.08</x:v>
      </x:c>
      <x:c r="H898" s="13" t="n">
        <x:v>162</x:v>
      </x:c>
      <x:c r="I898" s="13" t="n">
        <x:f>YEAR(B898)</x:f>
        <x:v>2024</x:v>
      </x:c>
      <x:c r="J898" s="13" t="n">
        <x:f>MONTH(B898)</x:f>
        <x:v>5</x:v>
      </x:c>
      <x:c r="K898" s="14" t="n">
        <x:f>ROUND(E898*F898-G898,10)</x:f>
        <x:v>0</x:v>
      </x:c>
      <x:c r="L898" s="2"/>
      <x:c r="M898" s="2"/>
      <x:c r="N898" s="2"/>
      <x:c r="O898" s="2"/>
      <x:c r="P898" s="2"/>
      <x:c r="Q898" s="2"/>
      <x:c r="R898" s="2"/>
    </x:row>
    <x:row r="899" ht="22" customHeight="1">
      <x:c r="A899" s="2" t="n">
        <x:v>100893</x:v>
      </x:c>
      <x:c r="B899" s="10" t="n">
        <x:v>45226</x:v>
      </x:c>
      <x:c r="C899" s="2" t="str">
        <x:v>Chile</x:v>
      </x:c>
      <x:c r="D899" s="2" t="str">
        <x:v>Moda Infantil</x:v>
      </x:c>
      <x:c r="E899" s="11" t="n">
        <x:v>35</x:v>
      </x:c>
      <x:c r="F899" s="12" t="n">
        <x:v>54.1</x:v>
      </x:c>
      <x:c r="G899" s="12" t="n">
        <x:v>1893.5</x:v>
      </x:c>
      <x:c r="H899" s="13" t="n">
        <x:v>174</x:v>
      </x:c>
      <x:c r="I899" s="13" t="n">
        <x:f>YEAR(B899)</x:f>
        <x:v>2023</x:v>
      </x:c>
      <x:c r="J899" s="13" t="n">
        <x:f>MONTH(B899)</x:f>
        <x:v>10</x:v>
      </x:c>
      <x:c r="K899" s="14" t="n">
        <x:f>ROUND(E899*F899-G899,10)</x:f>
        <x:v>0</x:v>
      </x:c>
      <x:c r="L899" s="2"/>
      <x:c r="M899" s="2"/>
      <x:c r="N899" s="2"/>
      <x:c r="O899" s="2"/>
      <x:c r="P899" s="2"/>
      <x:c r="Q899" s="2"/>
      <x:c r="R899" s="2"/>
    </x:row>
    <x:row r="900" ht="22" customHeight="1">
      <x:c r="A900" s="2" t="n">
        <x:v>100894</x:v>
      </x:c>
      <x:c r="B900" s="10" t="n">
        <x:v>45634</x:v>
      </x:c>
      <x:c r="C900" s="2" t="str">
        <x:v>Chile</x:v>
      </x:c>
      <x:c r="D900" s="2" t="str">
        <x:v>Moda Masculina</x:v>
      </x:c>
      <x:c r="E900" s="11" t="n">
        <x:v>32</x:v>
      </x:c>
      <x:c r="F900" s="12" t="n">
        <x:v>92.21</x:v>
      </x:c>
      <x:c r="G900" s="12" t="n">
        <x:v>2950.72</x:v>
      </x:c>
      <x:c r="H900" s="13" t="n">
        <x:v>485</x:v>
      </x:c>
      <x:c r="I900" s="13" t="n">
        <x:f>YEAR(B900)</x:f>
        <x:v>2024</x:v>
      </x:c>
      <x:c r="J900" s="13" t="n">
        <x:f>MONTH(B900)</x:f>
        <x:v>12</x:v>
      </x:c>
      <x:c r="K900" s="14" t="n">
        <x:f>ROUND(E900*F900-G900,10)</x:f>
        <x:v>0</x:v>
      </x:c>
      <x:c r="L900" s="2"/>
      <x:c r="M900" s="2"/>
      <x:c r="N900" s="2"/>
      <x:c r="O900" s="2"/>
      <x:c r="P900" s="2"/>
      <x:c r="Q900" s="2"/>
      <x:c r="R900" s="2"/>
    </x:row>
    <x:row r="901" ht="22" customHeight="1">
      <x:c r="A901" s="2" t="n">
        <x:v>100895</x:v>
      </x:c>
      <x:c r="B901" s="10" t="n">
        <x:v>45393</x:v>
      </x:c>
      <x:c r="C901" s="2" t="str">
        <x:v>México</x:v>
      </x:c>
      <x:c r="D901" s="2" t="str">
        <x:v>Acessórios</x:v>
      </x:c>
      <x:c r="E901" s="11" t="n">
        <x:v>48</x:v>
      </x:c>
      <x:c r="F901" s="12" t="n">
        <x:v>190.6</x:v>
      </x:c>
      <x:c r="G901" s="12" t="n">
        <x:v>9148.8</x:v>
      </x:c>
      <x:c r="H901" s="13" t="n">
        <x:v>181</x:v>
      </x:c>
      <x:c r="I901" s="13" t="n">
        <x:f>YEAR(B901)</x:f>
        <x:v>2024</x:v>
      </x:c>
      <x:c r="J901" s="13" t="n">
        <x:f>MONTH(B901)</x:f>
        <x:v>4</x:v>
      </x:c>
      <x:c r="K901" s="14" t="n">
        <x:f>ROUND(E901*F901-G901,10)</x:f>
        <x:v>0</x:v>
      </x:c>
      <x:c r="L901" s="2"/>
      <x:c r="M901" s="2"/>
      <x:c r="N901" s="2"/>
      <x:c r="O901" s="2"/>
      <x:c r="P901" s="2"/>
      <x:c r="Q901" s="2"/>
      <x:c r="R901" s="2"/>
    </x:row>
    <x:row r="902" ht="22" customHeight="1">
      <x:c r="A902" s="2" t="n">
        <x:v>100896</x:v>
      </x:c>
      <x:c r="B902" s="10" t="n">
        <x:v>45419</x:v>
      </x:c>
      <x:c r="C902" s="2" t="str">
        <x:v>Argentina</x:v>
      </x:c>
      <x:c r="D902" s="2" t="str">
        <x:v>Calçados</x:v>
      </x:c>
      <x:c r="E902" s="11" t="n">
        <x:v>44</x:v>
      </x:c>
      <x:c r="F902" s="12" t="n">
        <x:v>91.39</x:v>
      </x:c>
      <x:c r="G902" s="12" t="n">
        <x:v>4021.16</x:v>
      </x:c>
      <x:c r="H902" s="13" t="n">
        <x:v>467</x:v>
      </x:c>
      <x:c r="I902" s="13" t="n">
        <x:f>YEAR(B902)</x:f>
        <x:v>2024</x:v>
      </x:c>
      <x:c r="J902" s="13" t="n">
        <x:f>MONTH(B902)</x:f>
        <x:v>5</x:v>
      </x:c>
      <x:c r="K902" s="14" t="n">
        <x:f>ROUND(E902*F902-G902,10)</x:f>
        <x:v>0</x:v>
      </x:c>
      <x:c r="L902" s="2"/>
      <x:c r="M902" s="2"/>
      <x:c r="N902" s="2"/>
      <x:c r="O902" s="2"/>
      <x:c r="P902" s="2"/>
      <x:c r="Q902" s="2"/>
      <x:c r="R902" s="2"/>
    </x:row>
    <x:row r="903" ht="22" customHeight="1">
      <x:c r="A903" s="2" t="n">
        <x:v>100897</x:v>
      </x:c>
      <x:c r="B903" s="10" t="n">
        <x:v>45559</x:v>
      </x:c>
      <x:c r="C903" s="2" t="str">
        <x:v>México</x:v>
      </x:c>
      <x:c r="D903" s="2" t="str">
        <x:v>Moda Infantil</x:v>
      </x:c>
      <x:c r="E903" s="11" t="n">
        <x:v>40</x:v>
      </x:c>
      <x:c r="F903" s="12" t="n">
        <x:v>42.48</x:v>
      </x:c>
      <x:c r="G903" s="12" t="n">
        <x:v>1699.2</x:v>
      </x:c>
      <x:c r="H903" s="13" t="n">
        <x:v>466</x:v>
      </x:c>
      <x:c r="I903" s="13" t="n">
        <x:f>YEAR(B903)</x:f>
        <x:v>2024</x:v>
      </x:c>
      <x:c r="J903" s="13" t="n">
        <x:f>MONTH(B903)</x:f>
        <x:v>9</x:v>
      </x:c>
      <x:c r="K903" s="14" t="n">
        <x:f>ROUND(E903*F903-G903,10)</x:f>
        <x:v>0</x:v>
      </x:c>
      <x:c r="L903" s="2"/>
      <x:c r="M903" s="2"/>
      <x:c r="N903" s="2"/>
      <x:c r="O903" s="2"/>
      <x:c r="P903" s="2"/>
      <x:c r="Q903" s="2"/>
      <x:c r="R903" s="2"/>
    </x:row>
    <x:row r="904" ht="22" customHeight="1">
      <x:c r="A904" s="2" t="n">
        <x:v>100898</x:v>
      </x:c>
      <x:c r="B904" s="10" t="n">
        <x:v>45141</x:v>
      </x:c>
      <x:c r="C904" s="2" t="str">
        <x:v>Argentina</x:v>
      </x:c>
      <x:c r="D904" s="2" t="str">
        <x:v>Moda Infantil</x:v>
      </x:c>
      <x:c r="E904" s="11" t="n">
        <x:v>24</x:v>
      </x:c>
      <x:c r="F904" s="12" t="n">
        <x:v>114.58</x:v>
      </x:c>
      <x:c r="G904" s="12" t="n">
        <x:v>2749.92</x:v>
      </x:c>
      <x:c r="H904" s="13" t="n">
        <x:v>170</x:v>
      </x:c>
      <x:c r="I904" s="13" t="n">
        <x:f>YEAR(B904)</x:f>
        <x:v>2023</x:v>
      </x:c>
      <x:c r="J904" s="13" t="n">
        <x:f>MONTH(B904)</x:f>
        <x:v>8</x:v>
      </x:c>
      <x:c r="K904" s="14" t="n">
        <x:f>ROUND(E904*F904-G904,10)</x:f>
        <x:v>0</x:v>
      </x:c>
      <x:c r="L904" s="2"/>
      <x:c r="M904" s="2"/>
      <x:c r="N904" s="2"/>
      <x:c r="O904" s="2"/>
      <x:c r="P904" s="2"/>
      <x:c r="Q904" s="2"/>
      <x:c r="R904" s="2"/>
    </x:row>
    <x:row r="905" ht="22" customHeight="1">
      <x:c r="A905" s="2" t="n">
        <x:v>100899</x:v>
      </x:c>
      <x:c r="B905" s="10" t="n">
        <x:v>45569</x:v>
      </x:c>
      <x:c r="C905" s="2" t="str">
        <x:v>Chile</x:v>
      </x:c>
      <x:c r="D905" s="2" t="str">
        <x:v>Moda Infantil</x:v>
      </x:c>
      <x:c r="E905" s="11" t="n">
        <x:v>17</x:v>
      </x:c>
      <x:c r="F905" s="12" t="n">
        <x:v>39.71</x:v>
      </x:c>
      <x:c r="G905" s="12" t="n">
        <x:v>675.07</x:v>
      </x:c>
      <x:c r="H905" s="13" t="n">
        <x:v>246</x:v>
      </x:c>
      <x:c r="I905" s="13" t="n">
        <x:f>YEAR(B905)</x:f>
        <x:v>2024</x:v>
      </x:c>
      <x:c r="J905" s="13" t="n">
        <x:f>MONTH(B905)</x:f>
        <x:v>10</x:v>
      </x:c>
      <x:c r="K905" s="14" t="n">
        <x:f>ROUND(E905*F905-G905,10)</x:f>
        <x:v>0</x:v>
      </x:c>
      <x:c r="L905" s="2"/>
      <x:c r="M905" s="2"/>
      <x:c r="N905" s="2"/>
      <x:c r="O905" s="2"/>
      <x:c r="P905" s="2"/>
      <x:c r="Q905" s="2"/>
      <x:c r="R905" s="2"/>
    </x:row>
    <x:row r="906" ht="22" customHeight="1">
      <x:c r="A906" s="2" t="n">
        <x:v>100900</x:v>
      </x:c>
      <x:c r="B906" s="10" t="n">
        <x:v>44988</x:v>
      </x:c>
      <x:c r="C906" s="2" t="str">
        <x:v>Chile</x:v>
      </x:c>
      <x:c r="D906" s="2" t="str">
        <x:v>Acessórios</x:v>
      </x:c>
      <x:c r="E906" s="11" t="n">
        <x:v>7</x:v>
      </x:c>
      <x:c r="F906" s="12" t="n">
        <x:v>56.51</x:v>
      </x:c>
      <x:c r="G906" s="12" t="n">
        <x:v>395.57</x:v>
      </x:c>
      <x:c r="H906" s="13" t="n">
        <x:v>343</x:v>
      </x:c>
      <x:c r="I906" s="13" t="n">
        <x:f>YEAR(B906)</x:f>
        <x:v>2023</x:v>
      </x:c>
      <x:c r="J906" s="13" t="n">
        <x:f>MONTH(B906)</x:f>
        <x:v>3</x:v>
      </x:c>
      <x:c r="K906" s="14" t="n">
        <x:f>ROUND(E906*F906-G906,10)</x:f>
        <x:v>0</x:v>
      </x:c>
      <x:c r="L906" s="2"/>
      <x:c r="M906" s="2"/>
      <x:c r="N906" s="2"/>
      <x:c r="O906" s="2"/>
      <x:c r="P906" s="2"/>
      <x:c r="Q906" s="2"/>
      <x:c r="R906" s="2"/>
    </x:row>
    <x:row r="907" ht="22" customHeight="1">
      <x:c r="A907" s="2" t="n">
        <x:v>100901</x:v>
      </x:c>
      <x:c r="B907" s="10" t="n">
        <x:v>44960</x:v>
      </x:c>
      <x:c r="C907" s="2" t="str">
        <x:v>México</x:v>
      </x:c>
      <x:c r="D907" s="2" t="str">
        <x:v>Moda Feminina</x:v>
      </x:c>
      <x:c r="E907" s="11" t="n">
        <x:v>43</x:v>
      </x:c>
      <x:c r="F907" s="12" t="n">
        <x:v>199.7</x:v>
      </x:c>
      <x:c r="G907" s="12" t="n">
        <x:v>8587.1</x:v>
      </x:c>
      <x:c r="H907" s="13" t="n">
        <x:v>171</x:v>
      </x:c>
      <x:c r="I907" s="13" t="n">
        <x:f>YEAR(B907)</x:f>
        <x:v>2023</x:v>
      </x:c>
      <x:c r="J907" s="13" t="n">
        <x:f>MONTH(B907)</x:f>
        <x:v>2</x:v>
      </x:c>
      <x:c r="K907" s="14" t="n">
        <x:f>ROUND(E907*F907-G907,10)</x:f>
        <x:v>0</x:v>
      </x:c>
      <x:c r="L907" s="2"/>
      <x:c r="M907" s="2"/>
      <x:c r="N907" s="2"/>
      <x:c r="O907" s="2"/>
      <x:c r="P907" s="2"/>
      <x:c r="Q907" s="2"/>
      <x:c r="R907" s="2"/>
    </x:row>
    <x:row r="908" ht="22" customHeight="1">
      <x:c r="A908" s="2" t="n">
        <x:v>100902</x:v>
      </x:c>
      <x:c r="B908" s="10" t="n">
        <x:v>45111</x:v>
      </x:c>
      <x:c r="C908" s="2" t="str">
        <x:v>México</x:v>
      </x:c>
      <x:c r="D908" s="2" t="str">
        <x:v>Moda Feminina</x:v>
      </x:c>
      <x:c r="E908" s="11" t="n">
        <x:v>1</x:v>
      </x:c>
      <x:c r="F908" s="12" t="n">
        <x:v>117.45</x:v>
      </x:c>
      <x:c r="G908" s="12" t="n">
        <x:v>117.45</x:v>
      </x:c>
      <x:c r="H908" s="13" t="n">
        <x:v>331</x:v>
      </x:c>
      <x:c r="I908" s="13" t="n">
        <x:f>YEAR(B908)</x:f>
        <x:v>2023</x:v>
      </x:c>
      <x:c r="J908" s="13" t="n">
        <x:f>MONTH(B908)</x:f>
        <x:v>7</x:v>
      </x:c>
      <x:c r="K908" s="14" t="n">
        <x:f>ROUND(E908*F908-G908,10)</x:f>
        <x:v>0</x:v>
      </x:c>
      <x:c r="L908" s="2"/>
      <x:c r="M908" s="2"/>
      <x:c r="N908" s="2"/>
      <x:c r="O908" s="2"/>
      <x:c r="P908" s="2"/>
      <x:c r="Q908" s="2"/>
      <x:c r="R908" s="2"/>
    </x:row>
    <x:row r="909" ht="22" customHeight="1">
      <x:c r="A909" s="2" t="n">
        <x:v>100903</x:v>
      </x:c>
      <x:c r="B909" s="10" t="n">
        <x:v>45614</x:v>
      </x:c>
      <x:c r="C909" s="2" t="str">
        <x:v>Argentina</x:v>
      </x:c>
      <x:c r="D909" s="2" t="str">
        <x:v>Moda Masculina</x:v>
      </x:c>
      <x:c r="E909" s="11" t="n">
        <x:v>35</x:v>
      </x:c>
      <x:c r="F909" s="12" t="n">
        <x:v>71.13</x:v>
      </x:c>
      <x:c r="G909" s="12" t="n">
        <x:v>2489.55</x:v>
      </x:c>
      <x:c r="H909" s="13" t="n">
        <x:v>434</x:v>
      </x:c>
      <x:c r="I909" s="13" t="n">
        <x:f>YEAR(B909)</x:f>
        <x:v>2024</x:v>
      </x:c>
      <x:c r="J909" s="13" t="n">
        <x:f>MONTH(B909)</x:f>
        <x:v>11</x:v>
      </x:c>
      <x:c r="K909" s="14" t="n">
        <x:f>ROUND(E909*F909-G909,10)</x:f>
        <x:v>0</x:v>
      </x:c>
      <x:c r="L909" s="2"/>
      <x:c r="M909" s="2"/>
      <x:c r="N909" s="2"/>
      <x:c r="O909" s="2"/>
      <x:c r="P909" s="2"/>
      <x:c r="Q909" s="2"/>
      <x:c r="R909" s="2"/>
    </x:row>
    <x:row r="910" ht="22" customHeight="1">
      <x:c r="A910" s="2" t="n">
        <x:v>100904</x:v>
      </x:c>
      <x:c r="B910" s="10" t="n">
        <x:v>44976</x:v>
      </x:c>
      <x:c r="C910" s="2" t="str">
        <x:v>Colômbia</x:v>
      </x:c>
      <x:c r="D910" s="2" t="str">
        <x:v>Moda Feminina</x:v>
      </x:c>
      <x:c r="E910" s="11" t="n">
        <x:v>32</x:v>
      </x:c>
      <x:c r="F910" s="12" t="n">
        <x:v>199.06</x:v>
      </x:c>
      <x:c r="G910" s="12" t="n">
        <x:v>6369.92</x:v>
      </x:c>
      <x:c r="H910" s="13" t="n">
        <x:v>309</x:v>
      </x:c>
      <x:c r="I910" s="13" t="n">
        <x:f>YEAR(B910)</x:f>
        <x:v>2023</x:v>
      </x:c>
      <x:c r="J910" s="13" t="n">
        <x:f>MONTH(B910)</x:f>
        <x:v>2</x:v>
      </x:c>
      <x:c r="K910" s="14" t="n">
        <x:f>ROUND(E910*F910-G910,10)</x:f>
        <x:v>0</x:v>
      </x:c>
      <x:c r="L910" s="2"/>
      <x:c r="M910" s="2"/>
      <x:c r="N910" s="2"/>
      <x:c r="O910" s="2"/>
      <x:c r="P910" s="2"/>
      <x:c r="Q910" s="2"/>
      <x:c r="R910" s="2"/>
    </x:row>
    <x:row r="911" ht="22" customHeight="1">
      <x:c r="A911" s="2" t="n">
        <x:v>100905</x:v>
      </x:c>
      <x:c r="B911" s="10" t="n">
        <x:v>45299</x:v>
      </x:c>
      <x:c r="C911" s="2" t="str">
        <x:v>Argentina</x:v>
      </x:c>
      <x:c r="D911" s="2" t="str">
        <x:v>Moda Infantil</x:v>
      </x:c>
      <x:c r="E911" s="11" t="n">
        <x:v>36</x:v>
      </x:c>
      <x:c r="F911" s="12" t="n">
        <x:v>193.98</x:v>
      </x:c>
      <x:c r="G911" s="12" t="n">
        <x:v>6983.28</x:v>
      </x:c>
      <x:c r="H911" s="13" t="n">
        <x:v>88</x:v>
      </x:c>
      <x:c r="I911" s="13" t="n">
        <x:f>YEAR(B911)</x:f>
        <x:v>2024</x:v>
      </x:c>
      <x:c r="J911" s="13" t="n">
        <x:f>MONTH(B911)</x:f>
        <x:v>1</x:v>
      </x:c>
      <x:c r="K911" s="14" t="n">
        <x:f>ROUND(E911*F911-G911,10)</x:f>
        <x:v>0</x:v>
      </x:c>
      <x:c r="L911" s="2"/>
      <x:c r="M911" s="2"/>
      <x:c r="N911" s="2"/>
      <x:c r="O911" s="2"/>
      <x:c r="P911" s="2"/>
      <x:c r="Q911" s="2"/>
      <x:c r="R911" s="2"/>
    </x:row>
    <x:row r="912" ht="22" customHeight="1">
      <x:c r="A912" s="2" t="n">
        <x:v>100906</x:v>
      </x:c>
      <x:c r="B912" s="10" t="n">
        <x:v>44979</x:v>
      </x:c>
      <x:c r="C912" s="2" t="str">
        <x:v>México</x:v>
      </x:c>
      <x:c r="D912" s="2" t="str">
        <x:v>Moda Infantil</x:v>
      </x:c>
      <x:c r="E912" s="11" t="n">
        <x:v>13</x:v>
      </x:c>
      <x:c r="F912" s="12" t="n">
        <x:v>99.33</x:v>
      </x:c>
      <x:c r="G912" s="12" t="n">
        <x:v>1291.29</x:v>
      </x:c>
      <x:c r="H912" s="13" t="n">
        <x:v>103</x:v>
      </x:c>
      <x:c r="I912" s="13" t="n">
        <x:f>YEAR(B912)</x:f>
        <x:v>2023</x:v>
      </x:c>
      <x:c r="J912" s="13" t="n">
        <x:f>MONTH(B912)</x:f>
        <x:v>2</x:v>
      </x:c>
      <x:c r="K912" s="14" t="n">
        <x:f>ROUND(E912*F912-G912,10)</x:f>
        <x:v>0</x:v>
      </x:c>
      <x:c r="L912" s="2"/>
      <x:c r="M912" s="2"/>
      <x:c r="N912" s="2"/>
      <x:c r="O912" s="2"/>
      <x:c r="P912" s="2"/>
      <x:c r="Q912" s="2"/>
      <x:c r="R912" s="2"/>
    </x:row>
    <x:row r="913" ht="22" customHeight="1">
      <x:c r="A913" s="2" t="n">
        <x:v>100907</x:v>
      </x:c>
      <x:c r="B913" s="10" t="n">
        <x:v>44989</x:v>
      </x:c>
      <x:c r="C913" s="2" t="str">
        <x:v>Peru</x:v>
      </x:c>
      <x:c r="D913" s="2" t="str">
        <x:v>Moda Infantil</x:v>
      </x:c>
      <x:c r="E913" s="11" t="n">
        <x:v>6</x:v>
      </x:c>
      <x:c r="F913" s="12" t="n">
        <x:v>66.87</x:v>
      </x:c>
      <x:c r="G913" s="12" t="n">
        <x:v>401.22</x:v>
      </x:c>
      <x:c r="H913" s="13" t="n">
        <x:v>210</x:v>
      </x:c>
      <x:c r="I913" s="13" t="n">
        <x:f>YEAR(B913)</x:f>
        <x:v>2023</x:v>
      </x:c>
      <x:c r="J913" s="13" t="n">
        <x:f>MONTH(B913)</x:f>
        <x:v>3</x:v>
      </x:c>
      <x:c r="K913" s="14" t="n">
        <x:f>ROUND(E913*F913-G913,10)</x:f>
        <x:v>0</x:v>
      </x:c>
      <x:c r="L913" s="2"/>
      <x:c r="M913" s="2"/>
      <x:c r="N913" s="2"/>
      <x:c r="O913" s="2"/>
      <x:c r="P913" s="2"/>
      <x:c r="Q913" s="2"/>
      <x:c r="R913" s="2"/>
    </x:row>
    <x:row r="914" ht="22" customHeight="1">
      <x:c r="A914" s="2" t="n">
        <x:v>100908</x:v>
      </x:c>
      <x:c r="B914" s="10" t="n">
        <x:v>45145</x:v>
      </x:c>
      <x:c r="C914" s="2" t="str">
        <x:v>México</x:v>
      </x:c>
      <x:c r="D914" s="2" t="str">
        <x:v>Moda Masculina</x:v>
      </x:c>
      <x:c r="E914" s="11" t="n">
        <x:v>14</x:v>
      </x:c>
      <x:c r="F914" s="12" t="n">
        <x:v>170.91</x:v>
      </x:c>
      <x:c r="G914" s="12" t="n">
        <x:v>2392.74</x:v>
      </x:c>
      <x:c r="H914" s="13" t="n">
        <x:v>338</x:v>
      </x:c>
      <x:c r="I914" s="13" t="n">
        <x:f>YEAR(B914)</x:f>
        <x:v>2023</x:v>
      </x:c>
      <x:c r="J914" s="13" t="n">
        <x:f>MONTH(B914)</x:f>
        <x:v>8</x:v>
      </x:c>
      <x:c r="K914" s="14" t="n">
        <x:f>ROUND(E914*F914-G914,10)</x:f>
        <x:v>0</x:v>
      </x:c>
      <x:c r="L914" s="2"/>
      <x:c r="M914" s="2"/>
      <x:c r="N914" s="2"/>
      <x:c r="O914" s="2"/>
      <x:c r="P914" s="2"/>
      <x:c r="Q914" s="2"/>
      <x:c r="R914" s="2"/>
    </x:row>
    <x:row r="915" ht="22" customHeight="1">
      <x:c r="A915" s="2" t="n">
        <x:v>100909</x:v>
      </x:c>
      <x:c r="B915" s="10" t="n">
        <x:v>45498</x:v>
      </x:c>
      <x:c r="C915" s="2" t="str">
        <x:v>Peru</x:v>
      </x:c>
      <x:c r="D915" s="2" t="str">
        <x:v>Moda Infantil</x:v>
      </x:c>
      <x:c r="E915" s="11" t="n">
        <x:v>37</x:v>
      </x:c>
      <x:c r="F915" s="12" t="n">
        <x:v>148.81</x:v>
      </x:c>
      <x:c r="G915" s="12" t="n">
        <x:v>5505.97</x:v>
      </x:c>
      <x:c r="H915" s="13" t="n">
        <x:v>249</x:v>
      </x:c>
      <x:c r="I915" s="13" t="n">
        <x:f>YEAR(B915)</x:f>
        <x:v>2024</x:v>
      </x:c>
      <x:c r="J915" s="13" t="n">
        <x:f>MONTH(B915)</x:f>
        <x:v>7</x:v>
      </x:c>
      <x:c r="K915" s="14" t="n">
        <x:f>ROUND(E915*F915-G915,10)</x:f>
        <x:v>0</x:v>
      </x:c>
      <x:c r="L915" s="2"/>
      <x:c r="M915" s="2"/>
      <x:c r="N915" s="2"/>
      <x:c r="O915" s="2"/>
      <x:c r="P915" s="2"/>
      <x:c r="Q915" s="2"/>
      <x:c r="R915" s="2"/>
    </x:row>
    <x:row r="916" ht="22" customHeight="1">
      <x:c r="A916" s="2" t="n">
        <x:v>100910</x:v>
      </x:c>
      <x:c r="B916" s="10" t="n">
        <x:v>45121</x:v>
      </x:c>
      <x:c r="C916" s="2" t="str">
        <x:v>Brasil</x:v>
      </x:c>
      <x:c r="D916" s="2" t="str">
        <x:v>Moda Feminina</x:v>
      </x:c>
      <x:c r="E916" s="11" t="n">
        <x:v>48</x:v>
      </x:c>
      <x:c r="F916" s="12" t="n">
        <x:v>143.65</x:v>
      </x:c>
      <x:c r="G916" s="12" t="n">
        <x:v>6895.200000000001</x:v>
      </x:c>
      <x:c r="H916" s="13" t="n">
        <x:v>325</x:v>
      </x:c>
      <x:c r="I916" s="13" t="n">
        <x:f>YEAR(B916)</x:f>
        <x:v>2023</x:v>
      </x:c>
      <x:c r="J916" s="13" t="n">
        <x:f>MONTH(B916)</x:f>
        <x:v>7</x:v>
      </x:c>
      <x:c r="K916" s="14" t="n">
        <x:f>ROUND(E916*F916-G916,10)</x:f>
        <x:v>0</x:v>
      </x:c>
      <x:c r="L916" s="2"/>
      <x:c r="M916" s="2"/>
      <x:c r="N916" s="2"/>
      <x:c r="O916" s="2"/>
      <x:c r="P916" s="2"/>
      <x:c r="Q916" s="2"/>
      <x:c r="R916" s="2"/>
    </x:row>
    <x:row r="917" ht="22" customHeight="1">
      <x:c r="A917" s="2" t="n">
        <x:v>100911</x:v>
      </x:c>
      <x:c r="B917" s="10" t="n">
        <x:v>44943</x:v>
      </x:c>
      <x:c r="C917" s="2" t="str">
        <x:v>México</x:v>
      </x:c>
      <x:c r="D917" s="2" t="str">
        <x:v>Acessórios</x:v>
      </x:c>
      <x:c r="E917" s="11" t="n">
        <x:v>15</x:v>
      </x:c>
      <x:c r="F917" s="12" t="n">
        <x:v>180.76</x:v>
      </x:c>
      <x:c r="G917" s="12" t="n">
        <x:v>2711.4</x:v>
      </x:c>
      <x:c r="H917" s="13" t="n">
        <x:v>65</x:v>
      </x:c>
      <x:c r="I917" s="13" t="n">
        <x:f>YEAR(B917)</x:f>
        <x:v>2023</x:v>
      </x:c>
      <x:c r="J917" s="13" t="n">
        <x:f>MONTH(B917)</x:f>
        <x:v>1</x:v>
      </x:c>
      <x:c r="K917" s="14" t="n">
        <x:f>ROUND(E917*F917-G917,10)</x:f>
        <x:v>0</x:v>
      </x:c>
      <x:c r="L917" s="2"/>
      <x:c r="M917" s="2"/>
      <x:c r="N917" s="2"/>
      <x:c r="O917" s="2"/>
      <x:c r="P917" s="2"/>
      <x:c r="Q917" s="2"/>
      <x:c r="R917" s="2"/>
    </x:row>
    <x:row r="918" ht="22" customHeight="1">
      <x:c r="A918" s="2" t="n">
        <x:v>100912</x:v>
      </x:c>
      <x:c r="B918" s="10" t="n">
        <x:v>45261</x:v>
      </x:c>
      <x:c r="C918" s="2" t="str">
        <x:v>Brasil</x:v>
      </x:c>
      <x:c r="D918" s="2" t="str">
        <x:v>Acessórios</x:v>
      </x:c>
      <x:c r="E918" s="11" t="n">
        <x:v>47</x:v>
      </x:c>
      <x:c r="F918" s="12" t="n">
        <x:v>144.1</x:v>
      </x:c>
      <x:c r="G918" s="12" t="n">
        <x:v>6772.7</x:v>
      </x:c>
      <x:c r="H918" s="13" t="n">
        <x:v>454</x:v>
      </x:c>
      <x:c r="I918" s="13" t="n">
        <x:f>YEAR(B918)</x:f>
        <x:v>2023</x:v>
      </x:c>
      <x:c r="J918" s="13" t="n">
        <x:f>MONTH(B918)</x:f>
        <x:v>12</x:v>
      </x:c>
      <x:c r="K918" s="14" t="n">
        <x:f>ROUND(E918*F918-G918,10)</x:f>
        <x:v>0</x:v>
      </x:c>
      <x:c r="L918" s="2"/>
      <x:c r="M918" s="2"/>
      <x:c r="N918" s="2"/>
      <x:c r="O918" s="2"/>
      <x:c r="P918" s="2"/>
      <x:c r="Q918" s="2"/>
      <x:c r="R918" s="2"/>
    </x:row>
    <x:row r="919" ht="22" customHeight="1">
      <x:c r="A919" s="2" t="n">
        <x:v>100913</x:v>
      </x:c>
      <x:c r="B919" s="10" t="n">
        <x:v>45157</x:v>
      </x:c>
      <x:c r="C919" s="2" t="str">
        <x:v>Colômbia</x:v>
      </x:c>
      <x:c r="D919" s="2" t="str">
        <x:v>Calçados</x:v>
      </x:c>
      <x:c r="E919" s="11" t="n">
        <x:v>4</x:v>
      </x:c>
      <x:c r="F919" s="12" t="n">
        <x:v>71.08</x:v>
      </x:c>
      <x:c r="G919" s="12" t="n">
        <x:v>284.32</x:v>
      </x:c>
      <x:c r="H919" s="13" t="n">
        <x:v>222</x:v>
      </x:c>
      <x:c r="I919" s="13" t="n">
        <x:f>YEAR(B919)</x:f>
        <x:v>2023</x:v>
      </x:c>
      <x:c r="J919" s="13" t="n">
        <x:f>MONTH(B919)</x:f>
        <x:v>8</x:v>
      </x:c>
      <x:c r="K919" s="14" t="n">
        <x:f>ROUND(E919*F919-G919,10)</x:f>
        <x:v>0</x:v>
      </x:c>
      <x:c r="L919" s="2"/>
      <x:c r="M919" s="2"/>
      <x:c r="N919" s="2"/>
      <x:c r="O919" s="2"/>
      <x:c r="P919" s="2"/>
      <x:c r="Q919" s="2"/>
      <x:c r="R919" s="2"/>
    </x:row>
    <x:row r="920" ht="22" customHeight="1">
      <x:c r="A920" s="2" t="n">
        <x:v>100914</x:v>
      </x:c>
      <x:c r="B920" s="10" t="n">
        <x:v>45463</x:v>
      </x:c>
      <x:c r="C920" s="2" t="str">
        <x:v>Argentina</x:v>
      </x:c>
      <x:c r="D920" s="2" t="str">
        <x:v>Moda Feminina</x:v>
      </x:c>
      <x:c r="E920" s="11" t="n">
        <x:v>40</x:v>
      </x:c>
      <x:c r="F920" s="12" t="n">
        <x:v>144.9</x:v>
      </x:c>
      <x:c r="G920" s="12" t="n">
        <x:v>5796</x:v>
      </x:c>
      <x:c r="H920" s="13" t="n">
        <x:v>297</x:v>
      </x:c>
      <x:c r="I920" s="13" t="n">
        <x:f>YEAR(B920)</x:f>
        <x:v>2024</x:v>
      </x:c>
      <x:c r="J920" s="13" t="n">
        <x:f>MONTH(B920)</x:f>
        <x:v>6</x:v>
      </x:c>
      <x:c r="K920" s="14" t="n">
        <x:f>ROUND(E920*F920-G920,10)</x:f>
        <x:v>0</x:v>
      </x:c>
      <x:c r="L920" s="2"/>
      <x:c r="M920" s="2"/>
      <x:c r="N920" s="2"/>
      <x:c r="O920" s="2"/>
      <x:c r="P920" s="2"/>
      <x:c r="Q920" s="2"/>
      <x:c r="R920" s="2"/>
    </x:row>
    <x:row r="921" ht="22" customHeight="1">
      <x:c r="A921" s="2" t="n">
        <x:v>100915</x:v>
      </x:c>
      <x:c r="B921" s="10" t="n">
        <x:v>45591</x:v>
      </x:c>
      <x:c r="C921" s="2" t="str">
        <x:v>Peru</x:v>
      </x:c>
      <x:c r="D921" s="2" t="str">
        <x:v>Moda Infantil</x:v>
      </x:c>
      <x:c r="E921" s="11" t="n">
        <x:v>16</x:v>
      </x:c>
      <x:c r="F921" s="12" t="n">
        <x:v>75.05</x:v>
      </x:c>
      <x:c r="G921" s="12" t="n">
        <x:v>1200.8</x:v>
      </x:c>
      <x:c r="H921" s="13" t="n">
        <x:v>432</x:v>
      </x:c>
      <x:c r="I921" s="13" t="n">
        <x:f>YEAR(B921)</x:f>
        <x:v>2024</x:v>
      </x:c>
      <x:c r="J921" s="13" t="n">
        <x:f>MONTH(B921)</x:f>
        <x:v>10</x:v>
      </x:c>
      <x:c r="K921" s="14" t="n">
        <x:f>ROUND(E921*F921-G921,10)</x:f>
        <x:v>0</x:v>
      </x:c>
      <x:c r="L921" s="2"/>
      <x:c r="M921" s="2"/>
      <x:c r="N921" s="2"/>
      <x:c r="O921" s="2"/>
      <x:c r="P921" s="2"/>
      <x:c r="Q921" s="2"/>
      <x:c r="R921" s="2"/>
    </x:row>
    <x:row r="922" ht="22" customHeight="1">
      <x:c r="A922" s="2" t="n">
        <x:v>100916</x:v>
      </x:c>
      <x:c r="B922" s="10" t="n">
        <x:v>45186</x:v>
      </x:c>
      <x:c r="C922" s="2" t="str">
        <x:v>Argentina</x:v>
      </x:c>
      <x:c r="D922" s="2" t="str">
        <x:v>Acessórios</x:v>
      </x:c>
      <x:c r="E922" s="11" t="n">
        <x:v>28</x:v>
      </x:c>
      <x:c r="F922" s="12" t="n">
        <x:v>156.66</x:v>
      </x:c>
      <x:c r="G922" s="12" t="n">
        <x:v>4386.48</x:v>
      </x:c>
      <x:c r="H922" s="13" t="n">
        <x:v>267</x:v>
      </x:c>
      <x:c r="I922" s="13" t="n">
        <x:f>YEAR(B922)</x:f>
        <x:v>2023</x:v>
      </x:c>
      <x:c r="J922" s="13" t="n">
        <x:f>MONTH(B922)</x:f>
        <x:v>9</x:v>
      </x:c>
      <x:c r="K922" s="14" t="n">
        <x:f>ROUND(E922*F922-G922,10)</x:f>
        <x:v>0</x:v>
      </x:c>
      <x:c r="L922" s="2"/>
      <x:c r="M922" s="2"/>
      <x:c r="N922" s="2"/>
      <x:c r="O922" s="2"/>
      <x:c r="P922" s="2"/>
      <x:c r="Q922" s="2"/>
      <x:c r="R922" s="2"/>
    </x:row>
    <x:row r="923" ht="22" customHeight="1">
      <x:c r="A923" s="2" t="n">
        <x:v>100917</x:v>
      </x:c>
      <x:c r="B923" s="10" t="n">
        <x:v>45248</x:v>
      </x:c>
      <x:c r="C923" s="2" t="str">
        <x:v>Brasil</x:v>
      </x:c>
      <x:c r="D923" s="2" t="str">
        <x:v>Moda Feminina</x:v>
      </x:c>
      <x:c r="E923" s="11" t="n">
        <x:v>16</x:v>
      </x:c>
      <x:c r="F923" s="12" t="n">
        <x:v>131.55</x:v>
      </x:c>
      <x:c r="G923" s="12" t="n">
        <x:v>2104.8</x:v>
      </x:c>
      <x:c r="H923" s="13" t="n">
        <x:v>136</x:v>
      </x:c>
      <x:c r="I923" s="13" t="n">
        <x:f>YEAR(B923)</x:f>
        <x:v>2023</x:v>
      </x:c>
      <x:c r="J923" s="13" t="n">
        <x:f>MONTH(B923)</x:f>
        <x:v>11</x:v>
      </x:c>
      <x:c r="K923" s="14" t="n">
        <x:f>ROUND(E923*F923-G923,10)</x:f>
        <x:v>0</x:v>
      </x:c>
      <x:c r="L923" s="2"/>
      <x:c r="M923" s="2"/>
      <x:c r="N923" s="2"/>
      <x:c r="O923" s="2"/>
      <x:c r="P923" s="2"/>
      <x:c r="Q923" s="2"/>
      <x:c r="R923" s="2"/>
    </x:row>
    <x:row r="924" ht="22" customHeight="1">
      <x:c r="A924" s="2" t="n">
        <x:v>100918</x:v>
      </x:c>
      <x:c r="B924" s="10" t="n">
        <x:v>45023</x:v>
      </x:c>
      <x:c r="C924" s="2" t="str">
        <x:v>Peru</x:v>
      </x:c>
      <x:c r="D924" s="2" t="str">
        <x:v>Acessórios</x:v>
      </x:c>
      <x:c r="E924" s="11" t="n">
        <x:v>4</x:v>
      </x:c>
      <x:c r="F924" s="12" t="n">
        <x:v>33.93</x:v>
      </x:c>
      <x:c r="G924" s="12" t="n">
        <x:v>135.72</x:v>
      </x:c>
      <x:c r="H924" s="13" t="n">
        <x:v>131</x:v>
      </x:c>
      <x:c r="I924" s="13" t="n">
        <x:f>YEAR(B924)</x:f>
        <x:v>2023</x:v>
      </x:c>
      <x:c r="J924" s="13" t="n">
        <x:f>MONTH(B924)</x:f>
        <x:v>4</x:v>
      </x:c>
      <x:c r="K924" s="14" t="n">
        <x:f>ROUND(E924*F924-G924,10)</x:f>
        <x:v>0</x:v>
      </x:c>
      <x:c r="L924" s="2"/>
      <x:c r="M924" s="2"/>
      <x:c r="N924" s="2"/>
      <x:c r="O924" s="2"/>
      <x:c r="P924" s="2"/>
      <x:c r="Q924" s="2"/>
      <x:c r="R924" s="2"/>
    </x:row>
    <x:row r="925" ht="22" customHeight="1">
      <x:c r="A925" s="2" t="n">
        <x:v>100919</x:v>
      </x:c>
      <x:c r="B925" s="10" t="n">
        <x:v>45216</x:v>
      </x:c>
      <x:c r="C925" s="2" t="str">
        <x:v>Argentina</x:v>
      </x:c>
      <x:c r="D925" s="2" t="str">
        <x:v>Moda Infantil</x:v>
      </x:c>
      <x:c r="E925" s="11" t="n">
        <x:v>45</x:v>
      </x:c>
      <x:c r="F925" s="12" t="n">
        <x:v>112.31</x:v>
      </x:c>
      <x:c r="G925" s="12" t="n">
        <x:v>5053.95</x:v>
      </x:c>
      <x:c r="H925" s="13" t="n">
        <x:v>111</x:v>
      </x:c>
      <x:c r="I925" s="13" t="n">
        <x:f>YEAR(B925)</x:f>
        <x:v>2023</x:v>
      </x:c>
      <x:c r="J925" s="13" t="n">
        <x:f>MONTH(B925)</x:f>
        <x:v>10</x:v>
      </x:c>
      <x:c r="K925" s="14" t="n">
        <x:f>ROUND(E925*F925-G925,10)</x:f>
        <x:v>0</x:v>
      </x:c>
      <x:c r="L925" s="2"/>
      <x:c r="M925" s="2"/>
      <x:c r="N925" s="2"/>
      <x:c r="O925" s="2"/>
      <x:c r="P925" s="2"/>
      <x:c r="Q925" s="2"/>
      <x:c r="R925" s="2"/>
    </x:row>
    <x:row r="926" ht="22" customHeight="1">
      <x:c r="A926" s="2" t="n">
        <x:v>100920</x:v>
      </x:c>
      <x:c r="B926" s="10" t="n">
        <x:v>45620</x:v>
      </x:c>
      <x:c r="C926" s="2" t="str">
        <x:v>México</x:v>
      </x:c>
      <x:c r="D926" s="2" t="str">
        <x:v>Acessórios</x:v>
      </x:c>
      <x:c r="E926" s="11" t="n">
        <x:v>26</x:v>
      </x:c>
      <x:c r="F926" s="12" t="n">
        <x:v>81.79</x:v>
      </x:c>
      <x:c r="G926" s="12" t="n">
        <x:v>2126.54</x:v>
      </x:c>
      <x:c r="H926" s="13" t="n">
        <x:v>336</x:v>
      </x:c>
      <x:c r="I926" s="13" t="n">
        <x:f>YEAR(B926)</x:f>
        <x:v>2024</x:v>
      </x:c>
      <x:c r="J926" s="13" t="n">
        <x:f>MONTH(B926)</x:f>
        <x:v>11</x:v>
      </x:c>
      <x:c r="K926" s="14" t="n">
        <x:f>ROUND(E926*F926-G926,10)</x:f>
        <x:v>0</x:v>
      </x:c>
      <x:c r="L926" s="2"/>
      <x:c r="M926" s="2"/>
      <x:c r="N926" s="2"/>
      <x:c r="O926" s="2"/>
      <x:c r="P926" s="2"/>
      <x:c r="Q926" s="2"/>
      <x:c r="R926" s="2"/>
    </x:row>
    <x:row r="927" ht="22" customHeight="1">
      <x:c r="A927" s="2" t="n">
        <x:v>100921</x:v>
      </x:c>
      <x:c r="B927" s="10" t="n">
        <x:v>45638</x:v>
      </x:c>
      <x:c r="C927" s="2" t="str">
        <x:v>Chile</x:v>
      </x:c>
      <x:c r="D927" s="2" t="str">
        <x:v>Calçados</x:v>
      </x:c>
      <x:c r="E927" s="11" t="n">
        <x:v>28</x:v>
      </x:c>
      <x:c r="F927" s="12" t="n">
        <x:v>79.14</x:v>
      </x:c>
      <x:c r="G927" s="12" t="n">
        <x:v>2215.92</x:v>
      </x:c>
      <x:c r="H927" s="13" t="n">
        <x:v>91</x:v>
      </x:c>
      <x:c r="I927" s="13" t="n">
        <x:f>YEAR(B927)</x:f>
        <x:v>2024</x:v>
      </x:c>
      <x:c r="J927" s="13" t="n">
        <x:f>MONTH(B927)</x:f>
        <x:v>12</x:v>
      </x:c>
      <x:c r="K927" s="14" t="n">
        <x:f>ROUND(E927*F927-G927,10)</x:f>
        <x:v>0</x:v>
      </x:c>
      <x:c r="L927" s="2"/>
      <x:c r="M927" s="2"/>
      <x:c r="N927" s="2"/>
      <x:c r="O927" s="2"/>
      <x:c r="P927" s="2"/>
      <x:c r="Q927" s="2"/>
      <x:c r="R927" s="2"/>
    </x:row>
    <x:row r="928" ht="22" customHeight="1">
      <x:c r="A928" s="2" t="n">
        <x:v>100922</x:v>
      </x:c>
      <x:c r="B928" s="10" t="n">
        <x:v>45471</x:v>
      </x:c>
      <x:c r="C928" s="2" t="str">
        <x:v>Brasil</x:v>
      </x:c>
      <x:c r="D928" s="2" t="str">
        <x:v>Calçados</x:v>
      </x:c>
      <x:c r="E928" s="11" t="n">
        <x:v>32</x:v>
      </x:c>
      <x:c r="F928" s="12" t="n">
        <x:v>128.41</x:v>
      </x:c>
      <x:c r="G928" s="12" t="n">
        <x:v>4109.12</x:v>
      </x:c>
      <x:c r="H928" s="13" t="n">
        <x:v>61</x:v>
      </x:c>
      <x:c r="I928" s="13" t="n">
        <x:f>YEAR(B928)</x:f>
        <x:v>2024</x:v>
      </x:c>
      <x:c r="J928" s="13" t="n">
        <x:f>MONTH(B928)</x:f>
        <x:v>6</x:v>
      </x:c>
      <x:c r="K928" s="14" t="n">
        <x:f>ROUND(E928*F928-G928,10)</x:f>
        <x:v>0</x:v>
      </x:c>
      <x:c r="L928" s="2"/>
      <x:c r="M928" s="2"/>
      <x:c r="N928" s="2"/>
      <x:c r="O928" s="2"/>
      <x:c r="P928" s="2"/>
      <x:c r="Q928" s="2"/>
      <x:c r="R928" s="2"/>
    </x:row>
    <x:row r="929" ht="22" customHeight="1">
      <x:c r="A929" s="2" t="n">
        <x:v>100923</x:v>
      </x:c>
      <x:c r="B929" s="10" t="n">
        <x:v>45041</x:v>
      </x:c>
      <x:c r="C929" s="2" t="str">
        <x:v>Argentina</x:v>
      </x:c>
      <x:c r="D929" s="2" t="str">
        <x:v>Acessórios</x:v>
      </x:c>
      <x:c r="E929" s="11" t="n">
        <x:v>45</x:v>
      </x:c>
      <x:c r="F929" s="12" t="n">
        <x:v>78.02</x:v>
      </x:c>
      <x:c r="G929" s="12" t="n">
        <x:v>3510.9</x:v>
      </x:c>
      <x:c r="H929" s="13" t="n">
        <x:v>370</x:v>
      </x:c>
      <x:c r="I929" s="13" t="n">
        <x:f>YEAR(B929)</x:f>
        <x:v>2023</x:v>
      </x:c>
      <x:c r="J929" s="13" t="n">
        <x:f>MONTH(B929)</x:f>
        <x:v>4</x:v>
      </x:c>
      <x:c r="K929" s="14" t="n">
        <x:f>ROUND(E929*F929-G929,10)</x:f>
        <x:v>0</x:v>
      </x:c>
      <x:c r="L929" s="2"/>
      <x:c r="M929" s="2"/>
      <x:c r="N929" s="2"/>
      <x:c r="O929" s="2"/>
      <x:c r="P929" s="2"/>
      <x:c r="Q929" s="2"/>
      <x:c r="R929" s="2"/>
    </x:row>
    <x:row r="930" ht="22" customHeight="1">
      <x:c r="A930" s="2" t="n">
        <x:v>100924</x:v>
      </x:c>
      <x:c r="B930" s="10" t="n">
        <x:v>45067</x:v>
      </x:c>
      <x:c r="C930" s="2" t="str">
        <x:v>Brasil</x:v>
      </x:c>
      <x:c r="D930" s="2" t="str">
        <x:v>Moda Feminina</x:v>
      </x:c>
      <x:c r="E930" s="11" t="n">
        <x:v>2</x:v>
      </x:c>
      <x:c r="F930" s="12" t="n">
        <x:v>159.84</x:v>
      </x:c>
      <x:c r="G930" s="12" t="n">
        <x:v>319.68</x:v>
      </x:c>
      <x:c r="H930" s="13" t="n">
        <x:v>283</x:v>
      </x:c>
      <x:c r="I930" s="13" t="n">
        <x:f>YEAR(B930)</x:f>
        <x:v>2023</x:v>
      </x:c>
      <x:c r="J930" s="13" t="n">
        <x:f>MONTH(B930)</x:f>
        <x:v>5</x:v>
      </x:c>
      <x:c r="K930" s="14" t="n">
        <x:f>ROUND(E930*F930-G930,10)</x:f>
        <x:v>0</x:v>
      </x:c>
      <x:c r="L930" s="2"/>
      <x:c r="M930" s="2"/>
      <x:c r="N930" s="2"/>
      <x:c r="O930" s="2"/>
      <x:c r="P930" s="2"/>
      <x:c r="Q930" s="2"/>
      <x:c r="R930" s="2"/>
    </x:row>
    <x:row r="931" ht="22" customHeight="1">
      <x:c r="A931" s="2" t="n">
        <x:v>100925</x:v>
      </x:c>
      <x:c r="B931" s="10" t="n">
        <x:v>45335</x:v>
      </x:c>
      <x:c r="C931" s="2" t="str">
        <x:v>Brasil</x:v>
      </x:c>
      <x:c r="D931" s="2" t="str">
        <x:v>Moda Feminina</x:v>
      </x:c>
      <x:c r="E931" s="11" t="n">
        <x:v>31</x:v>
      </x:c>
      <x:c r="F931" s="12" t="n">
        <x:v>32.74</x:v>
      </x:c>
      <x:c r="G931" s="12" t="n">
        <x:v>1014.94</x:v>
      </x:c>
      <x:c r="H931" s="13" t="n">
        <x:v>378</x:v>
      </x:c>
      <x:c r="I931" s="13" t="n">
        <x:f>YEAR(B931)</x:f>
        <x:v>2024</x:v>
      </x:c>
      <x:c r="J931" s="13" t="n">
        <x:f>MONTH(B931)</x:f>
        <x:v>2</x:v>
      </x:c>
      <x:c r="K931" s="14" t="n">
        <x:f>ROUND(E931*F931-G931,10)</x:f>
        <x:v>0</x:v>
      </x:c>
      <x:c r="L931" s="2"/>
      <x:c r="M931" s="2"/>
      <x:c r="N931" s="2"/>
      <x:c r="O931" s="2"/>
      <x:c r="P931" s="2"/>
      <x:c r="Q931" s="2"/>
      <x:c r="R931" s="2"/>
    </x:row>
    <x:row r="932" ht="22" customHeight="1">
      <x:c r="A932" s="2" t="n">
        <x:v>100926</x:v>
      </x:c>
      <x:c r="B932" s="10" t="n">
        <x:v>45105</x:v>
      </x:c>
      <x:c r="C932" s="2" t="str">
        <x:v>Peru</x:v>
      </x:c>
      <x:c r="D932" s="2" t="str">
        <x:v>Moda Feminina</x:v>
      </x:c>
      <x:c r="E932" s="11" t="n">
        <x:v>3</x:v>
      </x:c>
      <x:c r="F932" s="12" t="n">
        <x:v>138.87</x:v>
      </x:c>
      <x:c r="G932" s="12" t="n">
        <x:v>416.61</x:v>
      </x:c>
      <x:c r="H932" s="13" t="n">
        <x:v>180</x:v>
      </x:c>
      <x:c r="I932" s="13" t="n">
        <x:f>YEAR(B932)</x:f>
        <x:v>2023</x:v>
      </x:c>
      <x:c r="J932" s="13" t="n">
        <x:f>MONTH(B932)</x:f>
        <x:v>6</x:v>
      </x:c>
      <x:c r="K932" s="14" t="n">
        <x:f>ROUND(E932*F932-G932,10)</x:f>
        <x:v>0</x:v>
      </x:c>
      <x:c r="L932" s="2"/>
      <x:c r="M932" s="2"/>
      <x:c r="N932" s="2"/>
      <x:c r="O932" s="2"/>
      <x:c r="P932" s="2"/>
      <x:c r="Q932" s="2"/>
      <x:c r="R932" s="2"/>
    </x:row>
    <x:row r="933" ht="22" customHeight="1">
      <x:c r="A933" s="2" t="n">
        <x:v>100927</x:v>
      </x:c>
      <x:c r="B933" s="10" t="n">
        <x:v>45013</x:v>
      </x:c>
      <x:c r="C933" s="2" t="str">
        <x:v>Peru</x:v>
      </x:c>
      <x:c r="D933" s="2" t="str">
        <x:v>Acessórios</x:v>
      </x:c>
      <x:c r="E933" s="11" t="n">
        <x:v>8</x:v>
      </x:c>
      <x:c r="F933" s="12" t="n">
        <x:v>165.66</x:v>
      </x:c>
      <x:c r="G933" s="12" t="n">
        <x:v>1325.28</x:v>
      </x:c>
      <x:c r="H933" s="13" t="n">
        <x:v>164</x:v>
      </x:c>
      <x:c r="I933" s="13" t="n">
        <x:f>YEAR(B933)</x:f>
        <x:v>2023</x:v>
      </x:c>
      <x:c r="J933" s="13" t="n">
        <x:f>MONTH(B933)</x:f>
        <x:v>3</x:v>
      </x:c>
      <x:c r="K933" s="14" t="n">
        <x:f>ROUND(E933*F933-G933,10)</x:f>
        <x:v>0</x:v>
      </x:c>
      <x:c r="L933" s="2"/>
      <x:c r="M933" s="2"/>
      <x:c r="N933" s="2"/>
      <x:c r="O933" s="2"/>
      <x:c r="P933" s="2"/>
      <x:c r="Q933" s="2"/>
      <x:c r="R933" s="2"/>
    </x:row>
    <x:row r="934" ht="22" customHeight="1">
      <x:c r="A934" s="2" t="n">
        <x:v>100928</x:v>
      </x:c>
      <x:c r="B934" s="10" t="n">
        <x:v>45401</x:v>
      </x:c>
      <x:c r="C934" s="2" t="str">
        <x:v>Chile</x:v>
      </x:c>
      <x:c r="D934" s="2" t="str">
        <x:v>Moda Feminina</x:v>
      </x:c>
      <x:c r="E934" s="11" t="n">
        <x:v>24</x:v>
      </x:c>
      <x:c r="F934" s="12" t="n">
        <x:v>141.11</x:v>
      </x:c>
      <x:c r="G934" s="12" t="n">
        <x:v>3386.64</x:v>
      </x:c>
      <x:c r="H934" s="13" t="n">
        <x:v>267</x:v>
      </x:c>
      <x:c r="I934" s="13" t="n">
        <x:f>YEAR(B934)</x:f>
        <x:v>2024</x:v>
      </x:c>
      <x:c r="J934" s="13" t="n">
        <x:f>MONTH(B934)</x:f>
        <x:v>4</x:v>
      </x:c>
      <x:c r="K934" s="14" t="n">
        <x:f>ROUND(E934*F934-G934,10)</x:f>
        <x:v>0</x:v>
      </x:c>
      <x:c r="L934" s="2"/>
      <x:c r="M934" s="2"/>
      <x:c r="N934" s="2"/>
      <x:c r="O934" s="2"/>
      <x:c r="P934" s="2"/>
      <x:c r="Q934" s="2"/>
      <x:c r="R934" s="2"/>
    </x:row>
    <x:row r="935" ht="22" customHeight="1">
      <x:c r="A935" s="2" t="n">
        <x:v>100929</x:v>
      </x:c>
      <x:c r="B935" s="10" t="n">
        <x:v>45333</x:v>
      </x:c>
      <x:c r="C935" s="2" t="str">
        <x:v>México</x:v>
      </x:c>
      <x:c r="D935" s="2" t="str">
        <x:v>Moda Infantil</x:v>
      </x:c>
      <x:c r="E935" s="11" t="n">
        <x:v>15</x:v>
      </x:c>
      <x:c r="F935" s="12" t="n">
        <x:v>109.5</x:v>
      </x:c>
      <x:c r="G935" s="12" t="n">
        <x:v>1642.5</x:v>
      </x:c>
      <x:c r="H935" s="13" t="n">
        <x:v>186</x:v>
      </x:c>
      <x:c r="I935" s="13" t="n">
        <x:f>YEAR(B935)</x:f>
        <x:v>2024</x:v>
      </x:c>
      <x:c r="J935" s="13" t="n">
        <x:f>MONTH(B935)</x:f>
        <x:v>2</x:v>
      </x:c>
      <x:c r="K935" s="14" t="n">
        <x:f>ROUND(E935*F935-G935,10)</x:f>
        <x:v>0</x:v>
      </x:c>
      <x:c r="L935" s="2"/>
      <x:c r="M935" s="2"/>
      <x:c r="N935" s="2"/>
      <x:c r="O935" s="2"/>
      <x:c r="P935" s="2"/>
      <x:c r="Q935" s="2"/>
      <x:c r="R935" s="2"/>
    </x:row>
    <x:row r="936" ht="22" customHeight="1">
      <x:c r="A936" s="2" t="n">
        <x:v>100930</x:v>
      </x:c>
      <x:c r="B936" s="10" t="n">
        <x:v>45239</x:v>
      </x:c>
      <x:c r="C936" s="2" t="str">
        <x:v>Brasil</x:v>
      </x:c>
      <x:c r="D936" s="2" t="str">
        <x:v>Calçados</x:v>
      </x:c>
      <x:c r="E936" s="11" t="n">
        <x:v>43</x:v>
      </x:c>
      <x:c r="F936" s="12" t="n">
        <x:v>191.06</x:v>
      </x:c>
      <x:c r="G936" s="12" t="n">
        <x:v>8215.58</x:v>
      </x:c>
      <x:c r="H936" s="13" t="n">
        <x:v>155</x:v>
      </x:c>
      <x:c r="I936" s="13" t="n">
        <x:f>YEAR(B936)</x:f>
        <x:v>2023</x:v>
      </x:c>
      <x:c r="J936" s="13" t="n">
        <x:f>MONTH(B936)</x:f>
        <x:v>11</x:v>
      </x:c>
      <x:c r="K936" s="14" t="n">
        <x:f>ROUND(E936*F936-G936,10)</x:f>
        <x:v>0</x:v>
      </x:c>
      <x:c r="L936" s="2"/>
      <x:c r="M936" s="2"/>
      <x:c r="N936" s="2"/>
      <x:c r="O936" s="2"/>
      <x:c r="P936" s="2"/>
      <x:c r="Q936" s="2"/>
      <x:c r="R936" s="2"/>
    </x:row>
    <x:row r="937" ht="22" customHeight="1">
      <x:c r="A937" s="2" t="n">
        <x:v>100931</x:v>
      </x:c>
      <x:c r="B937" s="10" t="n">
        <x:v>45006</x:v>
      </x:c>
      <x:c r="C937" s="2" t="str">
        <x:v>Argentina</x:v>
      </x:c>
      <x:c r="D937" s="2" t="str">
        <x:v>Moda Infantil</x:v>
      </x:c>
      <x:c r="E937" s="11" t="n">
        <x:v>31</x:v>
      </x:c>
      <x:c r="F937" s="12" t="n">
        <x:v>73.99</x:v>
      </x:c>
      <x:c r="G937" s="12" t="n">
        <x:v>2293.69</x:v>
      </x:c>
      <x:c r="H937" s="13" t="n">
        <x:v>228</x:v>
      </x:c>
      <x:c r="I937" s="13" t="n">
        <x:f>YEAR(B937)</x:f>
        <x:v>2023</x:v>
      </x:c>
      <x:c r="J937" s="13" t="n">
        <x:f>MONTH(B937)</x:f>
        <x:v>3</x:v>
      </x:c>
      <x:c r="K937" s="14" t="n">
        <x:f>ROUND(E937*F937-G937,10)</x:f>
        <x:v>0</x:v>
      </x:c>
      <x:c r="L937" s="2"/>
      <x:c r="M937" s="2"/>
      <x:c r="N937" s="2"/>
      <x:c r="O937" s="2"/>
      <x:c r="P937" s="2"/>
      <x:c r="Q937" s="2"/>
      <x:c r="R937" s="2"/>
    </x:row>
    <x:row r="938" ht="22" customHeight="1">
      <x:c r="A938" s="2" t="n">
        <x:v>100932</x:v>
      </x:c>
      <x:c r="B938" s="10" t="n">
        <x:v>45019</x:v>
      </x:c>
      <x:c r="C938" s="2" t="str">
        <x:v>Colômbia</x:v>
      </x:c>
      <x:c r="D938" s="2" t="str">
        <x:v>Moda Feminina</x:v>
      </x:c>
      <x:c r="E938" s="11" t="n">
        <x:v>9</x:v>
      </x:c>
      <x:c r="F938" s="12" t="n">
        <x:v>23.45</x:v>
      </x:c>
      <x:c r="G938" s="12" t="n">
        <x:v>211.05</x:v>
      </x:c>
      <x:c r="H938" s="13" t="n">
        <x:v>65</x:v>
      </x:c>
      <x:c r="I938" s="13" t="n">
        <x:f>YEAR(B938)</x:f>
        <x:v>2023</x:v>
      </x:c>
      <x:c r="J938" s="13" t="n">
        <x:f>MONTH(B938)</x:f>
        <x:v>4</x:v>
      </x:c>
      <x:c r="K938" s="14" t="n">
        <x:f>ROUND(E938*F938-G938,10)</x:f>
        <x:v>0</x:v>
      </x:c>
      <x:c r="L938" s="2"/>
      <x:c r="M938" s="2"/>
      <x:c r="N938" s="2"/>
      <x:c r="O938" s="2"/>
      <x:c r="P938" s="2"/>
      <x:c r="Q938" s="2"/>
      <x:c r="R938" s="2"/>
    </x:row>
    <x:row r="939" ht="22" customHeight="1">
      <x:c r="A939" s="2" t="n">
        <x:v>100933</x:v>
      </x:c>
      <x:c r="B939" s="10" t="n">
        <x:v>45484</x:v>
      </x:c>
      <x:c r="C939" s="2" t="str">
        <x:v>Brasil</x:v>
      </x:c>
      <x:c r="D939" s="2" t="str">
        <x:v>Moda Infantil</x:v>
      </x:c>
      <x:c r="E939" s="11" t="n">
        <x:v>39</x:v>
      </x:c>
      <x:c r="F939" s="12" t="n">
        <x:v>97.76</x:v>
      </x:c>
      <x:c r="G939" s="12" t="n">
        <x:v>3812.64</x:v>
      </x:c>
      <x:c r="H939" s="13" t="n">
        <x:v>291</x:v>
      </x:c>
      <x:c r="I939" s="13" t="n">
        <x:f>YEAR(B939)</x:f>
        <x:v>2024</x:v>
      </x:c>
      <x:c r="J939" s="13" t="n">
        <x:f>MONTH(B939)</x:f>
        <x:v>7</x:v>
      </x:c>
      <x:c r="K939" s="14" t="n">
        <x:f>ROUND(E939*F939-G939,10)</x:f>
        <x:v>0</x:v>
      </x:c>
      <x:c r="L939" s="2"/>
      <x:c r="M939" s="2"/>
      <x:c r="N939" s="2"/>
      <x:c r="O939" s="2"/>
      <x:c r="P939" s="2"/>
      <x:c r="Q939" s="2"/>
      <x:c r="R939" s="2"/>
    </x:row>
    <x:row r="940" ht="22" customHeight="1">
      <x:c r="A940" s="2" t="n">
        <x:v>100934</x:v>
      </x:c>
      <x:c r="B940" s="10" t="n">
        <x:v>45086</x:v>
      </x:c>
      <x:c r="C940" s="2" t="str">
        <x:v>Brasil</x:v>
      </x:c>
      <x:c r="D940" s="2" t="str">
        <x:v>Moda Feminina</x:v>
      </x:c>
      <x:c r="E940" s="11" t="n">
        <x:v>45</x:v>
      </x:c>
      <x:c r="F940" s="12" t="n">
        <x:v>25.94</x:v>
      </x:c>
      <x:c r="G940" s="12" t="n">
        <x:v>1167.3</x:v>
      </x:c>
      <x:c r="H940" s="13" t="n">
        <x:v>383</x:v>
      </x:c>
      <x:c r="I940" s="13" t="n">
        <x:f>YEAR(B940)</x:f>
        <x:v>2023</x:v>
      </x:c>
      <x:c r="J940" s="13" t="n">
        <x:f>MONTH(B940)</x:f>
        <x:v>6</x:v>
      </x:c>
      <x:c r="K940" s="14" t="n">
        <x:f>ROUND(E940*F940-G940,10)</x:f>
        <x:v>0</x:v>
      </x:c>
      <x:c r="L940" s="2"/>
      <x:c r="M940" s="2"/>
      <x:c r="N940" s="2"/>
      <x:c r="O940" s="2"/>
      <x:c r="P940" s="2"/>
      <x:c r="Q940" s="2"/>
      <x:c r="R940" s="2"/>
    </x:row>
    <x:row r="941" ht="22" customHeight="1">
      <x:c r="A941" s="2" t="n">
        <x:v>100935</x:v>
      </x:c>
      <x:c r="B941" s="10" t="n">
        <x:v>44960</x:v>
      </x:c>
      <x:c r="C941" s="2" t="str">
        <x:v>Chile</x:v>
      </x:c>
      <x:c r="D941" s="2" t="str">
        <x:v>Acessórios</x:v>
      </x:c>
      <x:c r="E941" s="11" t="n">
        <x:v>2</x:v>
      </x:c>
      <x:c r="F941" s="12" t="n">
        <x:v>191.71</x:v>
      </x:c>
      <x:c r="G941" s="12" t="n">
        <x:v>383.42</x:v>
      </x:c>
      <x:c r="H941" s="13" t="n">
        <x:v>430</x:v>
      </x:c>
      <x:c r="I941" s="13" t="n">
        <x:f>YEAR(B941)</x:f>
        <x:v>2023</x:v>
      </x:c>
      <x:c r="J941" s="13" t="n">
        <x:f>MONTH(B941)</x:f>
        <x:v>2</x:v>
      </x:c>
      <x:c r="K941" s="14" t="n">
        <x:f>ROUND(E941*F941-G941,10)</x:f>
        <x:v>0</x:v>
      </x:c>
      <x:c r="L941" s="2"/>
      <x:c r="M941" s="2"/>
      <x:c r="N941" s="2"/>
      <x:c r="O941" s="2"/>
      <x:c r="P941" s="2"/>
      <x:c r="Q941" s="2"/>
      <x:c r="R941" s="2"/>
    </x:row>
    <x:row r="942" ht="22" customHeight="1">
      <x:c r="A942" s="2" t="n">
        <x:v>100936</x:v>
      </x:c>
      <x:c r="B942" s="10" t="n">
        <x:v>44985</x:v>
      </x:c>
      <x:c r="C942" s="2" t="str">
        <x:v>México</x:v>
      </x:c>
      <x:c r="D942" s="2" t="str">
        <x:v>Moda Infantil</x:v>
      </x:c>
      <x:c r="E942" s="11" t="n">
        <x:v>8</x:v>
      </x:c>
      <x:c r="F942" s="12" t="n">
        <x:v>57.79</x:v>
      </x:c>
      <x:c r="G942" s="12" t="n">
        <x:v>462.32</x:v>
      </x:c>
      <x:c r="H942" s="13" t="n">
        <x:v>436</x:v>
      </x:c>
      <x:c r="I942" s="13" t="n">
        <x:f>YEAR(B942)</x:f>
        <x:v>2023</x:v>
      </x:c>
      <x:c r="J942" s="13" t="n">
        <x:f>MONTH(B942)</x:f>
        <x:v>2</x:v>
      </x:c>
      <x:c r="K942" s="14" t="n">
        <x:f>ROUND(E942*F942-G942,10)</x:f>
        <x:v>0</x:v>
      </x:c>
      <x:c r="L942" s="2"/>
      <x:c r="M942" s="2"/>
      <x:c r="N942" s="2"/>
      <x:c r="O942" s="2"/>
      <x:c r="P942" s="2"/>
      <x:c r="Q942" s="2"/>
      <x:c r="R942" s="2"/>
    </x:row>
    <x:row r="943" ht="22" customHeight="1">
      <x:c r="A943" s="2" t="n">
        <x:v>100937</x:v>
      </x:c>
      <x:c r="B943" s="10" t="n">
        <x:v>45507</x:v>
      </x:c>
      <x:c r="C943" s="2" t="str">
        <x:v>Colômbia</x:v>
      </x:c>
      <x:c r="D943" s="2" t="str">
        <x:v>Acessórios</x:v>
      </x:c>
      <x:c r="E943" s="11" t="n">
        <x:v>7</x:v>
      </x:c>
      <x:c r="F943" s="12" t="n">
        <x:v>162.01</x:v>
      </x:c>
      <x:c r="G943" s="12" t="n">
        <x:v>1134.07</x:v>
      </x:c>
      <x:c r="H943" s="13" t="n">
        <x:v>275</x:v>
      </x:c>
      <x:c r="I943" s="13" t="n">
        <x:f>YEAR(B943)</x:f>
        <x:v>2024</x:v>
      </x:c>
      <x:c r="J943" s="13" t="n">
        <x:f>MONTH(B943)</x:f>
        <x:v>8</x:v>
      </x:c>
      <x:c r="K943" s="14" t="n">
        <x:f>ROUND(E943*F943-G943,10)</x:f>
        <x:v>0</x:v>
      </x:c>
      <x:c r="L943" s="2"/>
      <x:c r="M943" s="2"/>
      <x:c r="N943" s="2"/>
      <x:c r="O943" s="2"/>
      <x:c r="P943" s="2"/>
      <x:c r="Q943" s="2"/>
      <x:c r="R943" s="2"/>
    </x:row>
    <x:row r="944" ht="22" customHeight="1">
      <x:c r="A944" s="2" t="n">
        <x:v>100938</x:v>
      </x:c>
      <x:c r="B944" s="10" t="n">
        <x:v>45092</x:v>
      </x:c>
      <x:c r="C944" s="2" t="str">
        <x:v>Peru</x:v>
      </x:c>
      <x:c r="D944" s="2" t="str">
        <x:v>Acessórios</x:v>
      </x:c>
      <x:c r="E944" s="11" t="n">
        <x:v>44</x:v>
      </x:c>
      <x:c r="F944" s="12" t="n">
        <x:v>159.42</x:v>
      </x:c>
      <x:c r="G944" s="12" t="n">
        <x:v>7014.48</x:v>
      </x:c>
      <x:c r="H944" s="13" t="n">
        <x:v>291</x:v>
      </x:c>
      <x:c r="I944" s="13" t="n">
        <x:f>YEAR(B944)</x:f>
        <x:v>2023</x:v>
      </x:c>
      <x:c r="J944" s="13" t="n">
        <x:f>MONTH(B944)</x:f>
        <x:v>6</x:v>
      </x:c>
      <x:c r="K944" s="14" t="n">
        <x:f>ROUND(E944*F944-G944,10)</x:f>
        <x:v>0</x:v>
      </x:c>
      <x:c r="L944" s="2"/>
      <x:c r="M944" s="2"/>
      <x:c r="N944" s="2"/>
      <x:c r="O944" s="2"/>
      <x:c r="P944" s="2"/>
      <x:c r="Q944" s="2"/>
      <x:c r="R944" s="2"/>
    </x:row>
    <x:row r="945" ht="22" customHeight="1">
      <x:c r="A945" s="2" t="n">
        <x:v>100939</x:v>
      </x:c>
      <x:c r="B945" s="10" t="n">
        <x:v>45254</x:v>
      </x:c>
      <x:c r="C945" s="2" t="str">
        <x:v>Peru</x:v>
      </x:c>
      <x:c r="D945" s="2" t="str">
        <x:v>Moda Masculina</x:v>
      </x:c>
      <x:c r="E945" s="11" t="n">
        <x:v>39</x:v>
      </x:c>
      <x:c r="F945" s="12" t="n">
        <x:v>59.19</x:v>
      </x:c>
      <x:c r="G945" s="12" t="n">
        <x:v>2308.41</x:v>
      </x:c>
      <x:c r="H945" s="13" t="n">
        <x:v>457</x:v>
      </x:c>
      <x:c r="I945" s="13" t="n">
        <x:f>YEAR(B945)</x:f>
        <x:v>2023</x:v>
      </x:c>
      <x:c r="J945" s="13" t="n">
        <x:f>MONTH(B945)</x:f>
        <x:v>11</x:v>
      </x:c>
      <x:c r="K945" s="14" t="n">
        <x:f>ROUND(E945*F945-G945,10)</x:f>
        <x:v>0</x:v>
      </x:c>
      <x:c r="L945" s="2"/>
      <x:c r="M945" s="2"/>
      <x:c r="N945" s="2"/>
      <x:c r="O945" s="2"/>
      <x:c r="P945" s="2"/>
      <x:c r="Q945" s="2"/>
      <x:c r="R945" s="2"/>
    </x:row>
    <x:row r="946" ht="22" customHeight="1">
      <x:c r="A946" s="2" t="n">
        <x:v>100940</x:v>
      </x:c>
      <x:c r="B946" s="10" t="n">
        <x:v>45184</x:v>
      </x:c>
      <x:c r="C946" s="2" t="str">
        <x:v>Argentina</x:v>
      </x:c>
      <x:c r="D946" s="2" t="str">
        <x:v>Moda Feminina</x:v>
      </x:c>
      <x:c r="E946" s="11" t="n">
        <x:v>42</x:v>
      </x:c>
      <x:c r="F946" s="12" t="n">
        <x:v>131.82</x:v>
      </x:c>
      <x:c r="G946" s="12" t="n">
        <x:v>5536.44</x:v>
      </x:c>
      <x:c r="H946" s="13" t="n">
        <x:v>190</x:v>
      </x:c>
      <x:c r="I946" s="13" t="n">
        <x:f>YEAR(B946)</x:f>
        <x:v>2023</x:v>
      </x:c>
      <x:c r="J946" s="13" t="n">
        <x:f>MONTH(B946)</x:f>
        <x:v>9</x:v>
      </x:c>
      <x:c r="K946" s="14" t="n">
        <x:f>ROUND(E946*F946-G946,10)</x:f>
        <x:v>0</x:v>
      </x:c>
      <x:c r="L946" s="2"/>
      <x:c r="M946" s="2"/>
      <x:c r="N946" s="2"/>
      <x:c r="O946" s="2"/>
      <x:c r="P946" s="2"/>
      <x:c r="Q946" s="2"/>
      <x:c r="R946" s="2"/>
    </x:row>
    <x:row r="947" ht="22" customHeight="1">
      <x:c r="A947" s="2" t="n">
        <x:v>100941</x:v>
      </x:c>
      <x:c r="B947" s="10" t="n">
        <x:v>45517</x:v>
      </x:c>
      <x:c r="C947" s="2" t="str">
        <x:v>Colômbia</x:v>
      </x:c>
      <x:c r="D947" s="2" t="str">
        <x:v>Calçados</x:v>
      </x:c>
      <x:c r="E947" s="11" t="n">
        <x:v>16</x:v>
      </x:c>
      <x:c r="F947" s="12" t="n">
        <x:v>28.65</x:v>
      </x:c>
      <x:c r="G947" s="12" t="n">
        <x:v>458.4</x:v>
      </x:c>
      <x:c r="H947" s="13" t="n">
        <x:v>435</x:v>
      </x:c>
      <x:c r="I947" s="13" t="n">
        <x:f>YEAR(B947)</x:f>
        <x:v>2024</x:v>
      </x:c>
      <x:c r="J947" s="13" t="n">
        <x:f>MONTH(B947)</x:f>
        <x:v>8</x:v>
      </x:c>
      <x:c r="K947" s="14" t="n">
        <x:f>ROUND(E947*F947-G947,10)</x:f>
        <x:v>0</x:v>
      </x:c>
      <x:c r="L947" s="2"/>
      <x:c r="M947" s="2"/>
      <x:c r="N947" s="2"/>
      <x:c r="O947" s="2"/>
      <x:c r="P947" s="2"/>
      <x:c r="Q947" s="2"/>
      <x:c r="R947" s="2"/>
    </x:row>
    <x:row r="948" ht="22" customHeight="1">
      <x:c r="A948" s="2" t="n">
        <x:v>100942</x:v>
      </x:c>
      <x:c r="B948" s="10" t="n">
        <x:v>45538</x:v>
      </x:c>
      <x:c r="C948" s="2" t="str">
        <x:v>Peru</x:v>
      </x:c>
      <x:c r="D948" s="2" t="str">
        <x:v>Moda Feminina</x:v>
      </x:c>
      <x:c r="E948" s="11" t="n">
        <x:v>35</x:v>
      </x:c>
      <x:c r="F948" s="12" t="n">
        <x:v>107.04</x:v>
      </x:c>
      <x:c r="G948" s="12" t="n">
        <x:v>3746.4</x:v>
      </x:c>
      <x:c r="H948" s="13" t="n">
        <x:v>248</x:v>
      </x:c>
      <x:c r="I948" s="13" t="n">
        <x:f>YEAR(B948)</x:f>
        <x:v>2024</x:v>
      </x:c>
      <x:c r="J948" s="13" t="n">
        <x:f>MONTH(B948)</x:f>
        <x:v>9</x:v>
      </x:c>
      <x:c r="K948" s="14" t="n">
        <x:f>ROUND(E948*F948-G948,10)</x:f>
        <x:v>0</x:v>
      </x:c>
      <x:c r="L948" s="2"/>
      <x:c r="M948" s="2"/>
      <x:c r="N948" s="2"/>
      <x:c r="O948" s="2"/>
      <x:c r="P948" s="2"/>
      <x:c r="Q948" s="2"/>
      <x:c r="R948" s="2"/>
    </x:row>
    <x:row r="949" ht="22" customHeight="1">
      <x:c r="A949" s="2" t="n">
        <x:v>100943</x:v>
      </x:c>
      <x:c r="B949" s="10" t="n">
        <x:v>45416</x:v>
      </x:c>
      <x:c r="C949" s="2" t="str">
        <x:v>Argentina</x:v>
      </x:c>
      <x:c r="D949" s="2" t="str">
        <x:v>Calçados</x:v>
      </x:c>
      <x:c r="E949" s="11" t="n">
        <x:v>30</x:v>
      </x:c>
      <x:c r="F949" s="12" t="n">
        <x:v>22.64</x:v>
      </x:c>
      <x:c r="G949" s="12" t="n">
        <x:v>679.2</x:v>
      </x:c>
      <x:c r="H949" s="13" t="n">
        <x:v>161</x:v>
      </x:c>
      <x:c r="I949" s="13" t="n">
        <x:f>YEAR(B949)</x:f>
        <x:v>2024</x:v>
      </x:c>
      <x:c r="J949" s="13" t="n">
        <x:f>MONTH(B949)</x:f>
        <x:v>5</x:v>
      </x:c>
      <x:c r="K949" s="14" t="n">
        <x:f>ROUND(E949*F949-G949,10)</x:f>
        <x:v>0</x:v>
      </x:c>
      <x:c r="L949" s="2"/>
      <x:c r="M949" s="2"/>
      <x:c r="N949" s="2"/>
      <x:c r="O949" s="2"/>
      <x:c r="P949" s="2"/>
      <x:c r="Q949" s="2"/>
      <x:c r="R949" s="2"/>
    </x:row>
    <x:row r="950" ht="22" customHeight="1">
      <x:c r="A950" s="2" t="n">
        <x:v>100944</x:v>
      </x:c>
      <x:c r="B950" s="10" t="n">
        <x:v>45093</x:v>
      </x:c>
      <x:c r="C950" s="2" t="str">
        <x:v>México</x:v>
      </x:c>
      <x:c r="D950" s="2" t="str">
        <x:v>Moda Feminina</x:v>
      </x:c>
      <x:c r="E950" s="11" t="n">
        <x:v>10</x:v>
      </x:c>
      <x:c r="F950" s="12" t="n">
        <x:v>185.81</x:v>
      </x:c>
      <x:c r="G950" s="12" t="n">
        <x:v>1858.1</x:v>
      </x:c>
      <x:c r="H950" s="13" t="n">
        <x:v>176</x:v>
      </x:c>
      <x:c r="I950" s="13" t="n">
        <x:f>YEAR(B950)</x:f>
        <x:v>2023</x:v>
      </x:c>
      <x:c r="J950" s="13" t="n">
        <x:f>MONTH(B950)</x:f>
        <x:v>6</x:v>
      </x:c>
      <x:c r="K950" s="14" t="n">
        <x:f>ROUND(E950*F950-G950,10)</x:f>
        <x:v>0</x:v>
      </x:c>
      <x:c r="L950" s="2"/>
      <x:c r="M950" s="2"/>
      <x:c r="N950" s="2"/>
      <x:c r="O950" s="2"/>
      <x:c r="P950" s="2"/>
      <x:c r="Q950" s="2"/>
      <x:c r="R950" s="2"/>
    </x:row>
    <x:row r="951" ht="22" customHeight="1">
      <x:c r="A951" s="2" t="n">
        <x:v>100945</x:v>
      </x:c>
      <x:c r="B951" s="10" t="n">
        <x:v>45273</x:v>
      </x:c>
      <x:c r="C951" s="2" t="str">
        <x:v>Argentina</x:v>
      </x:c>
      <x:c r="D951" s="2" t="str">
        <x:v>Acessórios</x:v>
      </x:c>
      <x:c r="E951" s="11" t="n">
        <x:v>38</x:v>
      </x:c>
      <x:c r="F951" s="12" t="n">
        <x:v>195.7</x:v>
      </x:c>
      <x:c r="G951" s="12" t="n">
        <x:v>7436.599999999999</x:v>
      </x:c>
      <x:c r="H951" s="13" t="n">
        <x:v>70</x:v>
      </x:c>
      <x:c r="I951" s="13" t="n">
        <x:f>YEAR(B951)</x:f>
        <x:v>2023</x:v>
      </x:c>
      <x:c r="J951" s="13" t="n">
        <x:f>MONTH(B951)</x:f>
        <x:v>12</x:v>
      </x:c>
      <x:c r="K951" s="14" t="n">
        <x:f>ROUND(E951*F951-G951,10)</x:f>
        <x:v>0</x:v>
      </x:c>
      <x:c r="L951" s="2"/>
      <x:c r="M951" s="2"/>
      <x:c r="N951" s="2"/>
      <x:c r="O951" s="2"/>
      <x:c r="P951" s="2"/>
      <x:c r="Q951" s="2"/>
      <x:c r="R951" s="2"/>
    </x:row>
    <x:row r="952" ht="22" customHeight="1">
      <x:c r="A952" s="2" t="n">
        <x:v>100946</x:v>
      </x:c>
      <x:c r="B952" s="10" t="n">
        <x:v>45350</x:v>
      </x:c>
      <x:c r="C952" s="2" t="str">
        <x:v>Peru</x:v>
      </x:c>
      <x:c r="D952" s="2" t="str">
        <x:v>Moda Infantil</x:v>
      </x:c>
      <x:c r="E952" s="11" t="n">
        <x:v>18</x:v>
      </x:c>
      <x:c r="F952" s="12" t="n">
        <x:v>60.01</x:v>
      </x:c>
      <x:c r="G952" s="12" t="n">
        <x:v>1080.18</x:v>
      </x:c>
      <x:c r="H952" s="13" t="n">
        <x:v>196</x:v>
      </x:c>
      <x:c r="I952" s="13" t="n">
        <x:f>YEAR(B952)</x:f>
        <x:v>2024</x:v>
      </x:c>
      <x:c r="J952" s="13" t="n">
        <x:f>MONTH(B952)</x:f>
        <x:v>2</x:v>
      </x:c>
      <x:c r="K952" s="14" t="n">
        <x:f>ROUND(E952*F952-G952,10)</x:f>
        <x:v>0</x:v>
      </x:c>
      <x:c r="L952" s="2"/>
      <x:c r="M952" s="2"/>
      <x:c r="N952" s="2"/>
      <x:c r="O952" s="2"/>
      <x:c r="P952" s="2"/>
      <x:c r="Q952" s="2"/>
      <x:c r="R952" s="2"/>
    </x:row>
    <x:row r="953" ht="22" customHeight="1">
      <x:c r="A953" s="2" t="n">
        <x:v>100947</x:v>
      </x:c>
      <x:c r="B953" s="10" t="n">
        <x:v>45121</x:v>
      </x:c>
      <x:c r="C953" s="2" t="str">
        <x:v>Chile</x:v>
      </x:c>
      <x:c r="D953" s="2" t="str">
        <x:v>Moda Infantil</x:v>
      </x:c>
      <x:c r="E953" s="11" t="n">
        <x:v>5</x:v>
      </x:c>
      <x:c r="F953" s="12" t="n">
        <x:v>57.46</x:v>
      </x:c>
      <x:c r="G953" s="12" t="n">
        <x:v>287.3</x:v>
      </x:c>
      <x:c r="H953" s="13" t="n">
        <x:v>138</x:v>
      </x:c>
      <x:c r="I953" s="13" t="n">
        <x:f>YEAR(B953)</x:f>
        <x:v>2023</x:v>
      </x:c>
      <x:c r="J953" s="13" t="n">
        <x:f>MONTH(B953)</x:f>
        <x:v>7</x:v>
      </x:c>
      <x:c r="K953" s="14" t="n">
        <x:f>ROUND(E953*F953-G953,10)</x:f>
        <x:v>0</x:v>
      </x:c>
      <x:c r="L953" s="2"/>
      <x:c r="M953" s="2"/>
      <x:c r="N953" s="2"/>
      <x:c r="O953" s="2"/>
      <x:c r="P953" s="2"/>
      <x:c r="Q953" s="2"/>
      <x:c r="R953" s="2"/>
    </x:row>
    <x:row r="954" ht="22" customHeight="1">
      <x:c r="A954" s="2" t="n">
        <x:v>100948</x:v>
      </x:c>
      <x:c r="B954" s="10" t="n">
        <x:v>45422</x:v>
      </x:c>
      <x:c r="C954" s="2" t="str">
        <x:v>Chile</x:v>
      </x:c>
      <x:c r="D954" s="2" t="str">
        <x:v>Moda Masculina</x:v>
      </x:c>
      <x:c r="E954" s="11" t="n">
        <x:v>29</x:v>
      </x:c>
      <x:c r="F954" s="12" t="n">
        <x:v>155.67</x:v>
      </x:c>
      <x:c r="G954" s="12" t="n">
        <x:v>4514.429999999999</x:v>
      </x:c>
      <x:c r="H954" s="13" t="n">
        <x:v>352</x:v>
      </x:c>
      <x:c r="I954" s="13" t="n">
        <x:f>YEAR(B954)</x:f>
        <x:v>2024</x:v>
      </x:c>
      <x:c r="J954" s="13" t="n">
        <x:f>MONTH(B954)</x:f>
        <x:v>5</x:v>
      </x:c>
      <x:c r="K954" s="14" t="n">
        <x:f>ROUND(E954*F954-G954,10)</x:f>
        <x:v>0</x:v>
      </x:c>
      <x:c r="L954" s="2"/>
      <x:c r="M954" s="2"/>
      <x:c r="N954" s="2"/>
      <x:c r="O954" s="2"/>
      <x:c r="P954" s="2"/>
      <x:c r="Q954" s="2"/>
      <x:c r="R954" s="2"/>
    </x:row>
    <x:row r="955" ht="22" customHeight="1">
      <x:c r="A955" s="2" t="n">
        <x:v>100949</x:v>
      </x:c>
      <x:c r="B955" s="10" t="n">
        <x:v>45101</x:v>
      </x:c>
      <x:c r="C955" s="2" t="str">
        <x:v>Chile</x:v>
      </x:c>
      <x:c r="D955" s="2" t="str">
        <x:v>Calçados</x:v>
      </x:c>
      <x:c r="E955" s="11" t="n">
        <x:v>39</x:v>
      </x:c>
      <x:c r="F955" s="12" t="n">
        <x:v>65.61</x:v>
      </x:c>
      <x:c r="G955" s="12" t="n">
        <x:v>2558.79</x:v>
      </x:c>
      <x:c r="H955" s="13" t="n">
        <x:v>455</x:v>
      </x:c>
      <x:c r="I955" s="13" t="n">
        <x:f>YEAR(B955)</x:f>
        <x:v>2023</x:v>
      </x:c>
      <x:c r="J955" s="13" t="n">
        <x:f>MONTH(B955)</x:f>
        <x:v>6</x:v>
      </x:c>
      <x:c r="K955" s="14" t="n">
        <x:f>ROUND(E955*F955-G955,10)</x:f>
        <x:v>0</x:v>
      </x:c>
      <x:c r="L955" s="2"/>
      <x:c r="M955" s="2"/>
      <x:c r="N955" s="2"/>
      <x:c r="O955" s="2"/>
      <x:c r="P955" s="2"/>
      <x:c r="Q955" s="2"/>
      <x:c r="R955" s="2"/>
    </x:row>
    <x:row r="956" ht="22" customHeight="1">
      <x:c r="A956" s="2" t="n">
        <x:v>100950</x:v>
      </x:c>
      <x:c r="B956" s="10" t="n">
        <x:v>45211</x:v>
      </x:c>
      <x:c r="C956" s="2" t="str">
        <x:v>Peru</x:v>
      </x:c>
      <x:c r="D956" s="2" t="str">
        <x:v>Calçados</x:v>
      </x:c>
      <x:c r="E956" s="11" t="n">
        <x:v>34</x:v>
      </x:c>
      <x:c r="F956" s="12" t="n">
        <x:v>181.11</x:v>
      </x:c>
      <x:c r="G956" s="12" t="n">
        <x:v>6157.740000000001</x:v>
      </x:c>
      <x:c r="H956" s="13" t="n">
        <x:v>252</x:v>
      </x:c>
      <x:c r="I956" s="13" t="n">
        <x:f>YEAR(B956)</x:f>
        <x:v>2023</x:v>
      </x:c>
      <x:c r="J956" s="13" t="n">
        <x:f>MONTH(B956)</x:f>
        <x:v>10</x:v>
      </x:c>
      <x:c r="K956" s="14" t="n">
        <x:f>ROUND(E956*F956-G956,10)</x:f>
        <x:v>0</x:v>
      </x:c>
      <x:c r="L956" s="2"/>
      <x:c r="M956" s="2"/>
      <x:c r="N956" s="2"/>
      <x:c r="O956" s="2"/>
      <x:c r="P956" s="2"/>
      <x:c r="Q956" s="2"/>
      <x:c r="R956" s="2"/>
    </x:row>
    <x:row r="957" ht="22" customHeight="1">
      <x:c r="A957" s="2" t="n">
        <x:v>100951</x:v>
      </x:c>
      <x:c r="B957" s="10" t="n">
        <x:v>45070</x:v>
      </x:c>
      <x:c r="C957" s="2" t="str">
        <x:v>Chile</x:v>
      </x:c>
      <x:c r="D957" s="2" t="str">
        <x:v>Calçados</x:v>
      </x:c>
      <x:c r="E957" s="11" t="n">
        <x:v>43</x:v>
      </x:c>
      <x:c r="F957" s="12" t="n">
        <x:v>123.31</x:v>
      </x:c>
      <x:c r="G957" s="12" t="n">
        <x:v>5302.33</x:v>
      </x:c>
      <x:c r="H957" s="13" t="n">
        <x:v>466</x:v>
      </x:c>
      <x:c r="I957" s="13" t="n">
        <x:f>YEAR(B957)</x:f>
        <x:v>2023</x:v>
      </x:c>
      <x:c r="J957" s="13" t="n">
        <x:f>MONTH(B957)</x:f>
        <x:v>5</x:v>
      </x:c>
      <x:c r="K957" s="14" t="n">
        <x:f>ROUND(E957*F957-G957,10)</x:f>
        <x:v>0</x:v>
      </x:c>
      <x:c r="L957" s="2"/>
      <x:c r="M957" s="2"/>
      <x:c r="N957" s="2"/>
      <x:c r="O957" s="2"/>
      <x:c r="P957" s="2"/>
      <x:c r="Q957" s="2"/>
      <x:c r="R957" s="2"/>
    </x:row>
    <x:row r="958" ht="22" customHeight="1">
      <x:c r="A958" s="2" t="n">
        <x:v>100952</x:v>
      </x:c>
      <x:c r="B958" s="10" t="n">
        <x:v>45100</x:v>
      </x:c>
      <x:c r="C958" s="2" t="str">
        <x:v>Colômbia</x:v>
      </x:c>
      <x:c r="D958" s="2" t="str">
        <x:v>Acessórios</x:v>
      </x:c>
      <x:c r="E958" s="11" t="n">
        <x:v>45</x:v>
      </x:c>
      <x:c r="F958" s="12" t="n">
        <x:v>83.14</x:v>
      </x:c>
      <x:c r="G958" s="12" t="n">
        <x:v>3741.3</x:v>
      </x:c>
      <x:c r="H958" s="13" t="n">
        <x:v>465</x:v>
      </x:c>
      <x:c r="I958" s="13" t="n">
        <x:f>YEAR(B958)</x:f>
        <x:v>2023</x:v>
      </x:c>
      <x:c r="J958" s="13" t="n">
        <x:f>MONTH(B958)</x:f>
        <x:v>6</x:v>
      </x:c>
      <x:c r="K958" s="14" t="n">
        <x:f>ROUND(E958*F958-G958,10)</x:f>
        <x:v>0</x:v>
      </x:c>
      <x:c r="L958" s="2"/>
      <x:c r="M958" s="2"/>
      <x:c r="N958" s="2"/>
      <x:c r="O958" s="2"/>
      <x:c r="P958" s="2"/>
      <x:c r="Q958" s="2"/>
      <x:c r="R958" s="2"/>
    </x:row>
    <x:row r="959" ht="22" customHeight="1">
      <x:c r="A959" s="2" t="n">
        <x:v>100953</x:v>
      </x:c>
      <x:c r="B959" s="10" t="n">
        <x:v>45265</x:v>
      </x:c>
      <x:c r="C959" s="2" t="str">
        <x:v>México</x:v>
      </x:c>
      <x:c r="D959" s="2" t="str">
        <x:v>Calçados</x:v>
      </x:c>
      <x:c r="E959" s="11" t="n">
        <x:v>23</x:v>
      </x:c>
      <x:c r="F959" s="12" t="n">
        <x:v>169.88</x:v>
      </x:c>
      <x:c r="G959" s="12" t="n">
        <x:v>3907.24</x:v>
      </x:c>
      <x:c r="H959" s="13" t="n">
        <x:v>497</x:v>
      </x:c>
      <x:c r="I959" s="13" t="n">
        <x:f>YEAR(B959)</x:f>
        <x:v>2023</x:v>
      </x:c>
      <x:c r="J959" s="13" t="n">
        <x:f>MONTH(B959)</x:f>
        <x:v>12</x:v>
      </x:c>
      <x:c r="K959" s="14" t="n">
        <x:f>ROUND(E959*F959-G959,10)</x:f>
        <x:v>0</x:v>
      </x:c>
      <x:c r="L959" s="2"/>
      <x:c r="M959" s="2"/>
      <x:c r="N959" s="2"/>
      <x:c r="O959" s="2"/>
      <x:c r="P959" s="2"/>
      <x:c r="Q959" s="2"/>
      <x:c r="R959" s="2"/>
    </x:row>
    <x:row r="960" ht="22" customHeight="1">
      <x:c r="A960" s="2" t="n">
        <x:v>100954</x:v>
      </x:c>
      <x:c r="B960" s="10" t="n">
        <x:v>45485</x:v>
      </x:c>
      <x:c r="C960" s="2" t="str">
        <x:v>Argentina</x:v>
      </x:c>
      <x:c r="D960" s="2" t="str">
        <x:v>Moda Infantil</x:v>
      </x:c>
      <x:c r="E960" s="11" t="n">
        <x:v>5</x:v>
      </x:c>
      <x:c r="F960" s="12" t="n">
        <x:v>108.81</x:v>
      </x:c>
      <x:c r="G960" s="12" t="n">
        <x:v>544.05</x:v>
      </x:c>
      <x:c r="H960" s="13" t="n">
        <x:v>134</x:v>
      </x:c>
      <x:c r="I960" s="13" t="n">
        <x:f>YEAR(B960)</x:f>
        <x:v>2024</x:v>
      </x:c>
      <x:c r="J960" s="13" t="n">
        <x:f>MONTH(B960)</x:f>
        <x:v>7</x:v>
      </x:c>
      <x:c r="K960" s="14" t="n">
        <x:f>ROUND(E960*F960-G960,10)</x:f>
        <x:v>0</x:v>
      </x:c>
      <x:c r="L960" s="2"/>
      <x:c r="M960" s="2"/>
      <x:c r="N960" s="2"/>
      <x:c r="O960" s="2"/>
      <x:c r="P960" s="2"/>
      <x:c r="Q960" s="2"/>
      <x:c r="R960" s="2"/>
    </x:row>
    <x:row r="961" ht="22" customHeight="1">
      <x:c r="A961" s="2" t="n">
        <x:v>100955</x:v>
      </x:c>
      <x:c r="B961" s="10" t="n">
        <x:v>44997</x:v>
      </x:c>
      <x:c r="C961" s="2" t="str">
        <x:v>Argentina</x:v>
      </x:c>
      <x:c r="D961" s="2" t="str">
        <x:v>Acessórios</x:v>
      </x:c>
      <x:c r="E961" s="11" t="n">
        <x:v>30</x:v>
      </x:c>
      <x:c r="F961" s="12" t="n">
        <x:v>184.09</x:v>
      </x:c>
      <x:c r="G961" s="12" t="n">
        <x:v>5522.7</x:v>
      </x:c>
      <x:c r="H961" s="13" t="n">
        <x:v>216</x:v>
      </x:c>
      <x:c r="I961" s="13" t="n">
        <x:f>YEAR(B961)</x:f>
        <x:v>2023</x:v>
      </x:c>
      <x:c r="J961" s="13" t="n">
        <x:f>MONTH(B961)</x:f>
        <x:v>3</x:v>
      </x:c>
      <x:c r="K961" s="14" t="n">
        <x:f>ROUND(E961*F961-G961,10)</x:f>
        <x:v>0</x:v>
      </x:c>
      <x:c r="L961" s="2"/>
      <x:c r="M961" s="2"/>
      <x:c r="N961" s="2"/>
      <x:c r="O961" s="2"/>
      <x:c r="P961" s="2"/>
      <x:c r="Q961" s="2"/>
      <x:c r="R961" s="2"/>
    </x:row>
    <x:row r="962" ht="22" customHeight="1">
      <x:c r="A962" s="2" t="n">
        <x:v>100956</x:v>
      </x:c>
      <x:c r="B962" s="10" t="n">
        <x:v>45643</x:v>
      </x:c>
      <x:c r="C962" s="2" t="str">
        <x:v>Peru</x:v>
      </x:c>
      <x:c r="D962" s="2" t="str">
        <x:v>Moda Feminina</x:v>
      </x:c>
      <x:c r="E962" s="11" t="n">
        <x:v>6</x:v>
      </x:c>
      <x:c r="F962" s="12" t="n">
        <x:v>187.04</x:v>
      </x:c>
      <x:c r="G962" s="12" t="n">
        <x:v>1122.24</x:v>
      </x:c>
      <x:c r="H962" s="13" t="n">
        <x:v>433</x:v>
      </x:c>
      <x:c r="I962" s="13" t="n">
        <x:f>YEAR(B962)</x:f>
        <x:v>2024</x:v>
      </x:c>
      <x:c r="J962" s="13" t="n">
        <x:f>MONTH(B962)</x:f>
        <x:v>12</x:v>
      </x:c>
      <x:c r="K962" s="14" t="n">
        <x:f>ROUND(E962*F962-G962,10)</x:f>
        <x:v>0</x:v>
      </x:c>
      <x:c r="L962" s="2"/>
      <x:c r="M962" s="2"/>
      <x:c r="N962" s="2"/>
      <x:c r="O962" s="2"/>
      <x:c r="P962" s="2"/>
      <x:c r="Q962" s="2"/>
      <x:c r="R962" s="2"/>
    </x:row>
    <x:row r="963" ht="22" customHeight="1">
      <x:c r="A963" s="2" t="n">
        <x:v>100957</x:v>
      </x:c>
      <x:c r="B963" s="10" t="n">
        <x:v>45235</x:v>
      </x:c>
      <x:c r="C963" s="2" t="str">
        <x:v>Chile</x:v>
      </x:c>
      <x:c r="D963" s="2" t="str">
        <x:v>Calçados</x:v>
      </x:c>
      <x:c r="E963" s="11" t="n">
        <x:v>46</x:v>
      </x:c>
      <x:c r="F963" s="12" t="n">
        <x:v>49.78</x:v>
      </x:c>
      <x:c r="G963" s="12" t="n">
        <x:v>2289.88</x:v>
      </x:c>
      <x:c r="H963" s="13" t="n">
        <x:v>121</x:v>
      </x:c>
      <x:c r="I963" s="13" t="n">
        <x:f>YEAR(B963)</x:f>
        <x:v>2023</x:v>
      </x:c>
      <x:c r="J963" s="13" t="n">
        <x:f>MONTH(B963)</x:f>
        <x:v>11</x:v>
      </x:c>
      <x:c r="K963" s="14" t="n">
        <x:f>ROUND(E963*F963-G963,10)</x:f>
        <x:v>0</x:v>
      </x:c>
      <x:c r="L963" s="2"/>
      <x:c r="M963" s="2"/>
      <x:c r="N963" s="2"/>
      <x:c r="O963" s="2"/>
      <x:c r="P963" s="2"/>
      <x:c r="Q963" s="2"/>
      <x:c r="R963" s="2"/>
    </x:row>
    <x:row r="964" ht="22" customHeight="1">
      <x:c r="A964" s="2" t="n">
        <x:v>100958</x:v>
      </x:c>
      <x:c r="B964" s="10" t="n">
        <x:v>45217</x:v>
      </x:c>
      <x:c r="C964" s="2" t="str">
        <x:v>Chile</x:v>
      </x:c>
      <x:c r="D964" s="2" t="str">
        <x:v>Calçados</x:v>
      </x:c>
      <x:c r="E964" s="11" t="n">
        <x:v>44</x:v>
      </x:c>
      <x:c r="F964" s="12" t="n">
        <x:v>20.42</x:v>
      </x:c>
      <x:c r="G964" s="12" t="n">
        <x:v>898.48</x:v>
      </x:c>
      <x:c r="H964" s="13" t="n">
        <x:v>347</x:v>
      </x:c>
      <x:c r="I964" s="13" t="n">
        <x:f>YEAR(B964)</x:f>
        <x:v>2023</x:v>
      </x:c>
      <x:c r="J964" s="13" t="n">
        <x:f>MONTH(B964)</x:f>
        <x:v>10</x:v>
      </x:c>
      <x:c r="K964" s="14" t="n">
        <x:f>ROUND(E964*F964-G964,10)</x:f>
        <x:v>0</x:v>
      </x:c>
      <x:c r="L964" s="2"/>
      <x:c r="M964" s="2"/>
      <x:c r="N964" s="2"/>
      <x:c r="O964" s="2"/>
      <x:c r="P964" s="2"/>
      <x:c r="Q964" s="2"/>
      <x:c r="R964" s="2"/>
    </x:row>
    <x:row r="965" ht="22" customHeight="1">
      <x:c r="A965" s="2" t="n">
        <x:v>100959</x:v>
      </x:c>
      <x:c r="B965" s="10" t="n">
        <x:v>44989</x:v>
      </x:c>
      <x:c r="C965" s="2" t="str">
        <x:v>Brasil</x:v>
      </x:c>
      <x:c r="D965" s="2" t="str">
        <x:v>Moda Feminina</x:v>
      </x:c>
      <x:c r="E965" s="11" t="n">
        <x:v>4</x:v>
      </x:c>
      <x:c r="F965" s="12" t="n">
        <x:v>197.11</x:v>
      </x:c>
      <x:c r="G965" s="12" t="n">
        <x:v>788.44</x:v>
      </x:c>
      <x:c r="H965" s="13" t="n">
        <x:v>58</x:v>
      </x:c>
      <x:c r="I965" s="13" t="n">
        <x:f>YEAR(B965)</x:f>
        <x:v>2023</x:v>
      </x:c>
      <x:c r="J965" s="13" t="n">
        <x:f>MONTH(B965)</x:f>
        <x:v>3</x:v>
      </x:c>
      <x:c r="K965" s="14" t="n">
        <x:f>ROUND(E965*F965-G965,10)</x:f>
        <x:v>0</x:v>
      </x:c>
      <x:c r="L965" s="2"/>
      <x:c r="M965" s="2"/>
      <x:c r="N965" s="2"/>
      <x:c r="O965" s="2"/>
      <x:c r="P965" s="2"/>
      <x:c r="Q965" s="2"/>
      <x:c r="R965" s="2"/>
    </x:row>
    <x:row r="966" ht="22" customHeight="1">
      <x:c r="A966" s="2" t="n">
        <x:v>100960</x:v>
      </x:c>
      <x:c r="B966" s="10" t="n">
        <x:v>45294</x:v>
      </x:c>
      <x:c r="C966" s="2" t="str">
        <x:v>México</x:v>
      </x:c>
      <x:c r="D966" s="2" t="str">
        <x:v>Calçados</x:v>
      </x:c>
      <x:c r="E966" s="11" t="n">
        <x:v>29</x:v>
      </x:c>
      <x:c r="F966" s="12" t="n">
        <x:v>183.1</x:v>
      </x:c>
      <x:c r="G966" s="12" t="n">
        <x:v>5309.9</x:v>
      </x:c>
      <x:c r="H966" s="13" t="n">
        <x:v>330</x:v>
      </x:c>
      <x:c r="I966" s="13" t="n">
        <x:f>YEAR(B966)</x:f>
        <x:v>2024</x:v>
      </x:c>
      <x:c r="J966" s="13" t="n">
        <x:f>MONTH(B966)</x:f>
        <x:v>1</x:v>
      </x:c>
      <x:c r="K966" s="14" t="n">
        <x:f>ROUND(E966*F966-G966,10)</x:f>
        <x:v>0</x:v>
      </x:c>
      <x:c r="L966" s="2"/>
      <x:c r="M966" s="2"/>
      <x:c r="N966" s="2"/>
      <x:c r="O966" s="2"/>
      <x:c r="P966" s="2"/>
      <x:c r="Q966" s="2"/>
      <x:c r="R966" s="2"/>
    </x:row>
    <x:row r="967" ht="22" customHeight="1">
      <x:c r="A967" s="2" t="n">
        <x:v>100961</x:v>
      </x:c>
      <x:c r="B967" s="10" t="n">
        <x:v>45328</x:v>
      </x:c>
      <x:c r="C967" s="2" t="str">
        <x:v>Colômbia</x:v>
      </x:c>
      <x:c r="D967" s="2" t="str">
        <x:v>Moda Feminina</x:v>
      </x:c>
      <x:c r="E967" s="11" t="n">
        <x:v>23</x:v>
      </x:c>
      <x:c r="F967" s="12" t="n">
        <x:v>29.98</x:v>
      </x:c>
      <x:c r="G967" s="12" t="n">
        <x:v>689.54</x:v>
      </x:c>
      <x:c r="H967" s="13" t="n">
        <x:v>307</x:v>
      </x:c>
      <x:c r="I967" s="13" t="n">
        <x:f>YEAR(B967)</x:f>
        <x:v>2024</x:v>
      </x:c>
      <x:c r="J967" s="13" t="n">
        <x:f>MONTH(B967)</x:f>
        <x:v>2</x:v>
      </x:c>
      <x:c r="K967" s="14" t="n">
        <x:f>ROUND(E967*F967-G967,10)</x:f>
        <x:v>0</x:v>
      </x:c>
      <x:c r="L967" s="2"/>
      <x:c r="M967" s="2"/>
      <x:c r="N967" s="2"/>
      <x:c r="O967" s="2"/>
      <x:c r="P967" s="2"/>
      <x:c r="Q967" s="2"/>
      <x:c r="R967" s="2"/>
    </x:row>
    <x:row r="968" ht="22" customHeight="1">
      <x:c r="A968" s="2" t="n">
        <x:v>100962</x:v>
      </x:c>
      <x:c r="B968" s="10" t="n">
        <x:v>45341</x:v>
      </x:c>
      <x:c r="C968" s="2" t="str">
        <x:v>Argentina</x:v>
      </x:c>
      <x:c r="D968" s="2" t="str">
        <x:v>Acessórios</x:v>
      </x:c>
      <x:c r="E968" s="11" t="n">
        <x:v>6</x:v>
      </x:c>
      <x:c r="F968" s="12" t="n">
        <x:v>169.95</x:v>
      </x:c>
      <x:c r="G968" s="12" t="n">
        <x:v>1019.7</x:v>
      </x:c>
      <x:c r="H968" s="13" t="n">
        <x:v>324</x:v>
      </x:c>
      <x:c r="I968" s="13" t="n">
        <x:f>YEAR(B968)</x:f>
        <x:v>2024</x:v>
      </x:c>
      <x:c r="J968" s="13" t="n">
        <x:f>MONTH(B968)</x:f>
        <x:v>2</x:v>
      </x:c>
      <x:c r="K968" s="14" t="n">
        <x:f>ROUND(E968*F968-G968,10)</x:f>
        <x:v>0</x:v>
      </x:c>
      <x:c r="L968" s="2"/>
      <x:c r="M968" s="2"/>
      <x:c r="N968" s="2"/>
      <x:c r="O968" s="2"/>
      <x:c r="P968" s="2"/>
      <x:c r="Q968" s="2"/>
      <x:c r="R968" s="2"/>
    </x:row>
    <x:row r="969" ht="22" customHeight="1">
      <x:c r="A969" s="2" t="n">
        <x:v>100963</x:v>
      </x:c>
      <x:c r="B969" s="10" t="n">
        <x:v>45159</x:v>
      </x:c>
      <x:c r="C969" s="2" t="str">
        <x:v>Brasil</x:v>
      </x:c>
      <x:c r="D969" s="2" t="str">
        <x:v>Moda Infantil</x:v>
      </x:c>
      <x:c r="E969" s="11" t="n">
        <x:v>32</x:v>
      </x:c>
      <x:c r="F969" s="12" t="n">
        <x:v>102.4</x:v>
      </x:c>
      <x:c r="G969" s="12" t="n">
        <x:v>3276.8</x:v>
      </x:c>
      <x:c r="H969" s="13" t="n">
        <x:v>287</x:v>
      </x:c>
      <x:c r="I969" s="13" t="n">
        <x:f>YEAR(B969)</x:f>
        <x:v>2023</x:v>
      </x:c>
      <x:c r="J969" s="13" t="n">
        <x:f>MONTH(B969)</x:f>
        <x:v>8</x:v>
      </x:c>
      <x:c r="K969" s="14" t="n">
        <x:f>ROUND(E969*F969-G969,10)</x:f>
        <x:v>0</x:v>
      </x:c>
      <x:c r="L969" s="2"/>
      <x:c r="M969" s="2"/>
      <x:c r="N969" s="2"/>
      <x:c r="O969" s="2"/>
      <x:c r="P969" s="2"/>
      <x:c r="Q969" s="2"/>
      <x:c r="R969" s="2"/>
    </x:row>
    <x:row r="970" ht="22" customHeight="1">
      <x:c r="A970" s="2" t="n">
        <x:v>100964</x:v>
      </x:c>
      <x:c r="B970" s="10" t="n">
        <x:v>45447</x:v>
      </x:c>
      <x:c r="C970" s="2" t="str">
        <x:v>Brasil</x:v>
      </x:c>
      <x:c r="D970" s="2" t="str">
        <x:v>Moda Feminina</x:v>
      </x:c>
      <x:c r="E970" s="11" t="n">
        <x:v>42</x:v>
      </x:c>
      <x:c r="F970" s="12" t="n">
        <x:v>66.61</x:v>
      </x:c>
      <x:c r="G970" s="12" t="n">
        <x:v>2797.62</x:v>
      </x:c>
      <x:c r="H970" s="13" t="n">
        <x:v>69</x:v>
      </x:c>
      <x:c r="I970" s="13" t="n">
        <x:f>YEAR(B970)</x:f>
        <x:v>2024</x:v>
      </x:c>
      <x:c r="J970" s="13" t="n">
        <x:f>MONTH(B970)</x:f>
        <x:v>6</x:v>
      </x:c>
      <x:c r="K970" s="14" t="n">
        <x:f>ROUND(E970*F970-G970,10)</x:f>
        <x:v>0</x:v>
      </x:c>
      <x:c r="L970" s="2"/>
      <x:c r="M970" s="2"/>
      <x:c r="N970" s="2"/>
      <x:c r="O970" s="2"/>
      <x:c r="P970" s="2"/>
      <x:c r="Q970" s="2"/>
      <x:c r="R970" s="2"/>
    </x:row>
    <x:row r="971" ht="22" customHeight="1">
      <x:c r="A971" s="2" t="n">
        <x:v>100965</x:v>
      </x:c>
      <x:c r="B971" s="10" t="n">
        <x:v>44982</x:v>
      </x:c>
      <x:c r="C971" s="2" t="str">
        <x:v>Peru</x:v>
      </x:c>
      <x:c r="D971" s="2" t="str">
        <x:v>Moda Masculina</x:v>
      </x:c>
      <x:c r="E971" s="11" t="n">
        <x:v>18</x:v>
      </x:c>
      <x:c r="F971" s="12" t="n">
        <x:v>178.17</x:v>
      </x:c>
      <x:c r="G971" s="12" t="n">
        <x:v>3207.06</x:v>
      </x:c>
      <x:c r="H971" s="13" t="n">
        <x:v>282</x:v>
      </x:c>
      <x:c r="I971" s="13" t="n">
        <x:f>YEAR(B971)</x:f>
        <x:v>2023</x:v>
      </x:c>
      <x:c r="J971" s="13" t="n">
        <x:f>MONTH(B971)</x:f>
        <x:v>2</x:v>
      </x:c>
      <x:c r="K971" s="14" t="n">
        <x:f>ROUND(E971*F971-G971,10)</x:f>
        <x:v>0</x:v>
      </x:c>
      <x:c r="L971" s="2"/>
      <x:c r="M971" s="2"/>
      <x:c r="N971" s="2"/>
      <x:c r="O971" s="2"/>
      <x:c r="P971" s="2"/>
      <x:c r="Q971" s="2"/>
      <x:c r="R971" s="2"/>
    </x:row>
    <x:row r="972" ht="22" customHeight="1">
      <x:c r="A972" s="2" t="n">
        <x:v>100966</x:v>
      </x:c>
      <x:c r="B972" s="10" t="n">
        <x:v>45299</x:v>
      </x:c>
      <x:c r="C972" s="2" t="str">
        <x:v>Argentina</x:v>
      </x:c>
      <x:c r="D972" s="2" t="str">
        <x:v>Moda Feminina</x:v>
      </x:c>
      <x:c r="E972" s="11" t="n">
        <x:v>15</x:v>
      </x:c>
      <x:c r="F972" s="12" t="n">
        <x:v>55.4</x:v>
      </x:c>
      <x:c r="G972" s="12" t="n">
        <x:v>831</x:v>
      </x:c>
      <x:c r="H972" s="13" t="n">
        <x:v>270</x:v>
      </x:c>
      <x:c r="I972" s="13" t="n">
        <x:f>YEAR(B972)</x:f>
        <x:v>2024</x:v>
      </x:c>
      <x:c r="J972" s="13" t="n">
        <x:f>MONTH(B972)</x:f>
        <x:v>1</x:v>
      </x:c>
      <x:c r="K972" s="14" t="n">
        <x:f>ROUND(E972*F972-G972,10)</x:f>
        <x:v>0</x:v>
      </x:c>
      <x:c r="L972" s="2"/>
      <x:c r="M972" s="2"/>
      <x:c r="N972" s="2"/>
      <x:c r="O972" s="2"/>
      <x:c r="P972" s="2"/>
      <x:c r="Q972" s="2"/>
      <x:c r="R972" s="2"/>
    </x:row>
    <x:row r="973" ht="22" customHeight="1">
      <x:c r="A973" s="2" t="n">
        <x:v>100967</x:v>
      </x:c>
      <x:c r="B973" s="10" t="n">
        <x:v>45577</x:v>
      </x:c>
      <x:c r="C973" s="2" t="str">
        <x:v>Peru</x:v>
      </x:c>
      <x:c r="D973" s="2" t="str">
        <x:v>Calçados</x:v>
      </x:c>
      <x:c r="E973" s="11" t="n">
        <x:v>40</x:v>
      </x:c>
      <x:c r="F973" s="12" t="n">
        <x:v>190.51</x:v>
      </x:c>
      <x:c r="G973" s="12" t="n">
        <x:v>7620.4</x:v>
      </x:c>
      <x:c r="H973" s="13" t="n">
        <x:v>375</x:v>
      </x:c>
      <x:c r="I973" s="13" t="n">
        <x:f>YEAR(B973)</x:f>
        <x:v>2024</x:v>
      </x:c>
      <x:c r="J973" s="13" t="n">
        <x:f>MONTH(B973)</x:f>
        <x:v>10</x:v>
      </x:c>
      <x:c r="K973" s="14" t="n">
        <x:f>ROUND(E973*F973-G973,10)</x:f>
        <x:v>0</x:v>
      </x:c>
      <x:c r="L973" s="2"/>
      <x:c r="M973" s="2"/>
      <x:c r="N973" s="2"/>
      <x:c r="O973" s="2"/>
      <x:c r="P973" s="2"/>
      <x:c r="Q973" s="2"/>
      <x:c r="R973" s="2"/>
    </x:row>
    <x:row r="974" ht="22" customHeight="1">
      <x:c r="A974" s="2" t="n">
        <x:v>100968</x:v>
      </x:c>
      <x:c r="B974" s="10" t="n">
        <x:v>45617</x:v>
      </x:c>
      <x:c r="C974" s="2" t="str">
        <x:v>Colômbia</x:v>
      </x:c>
      <x:c r="D974" s="2" t="str">
        <x:v>Acessórios</x:v>
      </x:c>
      <x:c r="E974" s="11" t="n">
        <x:v>32</x:v>
      </x:c>
      <x:c r="F974" s="12" t="n">
        <x:v>57.01</x:v>
      </x:c>
      <x:c r="G974" s="12" t="n">
        <x:v>1824.32</x:v>
      </x:c>
      <x:c r="H974" s="13" t="n">
        <x:v>66</x:v>
      </x:c>
      <x:c r="I974" s="13" t="n">
        <x:f>YEAR(B974)</x:f>
        <x:v>2024</x:v>
      </x:c>
      <x:c r="J974" s="13" t="n">
        <x:f>MONTH(B974)</x:f>
        <x:v>11</x:v>
      </x:c>
      <x:c r="K974" s="14" t="n">
        <x:f>ROUND(E974*F974-G974,10)</x:f>
        <x:v>0</x:v>
      </x:c>
      <x:c r="L974" s="2"/>
      <x:c r="M974" s="2"/>
      <x:c r="N974" s="2"/>
      <x:c r="O974" s="2"/>
      <x:c r="P974" s="2"/>
      <x:c r="Q974" s="2"/>
      <x:c r="R974" s="2"/>
    </x:row>
    <x:row r="975" ht="22" customHeight="1">
      <x:c r="A975" s="2" t="n">
        <x:v>100969</x:v>
      </x:c>
      <x:c r="B975" s="10" t="n">
        <x:v>45609</x:v>
      </x:c>
      <x:c r="C975" s="2" t="str">
        <x:v>Brasil</x:v>
      </x:c>
      <x:c r="D975" s="2" t="str">
        <x:v>Acessórios</x:v>
      </x:c>
      <x:c r="E975" s="11" t="n">
        <x:v>9</x:v>
      </x:c>
      <x:c r="F975" s="12" t="n">
        <x:v>130.46</x:v>
      </x:c>
      <x:c r="G975" s="12" t="n">
        <x:v>1174.14</x:v>
      </x:c>
      <x:c r="H975" s="13" t="n">
        <x:v>429</x:v>
      </x:c>
      <x:c r="I975" s="13" t="n">
        <x:f>YEAR(B975)</x:f>
        <x:v>2024</x:v>
      </x:c>
      <x:c r="J975" s="13" t="n">
        <x:f>MONTH(B975)</x:f>
        <x:v>11</x:v>
      </x:c>
      <x:c r="K975" s="14" t="n">
        <x:f>ROUND(E975*F975-G975,10)</x:f>
        <x:v>0</x:v>
      </x:c>
      <x:c r="L975" s="2"/>
      <x:c r="M975" s="2"/>
      <x:c r="N975" s="2"/>
      <x:c r="O975" s="2"/>
      <x:c r="P975" s="2"/>
      <x:c r="Q975" s="2"/>
      <x:c r="R975" s="2"/>
    </x:row>
    <x:row r="976" ht="22" customHeight="1">
      <x:c r="A976" s="2" t="n">
        <x:v>100970</x:v>
      </x:c>
      <x:c r="B976" s="10" t="n">
        <x:v>45062</x:v>
      </x:c>
      <x:c r="C976" s="2" t="str">
        <x:v>Brasil</x:v>
      </x:c>
      <x:c r="D976" s="2" t="str">
        <x:v>Moda Feminina</x:v>
      </x:c>
      <x:c r="E976" s="11" t="n">
        <x:v>37</x:v>
      </x:c>
      <x:c r="F976" s="12" t="n">
        <x:v>60.16</x:v>
      </x:c>
      <x:c r="G976" s="12" t="n">
        <x:v>2225.92</x:v>
      </x:c>
      <x:c r="H976" s="13" t="n">
        <x:v>138</x:v>
      </x:c>
      <x:c r="I976" s="13" t="n">
        <x:f>YEAR(B976)</x:f>
        <x:v>2023</x:v>
      </x:c>
      <x:c r="J976" s="13" t="n">
        <x:f>MONTH(B976)</x:f>
        <x:v>5</x:v>
      </x:c>
      <x:c r="K976" s="14" t="n">
        <x:f>ROUND(E976*F976-G976,10)</x:f>
        <x:v>0</x:v>
      </x:c>
      <x:c r="L976" s="2"/>
      <x:c r="M976" s="2"/>
      <x:c r="N976" s="2"/>
      <x:c r="O976" s="2"/>
      <x:c r="P976" s="2"/>
      <x:c r="Q976" s="2"/>
      <x:c r="R976" s="2"/>
    </x:row>
    <x:row r="977" ht="22" customHeight="1">
      <x:c r="A977" s="2" t="n">
        <x:v>100971</x:v>
      </x:c>
      <x:c r="B977" s="10" t="n">
        <x:v>45054</x:v>
      </x:c>
      <x:c r="C977" s="2" t="str">
        <x:v>México</x:v>
      </x:c>
      <x:c r="D977" s="2" t="str">
        <x:v>Moda Infantil</x:v>
      </x:c>
      <x:c r="E977" s="11" t="n">
        <x:v>10</x:v>
      </x:c>
      <x:c r="F977" s="12" t="n">
        <x:v>118.22</x:v>
      </x:c>
      <x:c r="G977" s="12" t="n">
        <x:v>1182.2</x:v>
      </x:c>
      <x:c r="H977" s="13" t="n">
        <x:v>245</x:v>
      </x:c>
      <x:c r="I977" s="13" t="n">
        <x:f>YEAR(B977)</x:f>
        <x:v>2023</x:v>
      </x:c>
      <x:c r="J977" s="13" t="n">
        <x:f>MONTH(B977)</x:f>
        <x:v>5</x:v>
      </x:c>
      <x:c r="K977" s="14" t="n">
        <x:f>ROUND(E977*F977-G977,10)</x:f>
        <x:v>0</x:v>
      </x:c>
      <x:c r="L977" s="2"/>
      <x:c r="M977" s="2"/>
      <x:c r="N977" s="2"/>
      <x:c r="O977" s="2"/>
      <x:c r="P977" s="2"/>
      <x:c r="Q977" s="2"/>
      <x:c r="R977" s="2"/>
    </x:row>
    <x:row r="978" ht="22" customHeight="1">
      <x:c r="A978" s="2" t="n">
        <x:v>100972</x:v>
      </x:c>
      <x:c r="B978" s="10" t="n">
        <x:v>45345</x:v>
      </x:c>
      <x:c r="C978" s="2" t="str">
        <x:v>Colômbia</x:v>
      </x:c>
      <x:c r="D978" s="2" t="str">
        <x:v>Moda Masculina</x:v>
      </x:c>
      <x:c r="E978" s="11" t="n">
        <x:v>20</x:v>
      </x:c>
      <x:c r="F978" s="12" t="n">
        <x:v>143.12</x:v>
      </x:c>
      <x:c r="G978" s="12" t="n">
        <x:v>2862.4</x:v>
      </x:c>
      <x:c r="H978" s="13" t="n">
        <x:v>399</x:v>
      </x:c>
      <x:c r="I978" s="13" t="n">
        <x:f>YEAR(B978)</x:f>
        <x:v>2024</x:v>
      </x:c>
      <x:c r="J978" s="13" t="n">
        <x:f>MONTH(B978)</x:f>
        <x:v>2</x:v>
      </x:c>
      <x:c r="K978" s="14" t="n">
        <x:f>ROUND(E978*F978-G978,10)</x:f>
        <x:v>0</x:v>
      </x:c>
      <x:c r="L978" s="2"/>
      <x:c r="M978" s="2"/>
      <x:c r="N978" s="2"/>
      <x:c r="O978" s="2"/>
      <x:c r="P978" s="2"/>
      <x:c r="Q978" s="2"/>
      <x:c r="R978" s="2"/>
    </x:row>
    <x:row r="979" ht="22" customHeight="1">
      <x:c r="A979" s="2" t="n">
        <x:v>100973</x:v>
      </x:c>
      <x:c r="B979" s="10" t="n">
        <x:v>45604</x:v>
      </x:c>
      <x:c r="C979" s="2" t="str">
        <x:v>Brasil</x:v>
      </x:c>
      <x:c r="D979" s="2" t="str">
        <x:v>Acessórios</x:v>
      </x:c>
      <x:c r="E979" s="11" t="n">
        <x:v>6</x:v>
      </x:c>
      <x:c r="F979" s="12" t="n">
        <x:v>54.24</x:v>
      </x:c>
      <x:c r="G979" s="12" t="n">
        <x:v>325.44</x:v>
      </x:c>
      <x:c r="H979" s="13" t="n">
        <x:v>133</x:v>
      </x:c>
      <x:c r="I979" s="13" t="n">
        <x:f>YEAR(B979)</x:f>
        <x:v>2024</x:v>
      </x:c>
      <x:c r="J979" s="13" t="n">
        <x:f>MONTH(B979)</x:f>
        <x:v>11</x:v>
      </x:c>
      <x:c r="K979" s="14" t="n">
        <x:f>ROUND(E979*F979-G979,10)</x:f>
        <x:v>0</x:v>
      </x:c>
      <x:c r="L979" s="2"/>
      <x:c r="M979" s="2"/>
      <x:c r="N979" s="2"/>
      <x:c r="O979" s="2"/>
      <x:c r="P979" s="2"/>
      <x:c r="Q979" s="2"/>
      <x:c r="R979" s="2"/>
    </x:row>
    <x:row r="980" ht="22" customHeight="1">
      <x:c r="A980" s="2" t="n">
        <x:v>100974</x:v>
      </x:c>
      <x:c r="B980" s="10" t="n">
        <x:v>45545</x:v>
      </x:c>
      <x:c r="C980" s="2" t="str">
        <x:v>Colômbia</x:v>
      </x:c>
      <x:c r="D980" s="2" t="str">
        <x:v>Calçados</x:v>
      </x:c>
      <x:c r="E980" s="11" t="n">
        <x:v>48</x:v>
      </x:c>
      <x:c r="F980" s="12" t="n">
        <x:v>113.76</x:v>
      </x:c>
      <x:c r="G980" s="12" t="n">
        <x:v>5460.48</x:v>
      </x:c>
      <x:c r="H980" s="13" t="n">
        <x:v>436</x:v>
      </x:c>
      <x:c r="I980" s="13" t="n">
        <x:f>YEAR(B980)</x:f>
        <x:v>2024</x:v>
      </x:c>
      <x:c r="J980" s="13" t="n">
        <x:f>MONTH(B980)</x:f>
        <x:v>9</x:v>
      </x:c>
      <x:c r="K980" s="14" t="n">
        <x:f>ROUND(E980*F980-G980,10)</x:f>
        <x:v>0</x:v>
      </x:c>
      <x:c r="L980" s="2"/>
      <x:c r="M980" s="2"/>
      <x:c r="N980" s="2"/>
      <x:c r="O980" s="2"/>
      <x:c r="P980" s="2"/>
      <x:c r="Q980" s="2"/>
      <x:c r="R980" s="2"/>
    </x:row>
    <x:row r="981" ht="22" customHeight="1">
      <x:c r="A981" s="2" t="n">
        <x:v>100975</x:v>
      </x:c>
      <x:c r="B981" s="10" t="n">
        <x:v>45300</x:v>
      </x:c>
      <x:c r="C981" s="2" t="str">
        <x:v>Argentina</x:v>
      </x:c>
      <x:c r="D981" s="2" t="str">
        <x:v>Calçados</x:v>
      </x:c>
      <x:c r="E981" s="11" t="n">
        <x:v>3</x:v>
      </x:c>
      <x:c r="F981" s="12" t="n">
        <x:v>104.43</x:v>
      </x:c>
      <x:c r="G981" s="12" t="n">
        <x:v>313.29</x:v>
      </x:c>
      <x:c r="H981" s="13" t="n">
        <x:v>136</x:v>
      </x:c>
      <x:c r="I981" s="13" t="n">
        <x:f>YEAR(B981)</x:f>
        <x:v>2024</x:v>
      </x:c>
      <x:c r="J981" s="13" t="n">
        <x:f>MONTH(B981)</x:f>
        <x:v>1</x:v>
      </x:c>
      <x:c r="K981" s="14" t="n">
        <x:f>ROUND(E981*F981-G981,10)</x:f>
        <x:v>0</x:v>
      </x:c>
      <x:c r="L981" s="2"/>
      <x:c r="M981" s="2"/>
      <x:c r="N981" s="2"/>
      <x:c r="O981" s="2"/>
      <x:c r="P981" s="2"/>
      <x:c r="Q981" s="2"/>
      <x:c r="R981" s="2"/>
    </x:row>
    <x:row r="982" ht="22" customHeight="1">
      <x:c r="A982" s="2" t="n">
        <x:v>100976</x:v>
      </x:c>
      <x:c r="B982" s="10" t="n">
        <x:v>45514</x:v>
      </x:c>
      <x:c r="C982" s="2" t="str">
        <x:v>Chile</x:v>
      </x:c>
      <x:c r="D982" s="2" t="str">
        <x:v>Moda Infantil</x:v>
      </x:c>
      <x:c r="E982" s="11" t="n">
        <x:v>42</x:v>
      </x:c>
      <x:c r="F982" s="12" t="n">
        <x:v>32.79</x:v>
      </x:c>
      <x:c r="G982" s="12" t="n">
        <x:v>1377.18</x:v>
      </x:c>
      <x:c r="H982" s="13" t="n">
        <x:v>356</x:v>
      </x:c>
      <x:c r="I982" s="13" t="n">
        <x:f>YEAR(B982)</x:f>
        <x:v>2024</x:v>
      </x:c>
      <x:c r="J982" s="13" t="n">
        <x:f>MONTH(B982)</x:f>
        <x:v>8</x:v>
      </x:c>
      <x:c r="K982" s="14" t="n">
        <x:f>ROUND(E982*F982-G982,10)</x:f>
        <x:v>0</x:v>
      </x:c>
      <x:c r="L982" s="2"/>
      <x:c r="M982" s="2"/>
      <x:c r="N982" s="2"/>
      <x:c r="O982" s="2"/>
      <x:c r="P982" s="2"/>
      <x:c r="Q982" s="2"/>
      <x:c r="R982" s="2"/>
    </x:row>
    <x:row r="983" ht="22" customHeight="1">
      <x:c r="A983" s="2" t="n">
        <x:v>100977</x:v>
      </x:c>
      <x:c r="B983" s="10" t="n">
        <x:v>45402</x:v>
      </x:c>
      <x:c r="C983" s="2" t="str">
        <x:v>Brasil</x:v>
      </x:c>
      <x:c r="D983" s="2" t="str">
        <x:v>Acessórios</x:v>
      </x:c>
      <x:c r="E983" s="11" t="n">
        <x:v>11</x:v>
      </x:c>
      <x:c r="F983" s="12" t="n">
        <x:v>167.3</x:v>
      </x:c>
      <x:c r="G983" s="12" t="n">
        <x:v>1840.3</x:v>
      </x:c>
      <x:c r="H983" s="13" t="n">
        <x:v>387</x:v>
      </x:c>
      <x:c r="I983" s="13" t="n">
        <x:f>YEAR(B983)</x:f>
        <x:v>2024</x:v>
      </x:c>
      <x:c r="J983" s="13" t="n">
        <x:f>MONTH(B983)</x:f>
        <x:v>4</x:v>
      </x:c>
      <x:c r="K983" s="14" t="n">
        <x:f>ROUND(E983*F983-G983,10)</x:f>
        <x:v>0</x:v>
      </x:c>
      <x:c r="L983" s="2"/>
      <x:c r="M983" s="2"/>
      <x:c r="N983" s="2"/>
      <x:c r="O983" s="2"/>
      <x:c r="P983" s="2"/>
      <x:c r="Q983" s="2"/>
      <x:c r="R983" s="2"/>
    </x:row>
    <x:row r="984" ht="22" customHeight="1">
      <x:c r="A984" s="2" t="n">
        <x:v>100978</x:v>
      </x:c>
      <x:c r="B984" s="10" t="n">
        <x:v>45469</x:v>
      </x:c>
      <x:c r="C984" s="2" t="str">
        <x:v>México</x:v>
      </x:c>
      <x:c r="D984" s="2" t="str">
        <x:v>Moda Feminina</x:v>
      </x:c>
      <x:c r="E984" s="11" t="n">
        <x:v>43</x:v>
      </x:c>
      <x:c r="F984" s="12" t="n">
        <x:v>80.42</x:v>
      </x:c>
      <x:c r="G984" s="12" t="n">
        <x:v>3458.06</x:v>
      </x:c>
      <x:c r="H984" s="13" t="n">
        <x:v>203</x:v>
      </x:c>
      <x:c r="I984" s="13" t="n">
        <x:f>YEAR(B984)</x:f>
        <x:v>2024</x:v>
      </x:c>
      <x:c r="J984" s="13" t="n">
        <x:f>MONTH(B984)</x:f>
        <x:v>6</x:v>
      </x:c>
      <x:c r="K984" s="14" t="n">
        <x:f>ROUND(E984*F984-G984,10)</x:f>
        <x:v>0</x:v>
      </x:c>
      <x:c r="L984" s="2"/>
      <x:c r="M984" s="2"/>
      <x:c r="N984" s="2"/>
      <x:c r="O984" s="2"/>
      <x:c r="P984" s="2"/>
      <x:c r="Q984" s="2"/>
      <x:c r="R984" s="2"/>
    </x:row>
    <x:row r="985" ht="22" customHeight="1">
      <x:c r="A985" s="2" t="n">
        <x:v>100979</x:v>
      </x:c>
      <x:c r="B985" s="10" t="n">
        <x:v>44977</x:v>
      </x:c>
      <x:c r="C985" s="2" t="str">
        <x:v>Argentina</x:v>
      </x:c>
      <x:c r="D985" s="2" t="str">
        <x:v>Calçados</x:v>
      </x:c>
      <x:c r="E985" s="11" t="n">
        <x:v>17</x:v>
      </x:c>
      <x:c r="F985" s="12" t="n">
        <x:v>123.42</x:v>
      </x:c>
      <x:c r="G985" s="12" t="n">
        <x:v>2098.14</x:v>
      </x:c>
      <x:c r="H985" s="13" t="n">
        <x:v>489</x:v>
      </x:c>
      <x:c r="I985" s="13" t="n">
        <x:f>YEAR(B985)</x:f>
        <x:v>2023</x:v>
      </x:c>
      <x:c r="J985" s="13" t="n">
        <x:f>MONTH(B985)</x:f>
        <x:v>2</x:v>
      </x:c>
      <x:c r="K985" s="14" t="n">
        <x:f>ROUND(E985*F985-G985,10)</x:f>
        <x:v>0</x:v>
      </x:c>
      <x:c r="L985" s="2"/>
      <x:c r="M985" s="2"/>
      <x:c r="N985" s="2"/>
      <x:c r="O985" s="2"/>
      <x:c r="P985" s="2"/>
      <x:c r="Q985" s="2"/>
      <x:c r="R985" s="2"/>
    </x:row>
    <x:row r="986" ht="22" customHeight="1">
      <x:c r="A986" s="2" t="n">
        <x:v>100980</x:v>
      </x:c>
      <x:c r="B986" s="10" t="n">
        <x:v>45461</x:v>
      </x:c>
      <x:c r="C986" s="2" t="str">
        <x:v>Colômbia</x:v>
      </x:c>
      <x:c r="D986" s="2" t="str">
        <x:v>Moda Infantil</x:v>
      </x:c>
      <x:c r="E986" s="11" t="n">
        <x:v>32</x:v>
      </x:c>
      <x:c r="F986" s="12" t="n">
        <x:v>112.66</x:v>
      </x:c>
      <x:c r="G986" s="12" t="n">
        <x:v>3605.12</x:v>
      </x:c>
      <x:c r="H986" s="13" t="n">
        <x:v>277</x:v>
      </x:c>
      <x:c r="I986" s="13" t="n">
        <x:f>YEAR(B986)</x:f>
        <x:v>2024</x:v>
      </x:c>
      <x:c r="J986" s="13" t="n">
        <x:f>MONTH(B986)</x:f>
        <x:v>6</x:v>
      </x:c>
      <x:c r="K986" s="14" t="n">
        <x:f>ROUND(E986*F986-G986,10)</x:f>
        <x:v>0</x:v>
      </x:c>
      <x:c r="L986" s="2"/>
      <x:c r="M986" s="2"/>
      <x:c r="N986" s="2"/>
      <x:c r="O986" s="2"/>
      <x:c r="P986" s="2"/>
      <x:c r="Q986" s="2"/>
      <x:c r="R986" s="2"/>
    </x:row>
    <x:row r="987" ht="22" customHeight="1">
      <x:c r="A987" s="2" t="n">
        <x:v>100981</x:v>
      </x:c>
      <x:c r="B987" s="10" t="n">
        <x:v>45436</x:v>
      </x:c>
      <x:c r="C987" s="2" t="str">
        <x:v>Peru</x:v>
      </x:c>
      <x:c r="D987" s="2" t="str">
        <x:v>Acessórios</x:v>
      </x:c>
      <x:c r="E987" s="11" t="n">
        <x:v>4</x:v>
      </x:c>
      <x:c r="F987" s="12" t="n">
        <x:v>112.39</x:v>
      </x:c>
      <x:c r="G987" s="12" t="n">
        <x:v>449.56</x:v>
      </x:c>
      <x:c r="H987" s="13" t="n">
        <x:v>497</x:v>
      </x:c>
      <x:c r="I987" s="13" t="n">
        <x:f>YEAR(B987)</x:f>
        <x:v>2024</x:v>
      </x:c>
      <x:c r="J987" s="13" t="n">
        <x:f>MONTH(B987)</x:f>
        <x:v>5</x:v>
      </x:c>
      <x:c r="K987" s="14" t="n">
        <x:f>ROUND(E987*F987-G987,10)</x:f>
        <x:v>0</x:v>
      </x:c>
      <x:c r="L987" s="2"/>
      <x:c r="M987" s="2"/>
      <x:c r="N987" s="2"/>
      <x:c r="O987" s="2"/>
      <x:c r="P987" s="2"/>
      <x:c r="Q987" s="2"/>
      <x:c r="R987" s="2"/>
    </x:row>
    <x:row r="988" ht="22" customHeight="1">
      <x:c r="A988" s="2" t="n">
        <x:v>100982</x:v>
      </x:c>
      <x:c r="B988" s="10" t="n">
        <x:v>44928</x:v>
      </x:c>
      <x:c r="C988" s="2" t="str">
        <x:v>Argentina</x:v>
      </x:c>
      <x:c r="D988" s="2" t="str">
        <x:v>Acessórios</x:v>
      </x:c>
      <x:c r="E988" s="11" t="n">
        <x:v>4</x:v>
      </x:c>
      <x:c r="F988" s="12" t="n">
        <x:v>39.3</x:v>
      </x:c>
      <x:c r="G988" s="12" t="n">
        <x:v>157.2</x:v>
      </x:c>
      <x:c r="H988" s="13" t="n">
        <x:v>313</x:v>
      </x:c>
      <x:c r="I988" s="13" t="n">
        <x:f>YEAR(B988)</x:f>
        <x:v>2023</x:v>
      </x:c>
      <x:c r="J988" s="13" t="n">
        <x:f>MONTH(B988)</x:f>
        <x:v>1</x:v>
      </x:c>
      <x:c r="K988" s="14" t="n">
        <x:f>ROUND(E988*F988-G988,10)</x:f>
        <x:v>0</x:v>
      </x:c>
      <x:c r="L988" s="2"/>
      <x:c r="M988" s="2"/>
      <x:c r="N988" s="2"/>
      <x:c r="O988" s="2"/>
      <x:c r="P988" s="2"/>
      <x:c r="Q988" s="2"/>
      <x:c r="R988" s="2"/>
    </x:row>
    <x:row r="989" ht="22" customHeight="1">
      <x:c r="A989" s="2" t="n">
        <x:v>100983</x:v>
      </x:c>
      <x:c r="B989" s="10" t="n">
        <x:v>45004</x:v>
      </x:c>
      <x:c r="C989" s="2" t="str">
        <x:v>Brasil</x:v>
      </x:c>
      <x:c r="D989" s="2" t="str">
        <x:v>Acessórios</x:v>
      </x:c>
      <x:c r="E989" s="11" t="n">
        <x:v>17</x:v>
      </x:c>
      <x:c r="F989" s="12" t="n">
        <x:v>96.23</x:v>
      </x:c>
      <x:c r="G989" s="12" t="n">
        <x:v>1635.91</x:v>
      </x:c>
      <x:c r="H989" s="13" t="n">
        <x:v>272</x:v>
      </x:c>
      <x:c r="I989" s="13" t="n">
        <x:f>YEAR(B989)</x:f>
        <x:v>2023</x:v>
      </x:c>
      <x:c r="J989" s="13" t="n">
        <x:f>MONTH(B989)</x:f>
        <x:v>3</x:v>
      </x:c>
      <x:c r="K989" s="14" t="n">
        <x:f>ROUND(E989*F989-G989,10)</x:f>
        <x:v>0</x:v>
      </x:c>
      <x:c r="L989" s="2"/>
      <x:c r="M989" s="2"/>
      <x:c r="N989" s="2"/>
      <x:c r="O989" s="2"/>
      <x:c r="P989" s="2"/>
      <x:c r="Q989" s="2"/>
      <x:c r="R989" s="2"/>
    </x:row>
    <x:row r="990" ht="22" customHeight="1">
      <x:c r="A990" s="2" t="n">
        <x:v>100984</x:v>
      </x:c>
      <x:c r="B990" s="10" t="n">
        <x:v>45576</x:v>
      </x:c>
      <x:c r="C990" s="2" t="str">
        <x:v>Colômbia</x:v>
      </x:c>
      <x:c r="D990" s="2" t="str">
        <x:v>Acessórios</x:v>
      </x:c>
      <x:c r="E990" s="11" t="n">
        <x:v>41</x:v>
      </x:c>
      <x:c r="F990" s="12" t="n">
        <x:v>101.43</x:v>
      </x:c>
      <x:c r="G990" s="12" t="n">
        <x:v>4158.63</x:v>
      </x:c>
      <x:c r="H990" s="13" t="n">
        <x:v>470</x:v>
      </x:c>
      <x:c r="I990" s="13" t="n">
        <x:f>YEAR(B990)</x:f>
        <x:v>2024</x:v>
      </x:c>
      <x:c r="J990" s="13" t="n">
        <x:f>MONTH(B990)</x:f>
        <x:v>10</x:v>
      </x:c>
      <x:c r="K990" s="14" t="n">
        <x:f>ROUND(E990*F990-G990,10)</x:f>
        <x:v>0</x:v>
      </x:c>
      <x:c r="L990" s="2"/>
      <x:c r="M990" s="2"/>
      <x:c r="N990" s="2"/>
      <x:c r="O990" s="2"/>
      <x:c r="P990" s="2"/>
      <x:c r="Q990" s="2"/>
      <x:c r="R990" s="2"/>
    </x:row>
    <x:row r="991" ht="22" customHeight="1">
      <x:c r="A991" s="2" t="n">
        <x:v>100985</x:v>
      </x:c>
      <x:c r="B991" s="10" t="n">
        <x:v>45069</x:v>
      </x:c>
      <x:c r="C991" s="2" t="str">
        <x:v>Chile</x:v>
      </x:c>
      <x:c r="D991" s="2" t="str">
        <x:v>Acessórios</x:v>
      </x:c>
      <x:c r="E991" s="11" t="n">
        <x:v>19</x:v>
      </x:c>
      <x:c r="F991" s="12" t="n">
        <x:v>152.06</x:v>
      </x:c>
      <x:c r="G991" s="12" t="n">
        <x:v>2889.14</x:v>
      </x:c>
      <x:c r="H991" s="13" t="n">
        <x:v>170</x:v>
      </x:c>
      <x:c r="I991" s="13" t="n">
        <x:f>YEAR(B991)</x:f>
        <x:v>2023</x:v>
      </x:c>
      <x:c r="J991" s="13" t="n">
        <x:f>MONTH(B991)</x:f>
        <x:v>5</x:v>
      </x:c>
      <x:c r="K991" s="14" t="n">
        <x:f>ROUND(E991*F991-G991,10)</x:f>
        <x:v>0</x:v>
      </x:c>
      <x:c r="L991" s="2"/>
      <x:c r="M991" s="2"/>
      <x:c r="N991" s="2"/>
      <x:c r="O991" s="2"/>
      <x:c r="P991" s="2"/>
      <x:c r="Q991" s="2"/>
      <x:c r="R991" s="2"/>
    </x:row>
    <x:row r="992" ht="22" customHeight="1">
      <x:c r="A992" s="2" t="n">
        <x:v>100986</x:v>
      </x:c>
      <x:c r="B992" s="10" t="n">
        <x:v>45492</x:v>
      </x:c>
      <x:c r="C992" s="2" t="str">
        <x:v>Argentina</x:v>
      </x:c>
      <x:c r="D992" s="2" t="str">
        <x:v>Calçados</x:v>
      </x:c>
      <x:c r="E992" s="11" t="n">
        <x:v>5</x:v>
      </x:c>
      <x:c r="F992" s="12" t="n">
        <x:v>171.2</x:v>
      </x:c>
      <x:c r="G992" s="12" t="n">
        <x:v>856</x:v>
      </x:c>
      <x:c r="H992" s="13" t="n">
        <x:v>460</x:v>
      </x:c>
      <x:c r="I992" s="13" t="n">
        <x:f>YEAR(B992)</x:f>
        <x:v>2024</x:v>
      </x:c>
      <x:c r="J992" s="13" t="n">
        <x:f>MONTH(B992)</x:f>
        <x:v>7</x:v>
      </x:c>
      <x:c r="K992" s="14" t="n">
        <x:f>ROUND(E992*F992-G992,10)</x:f>
        <x:v>0</x:v>
      </x:c>
      <x:c r="L992" s="2"/>
      <x:c r="M992" s="2"/>
      <x:c r="N992" s="2"/>
      <x:c r="O992" s="2"/>
      <x:c r="P992" s="2"/>
      <x:c r="Q992" s="2"/>
      <x:c r="R992" s="2"/>
    </x:row>
    <x:row r="993" ht="22" customHeight="1">
      <x:c r="A993" s="2" t="n">
        <x:v>100987</x:v>
      </x:c>
      <x:c r="B993" s="10" t="n">
        <x:v>45302</x:v>
      </x:c>
      <x:c r="C993" s="2" t="str">
        <x:v>Brasil</x:v>
      </x:c>
      <x:c r="D993" s="2" t="str">
        <x:v>Moda Infantil</x:v>
      </x:c>
      <x:c r="E993" s="11" t="n">
        <x:v>32</x:v>
      </x:c>
      <x:c r="F993" s="12" t="n">
        <x:v>118.1</x:v>
      </x:c>
      <x:c r="G993" s="12" t="n">
        <x:v>3779.2</x:v>
      </x:c>
      <x:c r="H993" s="13" t="n">
        <x:v>222</x:v>
      </x:c>
      <x:c r="I993" s="13" t="n">
        <x:f>YEAR(B993)</x:f>
        <x:v>2024</x:v>
      </x:c>
      <x:c r="J993" s="13" t="n">
        <x:f>MONTH(B993)</x:f>
        <x:v>1</x:v>
      </x:c>
      <x:c r="K993" s="14" t="n">
        <x:f>ROUND(E993*F993-G993,10)</x:f>
        <x:v>0</x:v>
      </x:c>
      <x:c r="L993" s="2"/>
      <x:c r="M993" s="2"/>
      <x:c r="N993" s="2"/>
      <x:c r="O993" s="2"/>
      <x:c r="P993" s="2"/>
      <x:c r="Q993" s="2"/>
      <x:c r="R993" s="2"/>
    </x:row>
    <x:row r="994" ht="22" customHeight="1">
      <x:c r="A994" s="2" t="n">
        <x:v>100988</x:v>
      </x:c>
      <x:c r="B994" s="10" t="n">
        <x:v>45469</x:v>
      </x:c>
      <x:c r="C994" s="2" t="str">
        <x:v>México</x:v>
      </x:c>
      <x:c r="D994" s="2" t="str">
        <x:v>Acessórios</x:v>
      </x:c>
      <x:c r="E994" s="11" t="n">
        <x:v>22</x:v>
      </x:c>
      <x:c r="F994" s="12" t="n">
        <x:v>35.62</x:v>
      </x:c>
      <x:c r="G994" s="12" t="n">
        <x:v>783.64</x:v>
      </x:c>
      <x:c r="H994" s="13" t="n">
        <x:v>53</x:v>
      </x:c>
      <x:c r="I994" s="13" t="n">
        <x:f>YEAR(B994)</x:f>
        <x:v>2024</x:v>
      </x:c>
      <x:c r="J994" s="13" t="n">
        <x:f>MONTH(B994)</x:f>
        <x:v>6</x:v>
      </x:c>
      <x:c r="K994" s="14" t="n">
        <x:f>ROUND(E994*F994-G994,10)</x:f>
        <x:v>0</x:v>
      </x:c>
      <x:c r="L994" s="2"/>
      <x:c r="M994" s="2"/>
      <x:c r="N994" s="2"/>
      <x:c r="O994" s="2"/>
      <x:c r="P994" s="2"/>
      <x:c r="Q994" s="2"/>
      <x:c r="R994" s="2"/>
    </x:row>
    <x:row r="995" ht="22" customHeight="1">
      <x:c r="A995" s="2" t="n">
        <x:v>100989</x:v>
      </x:c>
      <x:c r="B995" s="10" t="n">
        <x:v>45055</x:v>
      </x:c>
      <x:c r="C995" s="2" t="str">
        <x:v>Peru</x:v>
      </x:c>
      <x:c r="D995" s="2" t="str">
        <x:v>Moda Masculina</x:v>
      </x:c>
      <x:c r="E995" s="11" t="n">
        <x:v>6</x:v>
      </x:c>
      <x:c r="F995" s="12" t="n">
        <x:v>62.63</x:v>
      </x:c>
      <x:c r="G995" s="12" t="n">
        <x:v>375.78</x:v>
      </x:c>
      <x:c r="H995" s="13" t="n">
        <x:v>391</x:v>
      </x:c>
      <x:c r="I995" s="13" t="n">
        <x:f>YEAR(B995)</x:f>
        <x:v>2023</x:v>
      </x:c>
      <x:c r="J995" s="13" t="n">
        <x:f>MONTH(B995)</x:f>
        <x:v>5</x:v>
      </x:c>
      <x:c r="K995" s="14" t="n">
        <x:f>ROUND(E995*F995-G995,10)</x:f>
        <x:v>0</x:v>
      </x:c>
      <x:c r="L995" s="2"/>
      <x:c r="M995" s="2"/>
      <x:c r="N995" s="2"/>
      <x:c r="O995" s="2"/>
      <x:c r="P995" s="2"/>
      <x:c r="Q995" s="2"/>
      <x:c r="R995" s="2"/>
    </x:row>
    <x:row r="996" ht="22" customHeight="1">
      <x:c r="A996" s="2" t="n">
        <x:v>100990</x:v>
      </x:c>
      <x:c r="B996" s="10" t="n">
        <x:v>45280</x:v>
      </x:c>
      <x:c r="C996" s="2" t="str">
        <x:v>Colômbia</x:v>
      </x:c>
      <x:c r="D996" s="2" t="str">
        <x:v>Moda Masculina</x:v>
      </x:c>
      <x:c r="E996" s="11" t="n">
        <x:v>35</x:v>
      </x:c>
      <x:c r="F996" s="12" t="n">
        <x:v>49.69</x:v>
      </x:c>
      <x:c r="G996" s="12" t="n">
        <x:v>1739.15</x:v>
      </x:c>
      <x:c r="H996" s="13" t="n">
        <x:v>177</x:v>
      </x:c>
      <x:c r="I996" s="13" t="n">
        <x:f>YEAR(B996)</x:f>
        <x:v>2023</x:v>
      </x:c>
      <x:c r="J996" s="13" t="n">
        <x:f>MONTH(B996)</x:f>
        <x:v>12</x:v>
      </x:c>
      <x:c r="K996" s="14" t="n">
        <x:f>ROUND(E996*F996-G996,10)</x:f>
        <x:v>0</x:v>
      </x:c>
      <x:c r="L996" s="2"/>
      <x:c r="M996" s="2"/>
      <x:c r="N996" s="2"/>
      <x:c r="O996" s="2"/>
      <x:c r="P996" s="2"/>
      <x:c r="Q996" s="2"/>
      <x:c r="R996" s="2"/>
    </x:row>
    <x:row r="997" ht="22" customHeight="1">
      <x:c r="A997" s="2" t="n">
        <x:v>100991</x:v>
      </x:c>
      <x:c r="B997" s="10" t="n">
        <x:v>45161</x:v>
      </x:c>
      <x:c r="C997" s="2" t="str">
        <x:v>Argentina</x:v>
      </x:c>
      <x:c r="D997" s="2" t="str">
        <x:v>Moda Infantil</x:v>
      </x:c>
      <x:c r="E997" s="11" t="n">
        <x:v>22</x:v>
      </x:c>
      <x:c r="F997" s="12" t="n">
        <x:v>42.43</x:v>
      </x:c>
      <x:c r="G997" s="12" t="n">
        <x:v>933.46</x:v>
      </x:c>
      <x:c r="H997" s="13" t="n">
        <x:v>159</x:v>
      </x:c>
      <x:c r="I997" s="13" t="n">
        <x:f>YEAR(B997)</x:f>
        <x:v>2023</x:v>
      </x:c>
      <x:c r="J997" s="13" t="n">
        <x:f>MONTH(B997)</x:f>
        <x:v>8</x:v>
      </x:c>
      <x:c r="K997" s="14" t="n">
        <x:f>ROUND(E997*F997-G997,10)</x:f>
        <x:v>0</x:v>
      </x:c>
      <x:c r="L997" s="2"/>
      <x:c r="M997" s="2"/>
      <x:c r="N997" s="2"/>
      <x:c r="O997" s="2"/>
      <x:c r="P997" s="2"/>
      <x:c r="Q997" s="2"/>
      <x:c r="R997" s="2"/>
    </x:row>
    <x:row r="998" ht="22" customHeight="1">
      <x:c r="A998" s="2" t="n">
        <x:v>100992</x:v>
      </x:c>
      <x:c r="B998" s="10" t="n">
        <x:v>45098</x:v>
      </x:c>
      <x:c r="C998" s="2" t="str">
        <x:v>Argentina</x:v>
      </x:c>
      <x:c r="D998" s="2" t="str">
        <x:v>Moda Feminina</x:v>
      </x:c>
      <x:c r="E998" s="11" t="n">
        <x:v>1</x:v>
      </x:c>
      <x:c r="F998" s="12" t="n">
        <x:v>85.86</x:v>
      </x:c>
      <x:c r="G998" s="12" t="n">
        <x:v>85.86</x:v>
      </x:c>
      <x:c r="H998" s="13" t="n">
        <x:v>404</x:v>
      </x:c>
      <x:c r="I998" s="13" t="n">
        <x:f>YEAR(B998)</x:f>
        <x:v>2023</x:v>
      </x:c>
      <x:c r="J998" s="13" t="n">
        <x:f>MONTH(B998)</x:f>
        <x:v>6</x:v>
      </x:c>
      <x:c r="K998" s="14" t="n">
        <x:f>ROUND(E998*F998-G998,10)</x:f>
        <x:v>0</x:v>
      </x:c>
      <x:c r="L998" s="2"/>
      <x:c r="M998" s="2"/>
      <x:c r="N998" s="2"/>
      <x:c r="O998" s="2"/>
      <x:c r="P998" s="2"/>
      <x:c r="Q998" s="2"/>
      <x:c r="R998" s="2"/>
    </x:row>
    <x:row r="999" ht="22" customHeight="1">
      <x:c r="A999" s="2" t="n">
        <x:v>100993</x:v>
      </x:c>
      <x:c r="B999" s="10" t="n">
        <x:v>45316</x:v>
      </x:c>
      <x:c r="C999" s="2" t="str">
        <x:v>Chile</x:v>
      </x:c>
      <x:c r="D999" s="2" t="str">
        <x:v>Moda Feminina</x:v>
      </x:c>
      <x:c r="E999" s="11" t="n">
        <x:v>20</x:v>
      </x:c>
      <x:c r="F999" s="12" t="n">
        <x:v>61.29</x:v>
      </x:c>
      <x:c r="G999" s="12" t="n">
        <x:v>1225.8</x:v>
      </x:c>
      <x:c r="H999" s="13" t="n">
        <x:v>86</x:v>
      </x:c>
      <x:c r="I999" s="13" t="n">
        <x:f>YEAR(B999)</x:f>
        <x:v>2024</x:v>
      </x:c>
      <x:c r="J999" s="13" t="n">
        <x:f>MONTH(B999)</x:f>
        <x:v>1</x:v>
      </x:c>
      <x:c r="K999" s="14" t="n">
        <x:f>ROUND(E999*F999-G999,10)</x:f>
        <x:v>0</x:v>
      </x:c>
      <x:c r="L999" s="2"/>
      <x:c r="M999" s="2"/>
      <x:c r="N999" s="2"/>
      <x:c r="O999" s="2"/>
      <x:c r="P999" s="2"/>
      <x:c r="Q999" s="2"/>
      <x:c r="R999" s="2"/>
    </x:row>
    <x:row r="1000" ht="22" customHeight="1">
      <x:c r="A1000" s="2" t="n">
        <x:v>100994</x:v>
      </x:c>
      <x:c r="B1000" s="10" t="n">
        <x:v>44970</x:v>
      </x:c>
      <x:c r="C1000" s="2" t="str">
        <x:v>Chile</x:v>
      </x:c>
      <x:c r="D1000" s="2" t="str">
        <x:v>Moda Feminina</x:v>
      </x:c>
      <x:c r="E1000" s="11" t="n">
        <x:v>22</x:v>
      </x:c>
      <x:c r="F1000" s="12" t="n">
        <x:v>59.29</x:v>
      </x:c>
      <x:c r="G1000" s="12" t="n">
        <x:v>1304.38</x:v>
      </x:c>
      <x:c r="H1000" s="13" t="n">
        <x:v>120</x:v>
      </x:c>
      <x:c r="I1000" s="13" t="n">
        <x:f>YEAR(B1000)</x:f>
        <x:v>2023</x:v>
      </x:c>
      <x:c r="J1000" s="13" t="n">
        <x:f>MONTH(B1000)</x:f>
        <x:v>2</x:v>
      </x:c>
      <x:c r="K1000" s="14" t="n">
        <x:f>ROUND(E1000*F1000-G1000,10)</x:f>
        <x:v>0</x:v>
      </x:c>
      <x:c r="L1000" s="2"/>
      <x:c r="M1000" s="2"/>
      <x:c r="N1000" s="2"/>
      <x:c r="O1000" s="2"/>
      <x:c r="P1000" s="2"/>
      <x:c r="Q1000" s="2"/>
      <x:c r="R1000" s="2"/>
    </x:row>
    <x:row r="1001" ht="22" customHeight="1">
      <x:c r="A1001" s="2" t="n">
        <x:v>100995</x:v>
      </x:c>
      <x:c r="B1001" s="10" t="n">
        <x:v>45407</x:v>
      </x:c>
      <x:c r="C1001" s="2" t="str">
        <x:v>México</x:v>
      </x:c>
      <x:c r="D1001" s="2" t="str">
        <x:v>Moda Masculina</x:v>
      </x:c>
      <x:c r="E1001" s="11" t="n">
        <x:v>48</x:v>
      </x:c>
      <x:c r="F1001" s="12" t="n">
        <x:v>29.84</x:v>
      </x:c>
      <x:c r="G1001" s="12" t="n">
        <x:v>1432.32</x:v>
      </x:c>
      <x:c r="H1001" s="13" t="n">
        <x:v>338</x:v>
      </x:c>
      <x:c r="I1001" s="13" t="n">
        <x:f>YEAR(B1001)</x:f>
        <x:v>2024</x:v>
      </x:c>
      <x:c r="J1001" s="13" t="n">
        <x:f>MONTH(B1001)</x:f>
        <x:v>4</x:v>
      </x:c>
      <x:c r="K1001" s="14" t="n">
        <x:f>ROUND(E1001*F1001-G1001,10)</x:f>
        <x:v>0</x:v>
      </x:c>
      <x:c r="L1001" s="2"/>
      <x:c r="M1001" s="2"/>
      <x:c r="N1001" s="2"/>
      <x:c r="O1001" s="2"/>
      <x:c r="P1001" s="2"/>
      <x:c r="Q1001" s="2"/>
      <x:c r="R1001" s="2"/>
    </x:row>
    <x:row r="1002" ht="22" customHeight="1">
      <x:c r="A1002" s="2" t="n">
        <x:v>100996</x:v>
      </x:c>
      <x:c r="B1002" s="10" t="n">
        <x:v>45566</x:v>
      </x:c>
      <x:c r="C1002" s="2" t="str">
        <x:v>Peru</x:v>
      </x:c>
      <x:c r="D1002" s="2" t="str">
        <x:v>Moda Feminina</x:v>
      </x:c>
      <x:c r="E1002" s="11" t="n">
        <x:v>11</x:v>
      </x:c>
      <x:c r="F1002" s="12" t="n">
        <x:v>23.18</x:v>
      </x:c>
      <x:c r="G1002" s="12" t="n">
        <x:v>254.98</x:v>
      </x:c>
      <x:c r="H1002" s="13" t="n">
        <x:v>80</x:v>
      </x:c>
      <x:c r="I1002" s="13" t="n">
        <x:f>YEAR(B1002)</x:f>
        <x:v>2024</x:v>
      </x:c>
      <x:c r="J1002" s="13" t="n">
        <x:f>MONTH(B1002)</x:f>
        <x:v>10</x:v>
      </x:c>
      <x:c r="K1002" s="14" t="n">
        <x:f>ROUND(E1002*F1002-G1002,10)</x:f>
        <x:v>0</x:v>
      </x:c>
      <x:c r="L1002" s="2"/>
      <x:c r="M1002" s="2"/>
      <x:c r="N1002" s="2"/>
      <x:c r="O1002" s="2"/>
      <x:c r="P1002" s="2"/>
      <x:c r="Q1002" s="2"/>
      <x:c r="R1002" s="2"/>
    </x:row>
    <x:row r="1003" ht="22" customHeight="1">
      <x:c r="A1003" s="2" t="n">
        <x:v>100997</x:v>
      </x:c>
      <x:c r="B1003" s="10" t="n">
        <x:v>45586</x:v>
      </x:c>
      <x:c r="C1003" s="2" t="str">
        <x:v>México</x:v>
      </x:c>
      <x:c r="D1003" s="2" t="str">
        <x:v>Calçados</x:v>
      </x:c>
      <x:c r="E1003" s="11" t="n">
        <x:v>13</x:v>
      </x:c>
      <x:c r="F1003" s="12" t="n">
        <x:v>38.5</x:v>
      </x:c>
      <x:c r="G1003" s="12" t="n">
        <x:v>500.5</x:v>
      </x:c>
      <x:c r="H1003" s="13" t="n">
        <x:v>488</x:v>
      </x:c>
      <x:c r="I1003" s="13" t="n">
        <x:f>YEAR(B1003)</x:f>
        <x:v>2024</x:v>
      </x:c>
      <x:c r="J1003" s="13" t="n">
        <x:f>MONTH(B1003)</x:f>
        <x:v>10</x:v>
      </x:c>
      <x:c r="K1003" s="14" t="n">
        <x:f>ROUND(E1003*F1003-G1003,10)</x:f>
        <x:v>0</x:v>
      </x:c>
      <x:c r="L1003" s="2"/>
      <x:c r="M1003" s="2"/>
      <x:c r="N1003" s="2"/>
      <x:c r="O1003" s="2"/>
      <x:c r="P1003" s="2"/>
      <x:c r="Q1003" s="2"/>
      <x:c r="R1003" s="2"/>
    </x:row>
    <x:row r="1004" ht="22" customHeight="1">
      <x:c r="A1004" s="2" t="n">
        <x:v>100998</x:v>
      </x:c>
      <x:c r="B1004" s="10" t="n">
        <x:v>45347</x:v>
      </x:c>
      <x:c r="C1004" s="2" t="str">
        <x:v>Brasil</x:v>
      </x:c>
      <x:c r="D1004" s="2" t="str">
        <x:v>Acessórios</x:v>
      </x:c>
      <x:c r="E1004" s="11" t="n">
        <x:v>42</x:v>
      </x:c>
      <x:c r="F1004" s="12" t="n">
        <x:v>51</x:v>
      </x:c>
      <x:c r="G1004" s="12" t="n">
        <x:v>2142</x:v>
      </x:c>
      <x:c r="H1004" s="13" t="n">
        <x:v>430</x:v>
      </x:c>
      <x:c r="I1004" s="13" t="n">
        <x:f>YEAR(B1004)</x:f>
        <x:v>2024</x:v>
      </x:c>
      <x:c r="J1004" s="13" t="n">
        <x:f>MONTH(B1004)</x:f>
        <x:v>2</x:v>
      </x:c>
      <x:c r="K1004" s="14" t="n">
        <x:f>ROUND(E1004*F1004-G1004,10)</x:f>
        <x:v>0</x:v>
      </x:c>
      <x:c r="L1004" s="2"/>
      <x:c r="M1004" s="2"/>
      <x:c r="N1004" s="2"/>
      <x:c r="O1004" s="2"/>
      <x:c r="P1004" s="2"/>
      <x:c r="Q1004" s="2"/>
      <x:c r="R1004" s="2"/>
    </x:row>
    <x:row r="1005" ht="22" customHeight="1">
      <x:c r="A1005" s="2" t="n">
        <x:v>100999</x:v>
      </x:c>
      <x:c r="B1005" s="10" t="n">
        <x:v>45215</x:v>
      </x:c>
      <x:c r="C1005" s="2" t="str">
        <x:v>Brasil</x:v>
      </x:c>
      <x:c r="D1005" s="2" t="str">
        <x:v>Moda Masculina</x:v>
      </x:c>
      <x:c r="E1005" s="11" t="n">
        <x:v>3</x:v>
      </x:c>
      <x:c r="F1005" s="12" t="n">
        <x:v>97.58</x:v>
      </x:c>
      <x:c r="G1005" s="12" t="n">
        <x:v>292.74</x:v>
      </x:c>
      <x:c r="H1005" s="13" t="n">
        <x:v>317</x:v>
      </x:c>
      <x:c r="I1005" s="13" t="n">
        <x:f>YEAR(B1005)</x:f>
        <x:v>2023</x:v>
      </x:c>
      <x:c r="J1005" s="13" t="n">
        <x:f>MONTH(B1005)</x:f>
        <x:v>10</x:v>
      </x:c>
      <x:c r="K1005" s="14" t="n">
        <x:f>ROUND(E1005*F1005-G1005,10)</x:f>
        <x:v>0</x:v>
      </x:c>
      <x:c r="L1005" s="2"/>
      <x:c r="M1005" s="2"/>
      <x:c r="N1005" s="2"/>
      <x:c r="O1005" s="2"/>
      <x:c r="P1005" s="2"/>
      <x:c r="Q1005" s="2"/>
      <x:c r="R1005" s="2"/>
    </x:row>
    <x:row r="1006" ht="22" customHeight="1">
      <x:c r="A1006" s="2" t="n">
        <x:v>101000</x:v>
      </x:c>
      <x:c r="B1006" s="10" t="n">
        <x:v>45542</x:v>
      </x:c>
      <x:c r="C1006" s="2" t="str">
        <x:v>México</x:v>
      </x:c>
      <x:c r="D1006" s="2" t="str">
        <x:v>Moda Infantil</x:v>
      </x:c>
      <x:c r="E1006" s="11" t="n">
        <x:v>9</x:v>
      </x:c>
      <x:c r="F1006" s="12" t="n">
        <x:v>111.89</x:v>
      </x:c>
      <x:c r="G1006" s="12" t="n">
        <x:v>1007.01</x:v>
      </x:c>
      <x:c r="H1006" s="13" t="n">
        <x:v>60</x:v>
      </x:c>
      <x:c r="I1006" s="13" t="n">
        <x:f>YEAR(B1006)</x:f>
        <x:v>2024</x:v>
      </x:c>
      <x:c r="J1006" s="13" t="n">
        <x:f>MONTH(B1006)</x:f>
        <x:v>9</x:v>
      </x:c>
      <x:c r="K1006" s="14" t="n">
        <x:f>ROUND(E1006*F1006-G1006,10)</x:f>
        <x:v>0</x:v>
      </x:c>
      <x:c r="L1006" s="2"/>
      <x:c r="M1006" s="2"/>
      <x:c r="N1006" s="2"/>
      <x:c r="O1006" s="2"/>
      <x:c r="P1006" s="2"/>
      <x:c r="Q1006" s="2"/>
      <x:c r="R1006" s="2"/>
    </x:row>
    <x:row r="1007" ht="22" customHeight="1">
      <x:c r="A1007" s="2" t="n">
        <x:v>101001</x:v>
      </x:c>
      <x:c r="B1007" s="10" t="n">
        <x:v>44972</x:v>
      </x:c>
      <x:c r="C1007" s="2" t="str">
        <x:v>Peru</x:v>
      </x:c>
      <x:c r="D1007" s="2" t="str">
        <x:v>Moda Infantil</x:v>
      </x:c>
      <x:c r="E1007" s="11" t="n">
        <x:v>12</x:v>
      </x:c>
      <x:c r="F1007" s="12" t="n">
        <x:v>45.31</x:v>
      </x:c>
      <x:c r="G1007" s="12" t="n">
        <x:v>543.72</x:v>
      </x:c>
      <x:c r="H1007" s="13" t="n">
        <x:v>393</x:v>
      </x:c>
      <x:c r="I1007" s="13" t="n">
        <x:f>YEAR(B1007)</x:f>
        <x:v>2023</x:v>
      </x:c>
      <x:c r="J1007" s="13" t="n">
        <x:f>MONTH(B1007)</x:f>
        <x:v>2</x:v>
      </x:c>
      <x:c r="K1007" s="14" t="n">
        <x:f>ROUND(E1007*F1007-G1007,10)</x:f>
        <x:v>0</x:v>
      </x:c>
      <x:c r="L1007" s="2"/>
      <x:c r="M1007" s="2"/>
      <x:c r="N1007" s="2"/>
      <x:c r="O1007" s="2"/>
      <x:c r="P1007" s="2"/>
      <x:c r="Q1007" s="2"/>
      <x:c r="R1007" s="2"/>
    </x:row>
    <x:row r="1008" ht="22" customHeight="1">
      <x:c r="A1008" s="2" t="n">
        <x:v>101002</x:v>
      </x:c>
      <x:c r="B1008" s="10" t="n">
        <x:v>45183</x:v>
      </x:c>
      <x:c r="C1008" s="2" t="str">
        <x:v>México</x:v>
      </x:c>
      <x:c r="D1008" s="2" t="str">
        <x:v>Acessórios</x:v>
      </x:c>
      <x:c r="E1008" s="11" t="n">
        <x:v>23</x:v>
      </x:c>
      <x:c r="F1008" s="12" t="n">
        <x:v>96.46</x:v>
      </x:c>
      <x:c r="G1008" s="12" t="n">
        <x:v>2218.58</x:v>
      </x:c>
      <x:c r="H1008" s="13" t="n">
        <x:v>377</x:v>
      </x:c>
      <x:c r="I1008" s="13" t="n">
        <x:f>YEAR(B1008)</x:f>
        <x:v>2023</x:v>
      </x:c>
      <x:c r="J1008" s="13" t="n">
        <x:f>MONTH(B1008)</x:f>
        <x:v>9</x:v>
      </x:c>
      <x:c r="K1008" s="14" t="n">
        <x:f>ROUND(E1008*F1008-G1008,10)</x:f>
        <x:v>0</x:v>
      </x:c>
      <x:c r="L1008" s="2"/>
      <x:c r="M1008" s="2"/>
      <x:c r="N1008" s="2"/>
      <x:c r="O1008" s="2"/>
      <x:c r="P1008" s="2"/>
      <x:c r="Q1008" s="2"/>
      <x:c r="R1008" s="2"/>
    </x:row>
    <x:row r="1009" ht="22" customHeight="1">
      <x:c r="A1009" s="2" t="n">
        <x:v>101003</x:v>
      </x:c>
      <x:c r="B1009" s="10" t="n">
        <x:v>45581</x:v>
      </x:c>
      <x:c r="C1009" s="2" t="str">
        <x:v>Peru</x:v>
      </x:c>
      <x:c r="D1009" s="2" t="str">
        <x:v>Moda Masculina</x:v>
      </x:c>
      <x:c r="E1009" s="11" t="n">
        <x:v>14</x:v>
      </x:c>
      <x:c r="F1009" s="12" t="n">
        <x:v>81.51</x:v>
      </x:c>
      <x:c r="G1009" s="12" t="n">
        <x:v>1141.14</x:v>
      </x:c>
      <x:c r="H1009" s="13" t="n">
        <x:v>81</x:v>
      </x:c>
      <x:c r="I1009" s="13" t="n">
        <x:f>YEAR(B1009)</x:f>
        <x:v>2024</x:v>
      </x:c>
      <x:c r="J1009" s="13" t="n">
        <x:f>MONTH(B1009)</x:f>
        <x:v>10</x:v>
      </x:c>
      <x:c r="K1009" s="14" t="n">
        <x:f>ROUND(E1009*F1009-G1009,10)</x:f>
        <x:v>0</x:v>
      </x:c>
      <x:c r="L1009" s="2"/>
      <x:c r="M1009" s="2"/>
      <x:c r="N1009" s="2"/>
      <x:c r="O1009" s="2"/>
      <x:c r="P1009" s="2"/>
      <x:c r="Q1009" s="2"/>
      <x:c r="R1009" s="2"/>
    </x:row>
    <x:row r="1010" ht="22" customHeight="1">
      <x:c r="A1010" s="2" t="n">
        <x:v>101004</x:v>
      </x:c>
      <x:c r="B1010" s="10" t="n">
        <x:v>45184</x:v>
      </x:c>
      <x:c r="C1010" s="2" t="str">
        <x:v>Peru</x:v>
      </x:c>
      <x:c r="D1010" s="2" t="str">
        <x:v>Moda Feminina</x:v>
      </x:c>
      <x:c r="E1010" s="11" t="n">
        <x:v>33</x:v>
      </x:c>
      <x:c r="F1010" s="12" t="n">
        <x:v>53.02</x:v>
      </x:c>
      <x:c r="G1010" s="12" t="n">
        <x:v>1749.66</x:v>
      </x:c>
      <x:c r="H1010" s="13" t="n">
        <x:v>106</x:v>
      </x:c>
      <x:c r="I1010" s="13" t="n">
        <x:f>YEAR(B1010)</x:f>
        <x:v>2023</x:v>
      </x:c>
      <x:c r="J1010" s="13" t="n">
        <x:f>MONTH(B1010)</x:f>
        <x:v>9</x:v>
      </x:c>
      <x:c r="K1010" s="14" t="n">
        <x:f>ROUND(E1010*F1010-G1010,10)</x:f>
        <x:v>0</x:v>
      </x:c>
      <x:c r="L1010" s="2"/>
      <x:c r="M1010" s="2"/>
      <x:c r="N1010" s="2"/>
      <x:c r="O1010" s="2"/>
      <x:c r="P1010" s="2"/>
      <x:c r="Q1010" s="2"/>
      <x:c r="R1010" s="2"/>
    </x:row>
    <x:row r="1011" ht="22" customHeight="1">
      <x:c r="A1011" s="2" t="n">
        <x:v>101005</x:v>
      </x:c>
      <x:c r="B1011" s="10" t="n">
        <x:v>45612</x:v>
      </x:c>
      <x:c r="C1011" s="2" t="str">
        <x:v>Colômbia</x:v>
      </x:c>
      <x:c r="D1011" s="2" t="str">
        <x:v>Moda Feminina</x:v>
      </x:c>
      <x:c r="E1011" s="11" t="n">
        <x:v>18</x:v>
      </x:c>
      <x:c r="F1011" s="12" t="n">
        <x:v>21.23</x:v>
      </x:c>
      <x:c r="G1011" s="12" t="n">
        <x:v>382.14</x:v>
      </x:c>
      <x:c r="H1011" s="13" t="n">
        <x:v>215</x:v>
      </x:c>
      <x:c r="I1011" s="13" t="n">
        <x:f>YEAR(B1011)</x:f>
        <x:v>2024</x:v>
      </x:c>
      <x:c r="J1011" s="13" t="n">
        <x:f>MONTH(B1011)</x:f>
        <x:v>11</x:v>
      </x:c>
      <x:c r="K1011" s="14" t="n">
        <x:f>ROUND(E1011*F1011-G1011,10)</x:f>
        <x:v>0</x:v>
      </x:c>
      <x:c r="L1011" s="2"/>
      <x:c r="M1011" s="2"/>
      <x:c r="N1011" s="2"/>
      <x:c r="O1011" s="2"/>
      <x:c r="P1011" s="2"/>
      <x:c r="Q1011" s="2"/>
      <x:c r="R1011" s="2"/>
    </x:row>
    <x:row r="1012" ht="22" customHeight="1">
      <x:c r="A1012" s="2" t="n">
        <x:v>101006</x:v>
      </x:c>
      <x:c r="B1012" s="10" t="n">
        <x:v>45143</x:v>
      </x:c>
      <x:c r="C1012" s="2" t="str">
        <x:v>Peru</x:v>
      </x:c>
      <x:c r="D1012" s="2" t="str">
        <x:v>Calçados</x:v>
      </x:c>
      <x:c r="E1012" s="11" t="n">
        <x:v>49</x:v>
      </x:c>
      <x:c r="F1012" s="12" t="n">
        <x:v>104.06</x:v>
      </x:c>
      <x:c r="G1012" s="12" t="n">
        <x:v>5098.940000000001</x:v>
      </x:c>
      <x:c r="H1012" s="13" t="n">
        <x:v>237</x:v>
      </x:c>
      <x:c r="I1012" s="13" t="n">
        <x:f>YEAR(B1012)</x:f>
        <x:v>2023</x:v>
      </x:c>
      <x:c r="J1012" s="13" t="n">
        <x:f>MONTH(B1012)</x:f>
        <x:v>8</x:v>
      </x:c>
      <x:c r="K1012" s="14" t="n">
        <x:f>ROUND(E1012*F1012-G1012,10)</x:f>
        <x:v>0</x:v>
      </x:c>
      <x:c r="L1012" s="2"/>
      <x:c r="M1012" s="2"/>
      <x:c r="N1012" s="2"/>
      <x:c r="O1012" s="2"/>
      <x:c r="P1012" s="2"/>
      <x:c r="Q1012" s="2"/>
      <x:c r="R1012" s="2"/>
    </x:row>
    <x:row r="1013" ht="22" customHeight="1">
      <x:c r="A1013" s="2" t="n">
        <x:v>101007</x:v>
      </x:c>
      <x:c r="B1013" s="10" t="n">
        <x:v>45185</x:v>
      </x:c>
      <x:c r="C1013" s="2" t="str">
        <x:v>Chile</x:v>
      </x:c>
      <x:c r="D1013" s="2" t="str">
        <x:v>Calçados</x:v>
      </x:c>
      <x:c r="E1013" s="11" t="n">
        <x:v>41</x:v>
      </x:c>
      <x:c r="F1013" s="12" t="n">
        <x:v>143.42</x:v>
      </x:c>
      <x:c r="G1013" s="12" t="n">
        <x:v>5880.219999999999</x:v>
      </x:c>
      <x:c r="H1013" s="13" t="n">
        <x:v>391</x:v>
      </x:c>
      <x:c r="I1013" s="13" t="n">
        <x:f>YEAR(B1013)</x:f>
        <x:v>2023</x:v>
      </x:c>
      <x:c r="J1013" s="13" t="n">
        <x:f>MONTH(B1013)</x:f>
        <x:v>9</x:v>
      </x:c>
      <x:c r="K1013" s="14" t="n">
        <x:f>ROUND(E1013*F1013-G1013,10)</x:f>
        <x:v>0</x:v>
      </x:c>
      <x:c r="L1013" s="2"/>
      <x:c r="M1013" s="2"/>
      <x:c r="N1013" s="2"/>
      <x:c r="O1013" s="2"/>
      <x:c r="P1013" s="2"/>
      <x:c r="Q1013" s="2"/>
      <x:c r="R1013" s="2"/>
    </x:row>
    <x:row r="1014" ht="22" customHeight="1">
      <x:c r="A1014" s="2" t="n">
        <x:v>101008</x:v>
      </x:c>
      <x:c r="B1014" s="10" t="n">
        <x:v>45294</x:v>
      </x:c>
      <x:c r="C1014" s="2" t="str">
        <x:v>Peru</x:v>
      </x:c>
      <x:c r="D1014" s="2" t="str">
        <x:v>Moda Feminina</x:v>
      </x:c>
      <x:c r="E1014" s="11" t="n">
        <x:v>9</x:v>
      </x:c>
      <x:c r="F1014" s="12" t="n">
        <x:v>60.73</x:v>
      </x:c>
      <x:c r="G1014" s="12" t="n">
        <x:v>546.5699999999999</x:v>
      </x:c>
      <x:c r="H1014" s="13" t="n">
        <x:v>68</x:v>
      </x:c>
      <x:c r="I1014" s="13" t="n">
        <x:f>YEAR(B1014)</x:f>
        <x:v>2024</x:v>
      </x:c>
      <x:c r="J1014" s="13" t="n">
        <x:f>MONTH(B1014)</x:f>
        <x:v>1</x:v>
      </x:c>
      <x:c r="K1014" s="14" t="n">
        <x:f>ROUND(E1014*F1014-G1014,10)</x:f>
        <x:v>0</x:v>
      </x:c>
      <x:c r="L1014" s="2"/>
      <x:c r="M1014" s="2"/>
      <x:c r="N1014" s="2"/>
      <x:c r="O1014" s="2"/>
      <x:c r="P1014" s="2"/>
      <x:c r="Q1014" s="2"/>
      <x:c r="R1014" s="2"/>
    </x:row>
    <x:row r="1015" ht="22" customHeight="1">
      <x:c r="A1015" s="2" t="n">
        <x:v>101009</x:v>
      </x:c>
      <x:c r="B1015" s="10" t="n">
        <x:v>45612</x:v>
      </x:c>
      <x:c r="C1015" s="2" t="str">
        <x:v>Peru</x:v>
      </x:c>
      <x:c r="D1015" s="2" t="str">
        <x:v>Moda Infantil</x:v>
      </x:c>
      <x:c r="E1015" s="11" t="n">
        <x:v>23</x:v>
      </x:c>
      <x:c r="F1015" s="12" t="n">
        <x:v>43.73</x:v>
      </x:c>
      <x:c r="G1015" s="12" t="n">
        <x:v>1005.79</x:v>
      </x:c>
      <x:c r="H1015" s="13" t="n">
        <x:v>165</x:v>
      </x:c>
      <x:c r="I1015" s="13" t="n">
        <x:f>YEAR(B1015)</x:f>
        <x:v>2024</x:v>
      </x:c>
      <x:c r="J1015" s="13" t="n">
        <x:f>MONTH(B1015)</x:f>
        <x:v>11</x:v>
      </x:c>
      <x:c r="K1015" s="14" t="n">
        <x:f>ROUND(E1015*F1015-G1015,10)</x:f>
        <x:v>0</x:v>
      </x:c>
      <x:c r="L1015" s="2"/>
      <x:c r="M1015" s="2"/>
      <x:c r="N1015" s="2"/>
      <x:c r="O1015" s="2"/>
      <x:c r="P1015" s="2"/>
      <x:c r="Q1015" s="2"/>
      <x:c r="R1015" s="2"/>
    </x:row>
    <x:row r="1016" ht="22" customHeight="1">
      <x:c r="A1016" s="2" t="n">
        <x:v>101010</x:v>
      </x:c>
      <x:c r="B1016" s="10" t="n">
        <x:v>45487</x:v>
      </x:c>
      <x:c r="C1016" s="2" t="str">
        <x:v>Peru</x:v>
      </x:c>
      <x:c r="D1016" s="2" t="str">
        <x:v>Moda Infantil</x:v>
      </x:c>
      <x:c r="E1016" s="11" t="n">
        <x:v>10</x:v>
      </x:c>
      <x:c r="F1016" s="12" t="n">
        <x:v>179.67</x:v>
      </x:c>
      <x:c r="G1016" s="12" t="n">
        <x:v>1796.7</x:v>
      </x:c>
      <x:c r="H1016" s="13" t="n">
        <x:v>233</x:v>
      </x:c>
      <x:c r="I1016" s="13" t="n">
        <x:f>YEAR(B1016)</x:f>
        <x:v>2024</x:v>
      </x:c>
      <x:c r="J1016" s="13" t="n">
        <x:f>MONTH(B1016)</x:f>
        <x:v>7</x:v>
      </x:c>
      <x:c r="K1016" s="14" t="n">
        <x:f>ROUND(E1016*F1016-G1016,10)</x:f>
        <x:v>0</x:v>
      </x:c>
      <x:c r="L1016" s="2"/>
      <x:c r="M1016" s="2"/>
      <x:c r="N1016" s="2"/>
      <x:c r="O1016" s="2"/>
      <x:c r="P1016" s="2"/>
      <x:c r="Q1016" s="2"/>
      <x:c r="R1016" s="2"/>
    </x:row>
    <x:row r="1017" ht="22" customHeight="1">
      <x:c r="A1017" s="2" t="n">
        <x:v>101011</x:v>
      </x:c>
      <x:c r="B1017" s="10" t="n">
        <x:v>45389</x:v>
      </x:c>
      <x:c r="C1017" s="2" t="str">
        <x:v>Brasil</x:v>
      </x:c>
      <x:c r="D1017" s="2" t="str">
        <x:v>Calçados</x:v>
      </x:c>
      <x:c r="E1017" s="11" t="n">
        <x:v>19</x:v>
      </x:c>
      <x:c r="F1017" s="12" t="n">
        <x:v>69.5</x:v>
      </x:c>
      <x:c r="G1017" s="12" t="n">
        <x:v>1320.5</x:v>
      </x:c>
      <x:c r="H1017" s="13" t="n">
        <x:v>319</x:v>
      </x:c>
      <x:c r="I1017" s="13" t="n">
        <x:f>YEAR(B1017)</x:f>
        <x:v>2024</x:v>
      </x:c>
      <x:c r="J1017" s="13" t="n">
        <x:f>MONTH(B1017)</x:f>
        <x:v>4</x:v>
      </x:c>
      <x:c r="K1017" s="14" t="n">
        <x:f>ROUND(E1017*F1017-G1017,10)</x:f>
        <x:v>0</x:v>
      </x:c>
      <x:c r="L1017" s="2"/>
      <x:c r="M1017" s="2"/>
      <x:c r="N1017" s="2"/>
      <x:c r="O1017" s="2"/>
      <x:c r="P1017" s="2"/>
      <x:c r="Q1017" s="2"/>
      <x:c r="R1017" s="2"/>
    </x:row>
    <x:row r="1018" ht="22" customHeight="1">
      <x:c r="A1018" s="2" t="n">
        <x:v>101012</x:v>
      </x:c>
      <x:c r="B1018" s="10" t="n">
        <x:v>45612</x:v>
      </x:c>
      <x:c r="C1018" s="2" t="str">
        <x:v>Chile</x:v>
      </x:c>
      <x:c r="D1018" s="2" t="str">
        <x:v>Acessórios</x:v>
      </x:c>
      <x:c r="E1018" s="11" t="n">
        <x:v>47</x:v>
      </x:c>
      <x:c r="F1018" s="12" t="n">
        <x:v>60.25</x:v>
      </x:c>
      <x:c r="G1018" s="12" t="n">
        <x:v>2831.75</x:v>
      </x:c>
      <x:c r="H1018" s="13" t="n">
        <x:v>82</x:v>
      </x:c>
      <x:c r="I1018" s="13" t="n">
        <x:f>YEAR(B1018)</x:f>
        <x:v>2024</x:v>
      </x:c>
      <x:c r="J1018" s="13" t="n">
        <x:f>MONTH(B1018)</x:f>
        <x:v>11</x:v>
      </x:c>
      <x:c r="K1018" s="14" t="n">
        <x:f>ROUND(E1018*F1018-G1018,10)</x:f>
        <x:v>0</x:v>
      </x:c>
      <x:c r="L1018" s="2"/>
      <x:c r="M1018" s="2"/>
      <x:c r="N1018" s="2"/>
      <x:c r="O1018" s="2"/>
      <x:c r="P1018" s="2"/>
      <x:c r="Q1018" s="2"/>
      <x:c r="R1018" s="2"/>
    </x:row>
    <x:row r="1019" ht="22" customHeight="1">
      <x:c r="A1019" s="2" t="n">
        <x:v>101013</x:v>
      </x:c>
      <x:c r="B1019" s="10" t="n">
        <x:v>45338</x:v>
      </x:c>
      <x:c r="C1019" s="2" t="str">
        <x:v>Chile</x:v>
      </x:c>
      <x:c r="D1019" s="2" t="str">
        <x:v>Moda Feminina</x:v>
      </x:c>
      <x:c r="E1019" s="11" t="n">
        <x:v>5</x:v>
      </x:c>
      <x:c r="F1019" s="12" t="n">
        <x:v>174.28</x:v>
      </x:c>
      <x:c r="G1019" s="12" t="n">
        <x:v>871.4</x:v>
      </x:c>
      <x:c r="H1019" s="13" t="n">
        <x:v>59</x:v>
      </x:c>
      <x:c r="I1019" s="13" t="n">
        <x:f>YEAR(B1019)</x:f>
        <x:v>2024</x:v>
      </x:c>
      <x:c r="J1019" s="13" t="n">
        <x:f>MONTH(B1019)</x:f>
        <x:v>2</x:v>
      </x:c>
      <x:c r="K1019" s="14" t="n">
        <x:f>ROUND(E1019*F1019-G1019,10)</x:f>
        <x:v>0</x:v>
      </x:c>
      <x:c r="L1019" s="2"/>
      <x:c r="M1019" s="2"/>
      <x:c r="N1019" s="2"/>
      <x:c r="O1019" s="2"/>
      <x:c r="P1019" s="2"/>
      <x:c r="Q1019" s="2"/>
      <x:c r="R1019" s="2"/>
    </x:row>
    <x:row r="1020" ht="22" customHeight="1">
      <x:c r="A1020" s="2" t="n">
        <x:v>101014</x:v>
      </x:c>
      <x:c r="B1020" s="10" t="n">
        <x:v>45607</x:v>
      </x:c>
      <x:c r="C1020" s="2" t="str">
        <x:v>México</x:v>
      </x:c>
      <x:c r="D1020" s="2" t="str">
        <x:v>Calçados</x:v>
      </x:c>
      <x:c r="E1020" s="11" t="n">
        <x:v>47</x:v>
      </x:c>
      <x:c r="F1020" s="12" t="n">
        <x:v>167.08</x:v>
      </x:c>
      <x:c r="G1020" s="12" t="n">
        <x:v>7852.76</x:v>
      </x:c>
      <x:c r="H1020" s="13" t="n">
        <x:v>129</x:v>
      </x:c>
      <x:c r="I1020" s="13" t="n">
        <x:f>YEAR(B1020)</x:f>
        <x:v>2024</x:v>
      </x:c>
      <x:c r="J1020" s="13" t="n">
        <x:f>MONTH(B1020)</x:f>
        <x:v>11</x:v>
      </x:c>
      <x:c r="K1020" s="14" t="n">
        <x:f>ROUND(E1020*F1020-G1020,10)</x:f>
        <x:v>0</x:v>
      </x:c>
      <x:c r="L1020" s="2"/>
      <x:c r="M1020" s="2"/>
      <x:c r="N1020" s="2"/>
      <x:c r="O1020" s="2"/>
      <x:c r="P1020" s="2"/>
      <x:c r="Q1020" s="2"/>
      <x:c r="R1020" s="2"/>
    </x:row>
    <x:row r="1021" ht="22" customHeight="1">
      <x:c r="A1021" s="2" t="n">
        <x:v>101015</x:v>
      </x:c>
      <x:c r="B1021" s="10" t="n">
        <x:v>45571</x:v>
      </x:c>
      <x:c r="C1021" s="2" t="str">
        <x:v>Colômbia</x:v>
      </x:c>
      <x:c r="D1021" s="2" t="str">
        <x:v>Calçados</x:v>
      </x:c>
      <x:c r="E1021" s="11" t="n">
        <x:v>23</x:v>
      </x:c>
      <x:c r="F1021" s="12" t="n">
        <x:v>100.7</x:v>
      </x:c>
      <x:c r="G1021" s="12" t="n">
        <x:v>2316.1</x:v>
      </x:c>
      <x:c r="H1021" s="13" t="n">
        <x:v>241</x:v>
      </x:c>
      <x:c r="I1021" s="13" t="n">
        <x:f>YEAR(B1021)</x:f>
        <x:v>2024</x:v>
      </x:c>
      <x:c r="J1021" s="13" t="n">
        <x:f>MONTH(B1021)</x:f>
        <x:v>10</x:v>
      </x:c>
      <x:c r="K1021" s="14" t="n">
        <x:f>ROUND(E1021*F1021-G1021,10)</x:f>
        <x:v>0</x:v>
      </x:c>
      <x:c r="L1021" s="2"/>
      <x:c r="M1021" s="2"/>
      <x:c r="N1021" s="2"/>
      <x:c r="O1021" s="2"/>
      <x:c r="P1021" s="2"/>
      <x:c r="Q1021" s="2"/>
      <x:c r="R1021" s="2"/>
    </x:row>
    <x:row r="1022" ht="22" customHeight="1">
      <x:c r="A1022" s="2" t="n">
        <x:v>101016</x:v>
      </x:c>
      <x:c r="B1022" s="10" t="n">
        <x:v>45266</x:v>
      </x:c>
      <x:c r="C1022" s="2" t="str">
        <x:v>Peru</x:v>
      </x:c>
      <x:c r="D1022" s="2" t="str">
        <x:v>Moda Feminina</x:v>
      </x:c>
      <x:c r="E1022" s="11" t="n">
        <x:v>30</x:v>
      </x:c>
      <x:c r="F1022" s="12" t="n">
        <x:v>108.06</x:v>
      </x:c>
      <x:c r="G1022" s="12" t="n">
        <x:v>3241.8</x:v>
      </x:c>
      <x:c r="H1022" s="13" t="n">
        <x:v>369</x:v>
      </x:c>
      <x:c r="I1022" s="13" t="n">
        <x:f>YEAR(B1022)</x:f>
        <x:v>2023</x:v>
      </x:c>
      <x:c r="J1022" s="13" t="n">
        <x:f>MONTH(B1022)</x:f>
        <x:v>12</x:v>
      </x:c>
      <x:c r="K1022" s="14" t="n">
        <x:f>ROUND(E1022*F1022-G1022,10)</x:f>
        <x:v>0</x:v>
      </x:c>
      <x:c r="L1022" s="2"/>
      <x:c r="M1022" s="2"/>
      <x:c r="N1022" s="2"/>
      <x:c r="O1022" s="2"/>
      <x:c r="P1022" s="2"/>
      <x:c r="Q1022" s="2"/>
      <x:c r="R1022" s="2"/>
    </x:row>
    <x:row r="1023" ht="22" customHeight="1">
      <x:c r="A1023" s="2" t="n">
        <x:v>101017</x:v>
      </x:c>
      <x:c r="B1023" s="10" t="n">
        <x:v>45414</x:v>
      </x:c>
      <x:c r="C1023" s="2" t="str">
        <x:v>Argentina</x:v>
      </x:c>
      <x:c r="D1023" s="2" t="str">
        <x:v>Moda Feminina</x:v>
      </x:c>
      <x:c r="E1023" s="11" t="n">
        <x:v>25</x:v>
      </x:c>
      <x:c r="F1023" s="12" t="n">
        <x:v>59.19</x:v>
      </x:c>
      <x:c r="G1023" s="12" t="n">
        <x:v>1479.75</x:v>
      </x:c>
      <x:c r="H1023" s="13" t="n">
        <x:v>239</x:v>
      </x:c>
      <x:c r="I1023" s="13" t="n">
        <x:f>YEAR(B1023)</x:f>
        <x:v>2024</x:v>
      </x:c>
      <x:c r="J1023" s="13" t="n">
        <x:f>MONTH(B1023)</x:f>
        <x:v>5</x:v>
      </x:c>
      <x:c r="K1023" s="14" t="n">
        <x:f>ROUND(E1023*F1023-G1023,10)</x:f>
        <x:v>0</x:v>
      </x:c>
      <x:c r="L1023" s="2"/>
      <x:c r="M1023" s="2"/>
      <x:c r="N1023" s="2"/>
      <x:c r="O1023" s="2"/>
      <x:c r="P1023" s="2"/>
      <x:c r="Q1023" s="2"/>
      <x:c r="R1023" s="2"/>
    </x:row>
    <x:row r="1024" ht="22" customHeight="1">
      <x:c r="A1024" s="2" t="n">
        <x:v>101018</x:v>
      </x:c>
      <x:c r="B1024" s="10" t="n">
        <x:v>45525</x:v>
      </x:c>
      <x:c r="C1024" s="2" t="str">
        <x:v>Colômbia</x:v>
      </x:c>
      <x:c r="D1024" s="2" t="str">
        <x:v>Moda Infantil</x:v>
      </x:c>
      <x:c r="E1024" s="11" t="n">
        <x:v>28</x:v>
      </x:c>
      <x:c r="F1024" s="12" t="n">
        <x:v>34.09</x:v>
      </x:c>
      <x:c r="G1024" s="12" t="n">
        <x:v>954.5200000000001</x:v>
      </x:c>
      <x:c r="H1024" s="13" t="n">
        <x:v>117</x:v>
      </x:c>
      <x:c r="I1024" s="13" t="n">
        <x:f>YEAR(B1024)</x:f>
        <x:v>2024</x:v>
      </x:c>
      <x:c r="J1024" s="13" t="n">
        <x:f>MONTH(B1024)</x:f>
        <x:v>8</x:v>
      </x:c>
      <x:c r="K1024" s="14" t="n">
        <x:f>ROUND(E1024*F1024-G1024,10)</x:f>
        <x:v>0</x:v>
      </x:c>
      <x:c r="L1024" s="2"/>
      <x:c r="M1024" s="2"/>
      <x:c r="N1024" s="2"/>
      <x:c r="O1024" s="2"/>
      <x:c r="P1024" s="2"/>
      <x:c r="Q1024" s="2"/>
      <x:c r="R1024" s="2"/>
    </x:row>
    <x:row r="1025" ht="22" customHeight="1">
      <x:c r="A1025" s="2" t="n">
        <x:v>101019</x:v>
      </x:c>
      <x:c r="B1025" s="10" t="n">
        <x:v>44929</x:v>
      </x:c>
      <x:c r="C1025" s="2" t="str">
        <x:v>Colômbia</x:v>
      </x:c>
      <x:c r="D1025" s="2" t="str">
        <x:v>Acessórios</x:v>
      </x:c>
      <x:c r="E1025" s="11" t="n">
        <x:v>34</x:v>
      </x:c>
      <x:c r="F1025" s="12" t="n">
        <x:v>123.22</x:v>
      </x:c>
      <x:c r="G1025" s="12" t="n">
        <x:v>4189.48</x:v>
      </x:c>
      <x:c r="H1025" s="13" t="n">
        <x:v>397</x:v>
      </x:c>
      <x:c r="I1025" s="13" t="n">
        <x:f>YEAR(B1025)</x:f>
        <x:v>2023</x:v>
      </x:c>
      <x:c r="J1025" s="13" t="n">
        <x:f>MONTH(B1025)</x:f>
        <x:v>1</x:v>
      </x:c>
      <x:c r="K1025" s="14" t="n">
        <x:f>ROUND(E1025*F1025-G1025,10)</x:f>
        <x:v>0</x:v>
      </x:c>
      <x:c r="L1025" s="2"/>
      <x:c r="M1025" s="2"/>
      <x:c r="N1025" s="2"/>
      <x:c r="O1025" s="2"/>
      <x:c r="P1025" s="2"/>
      <x:c r="Q1025" s="2"/>
      <x:c r="R1025" s="2"/>
    </x:row>
    <x:row r="1026" ht="22" customHeight="1">
      <x:c r="A1026" s="2" t="n">
        <x:v>101020</x:v>
      </x:c>
      <x:c r="B1026" s="10" t="n">
        <x:v>45086</x:v>
      </x:c>
      <x:c r="C1026" s="2" t="str">
        <x:v>Chile</x:v>
      </x:c>
      <x:c r="D1026" s="2" t="str">
        <x:v>Acessórios</x:v>
      </x:c>
      <x:c r="E1026" s="11" t="n">
        <x:v>45</x:v>
      </x:c>
      <x:c r="F1026" s="12" t="n">
        <x:v>37.7</x:v>
      </x:c>
      <x:c r="G1026" s="12" t="n">
        <x:v>1696.5</x:v>
      </x:c>
      <x:c r="H1026" s="13" t="n">
        <x:v>174</x:v>
      </x:c>
      <x:c r="I1026" s="13" t="n">
        <x:f>YEAR(B1026)</x:f>
        <x:v>2023</x:v>
      </x:c>
      <x:c r="J1026" s="13" t="n">
        <x:f>MONTH(B1026)</x:f>
        <x:v>6</x:v>
      </x:c>
      <x:c r="K1026" s="14" t="n">
        <x:f>ROUND(E1026*F1026-G1026,10)</x:f>
        <x:v>0</x:v>
      </x:c>
      <x:c r="L1026" s="2"/>
      <x:c r="M1026" s="2"/>
      <x:c r="N1026" s="2"/>
      <x:c r="O1026" s="2"/>
      <x:c r="P1026" s="2"/>
      <x:c r="Q1026" s="2"/>
      <x:c r="R1026" s="2"/>
    </x:row>
    <x:row r="1027" ht="22" customHeight="1">
      <x:c r="A1027" s="2" t="n">
        <x:v>101021</x:v>
      </x:c>
      <x:c r="B1027" s="10" t="n">
        <x:v>45034</x:v>
      </x:c>
      <x:c r="C1027" s="2" t="str">
        <x:v>Colômbia</x:v>
      </x:c>
      <x:c r="D1027" s="2" t="str">
        <x:v>Moda Feminina</x:v>
      </x:c>
      <x:c r="E1027" s="11" t="n">
        <x:v>48</x:v>
      </x:c>
      <x:c r="F1027" s="12" t="n">
        <x:v>100.87</x:v>
      </x:c>
      <x:c r="G1027" s="12" t="n">
        <x:v>4841.76</x:v>
      </x:c>
      <x:c r="H1027" s="13" t="n">
        <x:v>476</x:v>
      </x:c>
      <x:c r="I1027" s="13" t="n">
        <x:f>YEAR(B1027)</x:f>
        <x:v>2023</x:v>
      </x:c>
      <x:c r="J1027" s="13" t="n">
        <x:f>MONTH(B1027)</x:f>
        <x:v>4</x:v>
      </x:c>
      <x:c r="K1027" s="14" t="n">
        <x:f>ROUND(E1027*F1027-G1027,10)</x:f>
        <x:v>0</x:v>
      </x:c>
      <x:c r="L1027" s="2"/>
      <x:c r="M1027" s="2"/>
      <x:c r="N1027" s="2"/>
      <x:c r="O1027" s="2"/>
      <x:c r="P1027" s="2"/>
      <x:c r="Q1027" s="2"/>
      <x:c r="R1027" s="2"/>
    </x:row>
    <x:row r="1028" ht="22" customHeight="1">
      <x:c r="A1028" s="2" t="n">
        <x:v>101022</x:v>
      </x:c>
      <x:c r="B1028" s="10" t="n">
        <x:v>45207</x:v>
      </x:c>
      <x:c r="C1028" s="2" t="str">
        <x:v>Peru</x:v>
      </x:c>
      <x:c r="D1028" s="2" t="str">
        <x:v>Moda Masculina</x:v>
      </x:c>
      <x:c r="E1028" s="11" t="n">
        <x:v>47</x:v>
      </x:c>
      <x:c r="F1028" s="12" t="n">
        <x:v>189.29</x:v>
      </x:c>
      <x:c r="G1028" s="12" t="n">
        <x:v>8896.63</x:v>
      </x:c>
      <x:c r="H1028" s="13" t="n">
        <x:v>385</x:v>
      </x:c>
      <x:c r="I1028" s="13" t="n">
        <x:f>YEAR(B1028)</x:f>
        <x:v>2023</x:v>
      </x:c>
      <x:c r="J1028" s="13" t="n">
        <x:f>MONTH(B1028)</x:f>
        <x:v>10</x:v>
      </x:c>
      <x:c r="K1028" s="14" t="n">
        <x:f>ROUND(E1028*F1028-G1028,10)</x:f>
        <x:v>0</x:v>
      </x:c>
      <x:c r="L1028" s="2"/>
      <x:c r="M1028" s="2"/>
      <x:c r="N1028" s="2"/>
      <x:c r="O1028" s="2"/>
      <x:c r="P1028" s="2"/>
      <x:c r="Q1028" s="2"/>
      <x:c r="R1028" s="2"/>
    </x:row>
    <x:row r="1029" ht="22" customHeight="1">
      <x:c r="A1029" s="2" t="n">
        <x:v>101023</x:v>
      </x:c>
      <x:c r="B1029" s="10" t="n">
        <x:v>45512</x:v>
      </x:c>
      <x:c r="C1029" s="2" t="str">
        <x:v>Peru</x:v>
      </x:c>
      <x:c r="D1029" s="2" t="str">
        <x:v>Calçados</x:v>
      </x:c>
      <x:c r="E1029" s="11" t="n">
        <x:v>25</x:v>
      </x:c>
      <x:c r="F1029" s="12" t="n">
        <x:v>191.51</x:v>
      </x:c>
      <x:c r="G1029" s="12" t="n">
        <x:v>4787.75</x:v>
      </x:c>
      <x:c r="H1029" s="13" t="n">
        <x:v>108</x:v>
      </x:c>
      <x:c r="I1029" s="13" t="n">
        <x:f>YEAR(B1029)</x:f>
        <x:v>2024</x:v>
      </x:c>
      <x:c r="J1029" s="13" t="n">
        <x:f>MONTH(B1029)</x:f>
        <x:v>8</x:v>
      </x:c>
      <x:c r="K1029" s="14" t="n">
        <x:f>ROUND(E1029*F1029-G1029,10)</x:f>
        <x:v>0</x:v>
      </x:c>
      <x:c r="L1029" s="2"/>
      <x:c r="M1029" s="2"/>
      <x:c r="N1029" s="2"/>
      <x:c r="O1029" s="2"/>
      <x:c r="P1029" s="2"/>
      <x:c r="Q1029" s="2"/>
      <x:c r="R1029" s="2"/>
    </x:row>
    <x:row r="1030" ht="22" customHeight="1">
      <x:c r="A1030" s="2" t="n">
        <x:v>101024</x:v>
      </x:c>
      <x:c r="B1030" s="10" t="n">
        <x:v>45105</x:v>
      </x:c>
      <x:c r="C1030" s="2" t="str">
        <x:v>Brasil</x:v>
      </x:c>
      <x:c r="D1030" s="2" t="str">
        <x:v>Calçados</x:v>
      </x:c>
      <x:c r="E1030" s="11" t="n">
        <x:v>10</x:v>
      </x:c>
      <x:c r="F1030" s="12" t="n">
        <x:v>63.08</x:v>
      </x:c>
      <x:c r="G1030" s="12" t="n">
        <x:v>630.8</x:v>
      </x:c>
      <x:c r="H1030" s="13" t="n">
        <x:v>485</x:v>
      </x:c>
      <x:c r="I1030" s="13" t="n">
        <x:f>YEAR(B1030)</x:f>
        <x:v>2023</x:v>
      </x:c>
      <x:c r="J1030" s="13" t="n">
        <x:f>MONTH(B1030)</x:f>
        <x:v>6</x:v>
      </x:c>
      <x:c r="K1030" s="14" t="n">
        <x:f>ROUND(E1030*F1030-G1030,10)</x:f>
        <x:v>0</x:v>
      </x:c>
      <x:c r="L1030" s="2"/>
      <x:c r="M1030" s="2"/>
      <x:c r="N1030" s="2"/>
      <x:c r="O1030" s="2"/>
      <x:c r="P1030" s="2"/>
      <x:c r="Q1030" s="2"/>
      <x:c r="R1030" s="2"/>
    </x:row>
    <x:row r="1031" ht="22" customHeight="1">
      <x:c r="A1031" s="2" t="n">
        <x:v>101025</x:v>
      </x:c>
      <x:c r="B1031" s="10" t="n">
        <x:v>45084</x:v>
      </x:c>
      <x:c r="C1031" s="2" t="str">
        <x:v>Peru</x:v>
      </x:c>
      <x:c r="D1031" s="2" t="str">
        <x:v>Moda Feminina</x:v>
      </x:c>
      <x:c r="E1031" s="11" t="n">
        <x:v>14</x:v>
      </x:c>
      <x:c r="F1031" s="12" t="n">
        <x:v>132.34</x:v>
      </x:c>
      <x:c r="G1031" s="12" t="n">
        <x:v>1852.76</x:v>
      </x:c>
      <x:c r="H1031" s="13" t="n">
        <x:v>146</x:v>
      </x:c>
      <x:c r="I1031" s="13" t="n">
        <x:f>YEAR(B1031)</x:f>
        <x:v>2023</x:v>
      </x:c>
      <x:c r="J1031" s="13" t="n">
        <x:f>MONTH(B1031)</x:f>
        <x:v>6</x:v>
      </x:c>
      <x:c r="K1031" s="14" t="n">
        <x:f>ROUND(E1031*F1031-G1031,10)</x:f>
        <x:v>0</x:v>
      </x:c>
      <x:c r="L1031" s="2"/>
      <x:c r="M1031" s="2"/>
      <x:c r="N1031" s="2"/>
      <x:c r="O1031" s="2"/>
      <x:c r="P1031" s="2"/>
      <x:c r="Q1031" s="2"/>
      <x:c r="R1031" s="2"/>
    </x:row>
    <x:row r="1032" ht="22" customHeight="1">
      <x:c r="A1032" s="2" t="n">
        <x:v>101026</x:v>
      </x:c>
      <x:c r="B1032" s="10" t="n">
        <x:v>45117</x:v>
      </x:c>
      <x:c r="C1032" s="2" t="str">
        <x:v>Peru</x:v>
      </x:c>
      <x:c r="D1032" s="2" t="str">
        <x:v>Moda Masculina</x:v>
      </x:c>
      <x:c r="E1032" s="11" t="n">
        <x:v>42</x:v>
      </x:c>
      <x:c r="F1032" s="12" t="n">
        <x:v>105.33</x:v>
      </x:c>
      <x:c r="G1032" s="12" t="n">
        <x:v>4423.86</x:v>
      </x:c>
      <x:c r="H1032" s="13" t="n">
        <x:v>324</x:v>
      </x:c>
      <x:c r="I1032" s="13" t="n">
        <x:f>YEAR(B1032)</x:f>
        <x:v>2023</x:v>
      </x:c>
      <x:c r="J1032" s="13" t="n">
        <x:f>MONTH(B1032)</x:f>
        <x:v>7</x:v>
      </x:c>
      <x:c r="K1032" s="14" t="n">
        <x:f>ROUND(E1032*F1032-G1032,10)</x:f>
        <x:v>0</x:v>
      </x:c>
      <x:c r="L1032" s="2"/>
      <x:c r="M1032" s="2"/>
      <x:c r="N1032" s="2"/>
      <x:c r="O1032" s="2"/>
      <x:c r="P1032" s="2"/>
      <x:c r="Q1032" s="2"/>
      <x:c r="R1032" s="2"/>
    </x:row>
    <x:row r="1033" ht="22" customHeight="1">
      <x:c r="A1033" s="2" t="n">
        <x:v>101027</x:v>
      </x:c>
      <x:c r="B1033" s="10" t="n">
        <x:v>45073</x:v>
      </x:c>
      <x:c r="C1033" s="2" t="str">
        <x:v>Chile</x:v>
      </x:c>
      <x:c r="D1033" s="2" t="str">
        <x:v>Moda Infantil</x:v>
      </x:c>
      <x:c r="E1033" s="11" t="n">
        <x:v>46</x:v>
      </x:c>
      <x:c r="F1033" s="12" t="n">
        <x:v>177.62</x:v>
      </x:c>
      <x:c r="G1033" s="12" t="n">
        <x:v>8170.52</x:v>
      </x:c>
      <x:c r="H1033" s="13" t="n">
        <x:v>198</x:v>
      </x:c>
      <x:c r="I1033" s="13" t="n">
        <x:f>YEAR(B1033)</x:f>
        <x:v>2023</x:v>
      </x:c>
      <x:c r="J1033" s="13" t="n">
        <x:f>MONTH(B1033)</x:f>
        <x:v>5</x:v>
      </x:c>
      <x:c r="K1033" s="14" t="n">
        <x:f>ROUND(E1033*F1033-G1033,10)</x:f>
        <x:v>0</x:v>
      </x:c>
      <x:c r="L1033" s="2"/>
      <x:c r="M1033" s="2"/>
      <x:c r="N1033" s="2"/>
      <x:c r="O1033" s="2"/>
      <x:c r="P1033" s="2"/>
      <x:c r="Q1033" s="2"/>
      <x:c r="R1033" s="2"/>
    </x:row>
    <x:row r="1034" ht="22" customHeight="1">
      <x:c r="A1034" s="2" t="n">
        <x:v>101028</x:v>
      </x:c>
      <x:c r="B1034" s="10" t="n">
        <x:v>45123</x:v>
      </x:c>
      <x:c r="C1034" s="2" t="str">
        <x:v>Peru</x:v>
      </x:c>
      <x:c r="D1034" s="2" t="str">
        <x:v>Moda Feminina</x:v>
      </x:c>
      <x:c r="E1034" s="11" t="n">
        <x:v>30</x:v>
      </x:c>
      <x:c r="F1034" s="12" t="n">
        <x:v>68.86</x:v>
      </x:c>
      <x:c r="G1034" s="12" t="n">
        <x:v>2065.8</x:v>
      </x:c>
      <x:c r="H1034" s="13" t="n">
        <x:v>327</x:v>
      </x:c>
      <x:c r="I1034" s="13" t="n">
        <x:f>YEAR(B1034)</x:f>
        <x:v>2023</x:v>
      </x:c>
      <x:c r="J1034" s="13" t="n">
        <x:f>MONTH(B1034)</x:f>
        <x:v>7</x:v>
      </x:c>
      <x:c r="K1034" s="14" t="n">
        <x:f>ROUND(E1034*F1034-G1034,10)</x:f>
        <x:v>0</x:v>
      </x:c>
      <x:c r="L1034" s="2"/>
      <x:c r="M1034" s="2"/>
      <x:c r="N1034" s="2"/>
      <x:c r="O1034" s="2"/>
      <x:c r="P1034" s="2"/>
      <x:c r="Q1034" s="2"/>
      <x:c r="R1034" s="2"/>
    </x:row>
    <x:row r="1035" ht="22" customHeight="1">
      <x:c r="A1035" s="2" t="n">
        <x:v>101029</x:v>
      </x:c>
      <x:c r="B1035" s="10" t="n">
        <x:v>45630</x:v>
      </x:c>
      <x:c r="C1035" s="2" t="str">
        <x:v>Brasil</x:v>
      </x:c>
      <x:c r="D1035" s="2" t="str">
        <x:v>Moda Feminina</x:v>
      </x:c>
      <x:c r="E1035" s="11" t="n">
        <x:v>41</x:v>
      </x:c>
      <x:c r="F1035" s="12" t="n">
        <x:v>20.67</x:v>
      </x:c>
      <x:c r="G1035" s="12" t="n">
        <x:v>847.47</x:v>
      </x:c>
      <x:c r="H1035" s="13" t="n">
        <x:v>314</x:v>
      </x:c>
      <x:c r="I1035" s="13" t="n">
        <x:f>YEAR(B1035)</x:f>
        <x:v>2024</x:v>
      </x:c>
      <x:c r="J1035" s="13" t="n">
        <x:f>MONTH(B1035)</x:f>
        <x:v>12</x:v>
      </x:c>
      <x:c r="K1035" s="14" t="n">
        <x:f>ROUND(E1035*F1035-G1035,10)</x:f>
        <x:v>0</x:v>
      </x:c>
      <x:c r="L1035" s="2"/>
      <x:c r="M1035" s="2"/>
      <x:c r="N1035" s="2"/>
      <x:c r="O1035" s="2"/>
      <x:c r="P1035" s="2"/>
      <x:c r="Q1035" s="2"/>
      <x:c r="R1035" s="2"/>
    </x:row>
    <x:row r="1036" ht="22" customHeight="1">
      <x:c r="A1036" s="2" t="n">
        <x:v>101030</x:v>
      </x:c>
      <x:c r="B1036" s="10" t="n">
        <x:v>45652</x:v>
      </x:c>
      <x:c r="C1036" s="2" t="str">
        <x:v>Argentina</x:v>
      </x:c>
      <x:c r="D1036" s="2" t="str">
        <x:v>Calçados</x:v>
      </x:c>
      <x:c r="E1036" s="11" t="n">
        <x:v>25</x:v>
      </x:c>
      <x:c r="F1036" s="12" t="n">
        <x:v>49.26</x:v>
      </x:c>
      <x:c r="G1036" s="12" t="n">
        <x:v>1231.5</x:v>
      </x:c>
      <x:c r="H1036" s="13" t="n">
        <x:v>58</x:v>
      </x:c>
      <x:c r="I1036" s="13" t="n">
        <x:f>YEAR(B1036)</x:f>
        <x:v>2024</x:v>
      </x:c>
      <x:c r="J1036" s="13" t="n">
        <x:f>MONTH(B1036)</x:f>
        <x:v>12</x:v>
      </x:c>
      <x:c r="K1036" s="14" t="n">
        <x:f>ROUND(E1036*F1036-G1036,10)</x:f>
        <x:v>0</x:v>
      </x:c>
      <x:c r="L1036" s="2"/>
      <x:c r="M1036" s="2"/>
      <x:c r="N1036" s="2"/>
      <x:c r="O1036" s="2"/>
      <x:c r="P1036" s="2"/>
      <x:c r="Q1036" s="2"/>
      <x:c r="R1036" s="2"/>
    </x:row>
    <x:row r="1037" ht="22" customHeight="1">
      <x:c r="A1037" s="2" t="n">
        <x:v>101031</x:v>
      </x:c>
      <x:c r="B1037" s="10" t="n">
        <x:v>45496</x:v>
      </x:c>
      <x:c r="C1037" s="2" t="str">
        <x:v>Chile</x:v>
      </x:c>
      <x:c r="D1037" s="2" t="str">
        <x:v>Moda Feminina</x:v>
      </x:c>
      <x:c r="E1037" s="11" t="n">
        <x:v>14</x:v>
      </x:c>
      <x:c r="F1037" s="12" t="n">
        <x:v>82.91</x:v>
      </x:c>
      <x:c r="G1037" s="12" t="n">
        <x:v>1160.74</x:v>
      </x:c>
      <x:c r="H1037" s="13" t="n">
        <x:v>332</x:v>
      </x:c>
      <x:c r="I1037" s="13" t="n">
        <x:f>YEAR(B1037)</x:f>
        <x:v>2024</x:v>
      </x:c>
      <x:c r="J1037" s="13" t="n">
        <x:f>MONTH(B1037)</x:f>
        <x:v>7</x:v>
      </x:c>
      <x:c r="K1037" s="14" t="n">
        <x:f>ROUND(E1037*F1037-G1037,10)</x:f>
        <x:v>0</x:v>
      </x:c>
      <x:c r="L1037" s="2"/>
      <x:c r="M1037" s="2"/>
      <x:c r="N1037" s="2"/>
      <x:c r="O1037" s="2"/>
      <x:c r="P1037" s="2"/>
      <x:c r="Q1037" s="2"/>
      <x:c r="R1037" s="2"/>
    </x:row>
    <x:row r="1038" ht="22" customHeight="1">
      <x:c r="A1038" s="2" t="n">
        <x:v>101032</x:v>
      </x:c>
      <x:c r="B1038" s="10" t="n">
        <x:v>45402</x:v>
      </x:c>
      <x:c r="C1038" s="2" t="str">
        <x:v>Argentina</x:v>
      </x:c>
      <x:c r="D1038" s="2" t="str">
        <x:v>Moda Feminina</x:v>
      </x:c>
      <x:c r="E1038" s="11" t="n">
        <x:v>35</x:v>
      </x:c>
      <x:c r="F1038" s="12" t="n">
        <x:v>76.83</x:v>
      </x:c>
      <x:c r="G1038" s="12" t="n">
        <x:v>2689.05</x:v>
      </x:c>
      <x:c r="H1038" s="13" t="n">
        <x:v>322</x:v>
      </x:c>
      <x:c r="I1038" s="13" t="n">
        <x:f>YEAR(B1038)</x:f>
        <x:v>2024</x:v>
      </x:c>
      <x:c r="J1038" s="13" t="n">
        <x:f>MONTH(B1038)</x:f>
        <x:v>4</x:v>
      </x:c>
      <x:c r="K1038" s="14" t="n">
        <x:f>ROUND(E1038*F1038-G1038,10)</x:f>
        <x:v>0</x:v>
      </x:c>
      <x:c r="L1038" s="2"/>
      <x:c r="M1038" s="2"/>
      <x:c r="N1038" s="2"/>
      <x:c r="O1038" s="2"/>
      <x:c r="P1038" s="2"/>
      <x:c r="Q1038" s="2"/>
      <x:c r="R1038" s="2"/>
    </x:row>
    <x:row r="1039" ht="22" customHeight="1">
      <x:c r="A1039" s="2" t="n">
        <x:v>101033</x:v>
      </x:c>
      <x:c r="B1039" s="10" t="n">
        <x:v>45545</x:v>
      </x:c>
      <x:c r="C1039" s="2" t="str">
        <x:v>Chile</x:v>
      </x:c>
      <x:c r="D1039" s="2" t="str">
        <x:v>Moda Feminina</x:v>
      </x:c>
      <x:c r="E1039" s="11" t="n">
        <x:v>48</x:v>
      </x:c>
      <x:c r="F1039" s="12" t="n">
        <x:v>162.45</x:v>
      </x:c>
      <x:c r="G1039" s="12" t="n">
        <x:v>7797.599999999999</x:v>
      </x:c>
      <x:c r="H1039" s="13" t="n">
        <x:v>477</x:v>
      </x:c>
      <x:c r="I1039" s="13" t="n">
        <x:f>YEAR(B1039)</x:f>
        <x:v>2024</x:v>
      </x:c>
      <x:c r="J1039" s="13" t="n">
        <x:f>MONTH(B1039)</x:f>
        <x:v>9</x:v>
      </x:c>
      <x:c r="K1039" s="14" t="n">
        <x:f>ROUND(E1039*F1039-G1039,10)</x:f>
        <x:v>0</x:v>
      </x:c>
      <x:c r="L1039" s="2"/>
      <x:c r="M1039" s="2"/>
      <x:c r="N1039" s="2"/>
      <x:c r="O1039" s="2"/>
      <x:c r="P1039" s="2"/>
      <x:c r="Q1039" s="2"/>
      <x:c r="R1039" s="2"/>
    </x:row>
    <x:row r="1040" ht="22" customHeight="1">
      <x:c r="A1040" s="2" t="n">
        <x:v>101034</x:v>
      </x:c>
      <x:c r="B1040" s="10" t="n">
        <x:v>45021</x:v>
      </x:c>
      <x:c r="C1040" s="2" t="str">
        <x:v>México</x:v>
      </x:c>
      <x:c r="D1040" s="2" t="str">
        <x:v>Calçados</x:v>
      </x:c>
      <x:c r="E1040" s="11" t="n">
        <x:v>34</x:v>
      </x:c>
      <x:c r="F1040" s="12" t="n">
        <x:v>142.5</x:v>
      </x:c>
      <x:c r="G1040" s="12" t="n">
        <x:v>4845</x:v>
      </x:c>
      <x:c r="H1040" s="13" t="n">
        <x:v>350</x:v>
      </x:c>
      <x:c r="I1040" s="13" t="n">
        <x:f>YEAR(B1040)</x:f>
        <x:v>2023</x:v>
      </x:c>
      <x:c r="J1040" s="13" t="n">
        <x:f>MONTH(B1040)</x:f>
        <x:v>4</x:v>
      </x:c>
      <x:c r="K1040" s="14" t="n">
        <x:f>ROUND(E1040*F1040-G1040,10)</x:f>
        <x:v>0</x:v>
      </x:c>
      <x:c r="L1040" s="2"/>
      <x:c r="M1040" s="2"/>
      <x:c r="N1040" s="2"/>
      <x:c r="O1040" s="2"/>
      <x:c r="P1040" s="2"/>
      <x:c r="Q1040" s="2"/>
      <x:c r="R1040" s="2"/>
    </x:row>
    <x:row r="1041" ht="22" customHeight="1">
      <x:c r="A1041" s="2" t="n">
        <x:v>101035</x:v>
      </x:c>
      <x:c r="B1041" s="10" t="n">
        <x:v>45294</x:v>
      </x:c>
      <x:c r="C1041" s="2" t="str">
        <x:v>Colômbia</x:v>
      </x:c>
      <x:c r="D1041" s="2" t="str">
        <x:v>Moda Infantil</x:v>
      </x:c>
      <x:c r="E1041" s="11" t="n">
        <x:v>10</x:v>
      </x:c>
      <x:c r="F1041" s="12" t="n">
        <x:v>73.92</x:v>
      </x:c>
      <x:c r="G1041" s="12" t="n">
        <x:v>739.2</x:v>
      </x:c>
      <x:c r="H1041" s="13" t="n">
        <x:v>57</x:v>
      </x:c>
      <x:c r="I1041" s="13" t="n">
        <x:f>YEAR(B1041)</x:f>
        <x:v>2024</x:v>
      </x:c>
      <x:c r="J1041" s="13" t="n">
        <x:f>MONTH(B1041)</x:f>
        <x:v>1</x:v>
      </x:c>
      <x:c r="K1041" s="14" t="n">
        <x:f>ROUND(E1041*F1041-G1041,10)</x:f>
        <x:v>0</x:v>
      </x:c>
      <x:c r="L1041" s="2"/>
      <x:c r="M1041" s="2"/>
      <x:c r="N1041" s="2"/>
      <x:c r="O1041" s="2"/>
      <x:c r="P1041" s="2"/>
      <x:c r="Q1041" s="2"/>
      <x:c r="R1041" s="2"/>
    </x:row>
    <x:row r="1042" ht="22" customHeight="1">
      <x:c r="A1042" s="2" t="n">
        <x:v>101036</x:v>
      </x:c>
      <x:c r="B1042" s="10" t="n">
        <x:v>45497</x:v>
      </x:c>
      <x:c r="C1042" s="2" t="str">
        <x:v>México</x:v>
      </x:c>
      <x:c r="D1042" s="2" t="str">
        <x:v>Moda Infantil</x:v>
      </x:c>
      <x:c r="E1042" s="11" t="n">
        <x:v>35</x:v>
      </x:c>
      <x:c r="F1042" s="12" t="n">
        <x:v>102.39</x:v>
      </x:c>
      <x:c r="G1042" s="12" t="n">
        <x:v>3583.65</x:v>
      </x:c>
      <x:c r="H1042" s="13" t="n">
        <x:v>257</x:v>
      </x:c>
      <x:c r="I1042" s="13" t="n">
        <x:f>YEAR(B1042)</x:f>
        <x:v>2024</x:v>
      </x:c>
      <x:c r="J1042" s="13" t="n">
        <x:f>MONTH(B1042)</x:f>
        <x:v>7</x:v>
      </x:c>
      <x:c r="K1042" s="14" t="n">
        <x:f>ROUND(E1042*F1042-G1042,10)</x:f>
        <x:v>0</x:v>
      </x:c>
      <x:c r="L1042" s="2"/>
      <x:c r="M1042" s="2"/>
      <x:c r="N1042" s="2"/>
      <x:c r="O1042" s="2"/>
      <x:c r="P1042" s="2"/>
      <x:c r="Q1042" s="2"/>
      <x:c r="R1042" s="2"/>
    </x:row>
    <x:row r="1043" ht="22" customHeight="1">
      <x:c r="A1043" s="2" t="n">
        <x:v>101037</x:v>
      </x:c>
      <x:c r="B1043" s="10" t="n">
        <x:v>45578</x:v>
      </x:c>
      <x:c r="C1043" s="2" t="str">
        <x:v>Peru</x:v>
      </x:c>
      <x:c r="D1043" s="2" t="str">
        <x:v>Moda Feminina</x:v>
      </x:c>
      <x:c r="E1043" s="11" t="n">
        <x:v>11</x:v>
      </x:c>
      <x:c r="F1043" s="12" t="n">
        <x:v>37.2</x:v>
      </x:c>
      <x:c r="G1043" s="12" t="n">
        <x:v>409.2</x:v>
      </x:c>
      <x:c r="H1043" s="13" t="n">
        <x:v>451</x:v>
      </x:c>
      <x:c r="I1043" s="13" t="n">
        <x:f>YEAR(B1043)</x:f>
        <x:v>2024</x:v>
      </x:c>
      <x:c r="J1043" s="13" t="n">
        <x:f>MONTH(B1043)</x:f>
        <x:v>10</x:v>
      </x:c>
      <x:c r="K1043" s="14" t="n">
        <x:f>ROUND(E1043*F1043-G1043,10)</x:f>
        <x:v>0</x:v>
      </x:c>
      <x:c r="L1043" s="2"/>
      <x:c r="M1043" s="2"/>
      <x:c r="N1043" s="2"/>
      <x:c r="O1043" s="2"/>
      <x:c r="P1043" s="2"/>
      <x:c r="Q1043" s="2"/>
      <x:c r="R1043" s="2"/>
    </x:row>
    <x:row r="1044" ht="22" customHeight="1">
      <x:c r="A1044" s="2" t="n">
        <x:v>101038</x:v>
      </x:c>
      <x:c r="B1044" s="10" t="n">
        <x:v>45086</x:v>
      </x:c>
      <x:c r="C1044" s="2" t="str">
        <x:v>Argentina</x:v>
      </x:c>
      <x:c r="D1044" s="2" t="str">
        <x:v>Calçados</x:v>
      </x:c>
      <x:c r="E1044" s="11" t="n">
        <x:v>11</x:v>
      </x:c>
      <x:c r="F1044" s="12" t="n">
        <x:v>181.67</x:v>
      </x:c>
      <x:c r="G1044" s="12" t="n">
        <x:v>1998.37</x:v>
      </x:c>
      <x:c r="H1044" s="13" t="n">
        <x:v>174</x:v>
      </x:c>
      <x:c r="I1044" s="13" t="n">
        <x:f>YEAR(B1044)</x:f>
        <x:v>2023</x:v>
      </x:c>
      <x:c r="J1044" s="13" t="n">
        <x:f>MONTH(B1044)</x:f>
        <x:v>6</x:v>
      </x:c>
      <x:c r="K1044" s="14" t="n">
        <x:f>ROUND(E1044*F1044-G1044,10)</x:f>
        <x:v>0</x:v>
      </x:c>
      <x:c r="L1044" s="2"/>
      <x:c r="M1044" s="2"/>
      <x:c r="N1044" s="2"/>
      <x:c r="O1044" s="2"/>
      <x:c r="P1044" s="2"/>
      <x:c r="Q1044" s="2"/>
      <x:c r="R1044" s="2"/>
    </x:row>
    <x:row r="1045" ht="22" customHeight="1">
      <x:c r="A1045" s="2" t="n">
        <x:v>101039</x:v>
      </x:c>
      <x:c r="B1045" s="10" t="n">
        <x:v>45163</x:v>
      </x:c>
      <x:c r="C1045" s="2" t="str">
        <x:v>Peru</x:v>
      </x:c>
      <x:c r="D1045" s="2" t="str">
        <x:v>Moda Infantil</x:v>
      </x:c>
      <x:c r="E1045" s="11" t="n">
        <x:v>21</x:v>
      </x:c>
      <x:c r="F1045" s="12" t="n">
        <x:v>188.38</x:v>
      </x:c>
      <x:c r="G1045" s="12" t="n">
        <x:v>3955.98</x:v>
      </x:c>
      <x:c r="H1045" s="13" t="n">
        <x:v>172</x:v>
      </x:c>
      <x:c r="I1045" s="13" t="n">
        <x:f>YEAR(B1045)</x:f>
        <x:v>2023</x:v>
      </x:c>
      <x:c r="J1045" s="13" t="n">
        <x:f>MONTH(B1045)</x:f>
        <x:v>8</x:v>
      </x:c>
      <x:c r="K1045" s="14" t="n">
        <x:f>ROUND(E1045*F1045-G1045,10)</x:f>
        <x:v>0</x:v>
      </x:c>
      <x:c r="L1045" s="2"/>
      <x:c r="M1045" s="2"/>
      <x:c r="N1045" s="2"/>
      <x:c r="O1045" s="2"/>
      <x:c r="P1045" s="2"/>
      <x:c r="Q1045" s="2"/>
      <x:c r="R1045" s="2"/>
    </x:row>
    <x:row r="1046" ht="22" customHeight="1">
      <x:c r="A1046" s="2" t="n">
        <x:v>101040</x:v>
      </x:c>
      <x:c r="B1046" s="10" t="n">
        <x:v>45544</x:v>
      </x:c>
      <x:c r="C1046" s="2" t="str">
        <x:v>Colômbia</x:v>
      </x:c>
      <x:c r="D1046" s="2" t="str">
        <x:v>Moda Infantil</x:v>
      </x:c>
      <x:c r="E1046" s="11" t="n">
        <x:v>21</x:v>
      </x:c>
      <x:c r="F1046" s="12" t="n">
        <x:v>196.36</x:v>
      </x:c>
      <x:c r="G1046" s="12" t="n">
        <x:v>4123.56</x:v>
      </x:c>
      <x:c r="H1046" s="13" t="n">
        <x:v>82</x:v>
      </x:c>
      <x:c r="I1046" s="13" t="n">
        <x:f>YEAR(B1046)</x:f>
        <x:v>2024</x:v>
      </x:c>
      <x:c r="J1046" s="13" t="n">
        <x:f>MONTH(B1046)</x:f>
        <x:v>9</x:v>
      </x:c>
      <x:c r="K1046" s="14" t="n">
        <x:f>ROUND(E1046*F1046-G1046,10)</x:f>
        <x:v>0</x:v>
      </x:c>
      <x:c r="L1046" s="2"/>
      <x:c r="M1046" s="2"/>
      <x:c r="N1046" s="2"/>
      <x:c r="O1046" s="2"/>
      <x:c r="P1046" s="2"/>
      <x:c r="Q1046" s="2"/>
      <x:c r="R1046" s="2"/>
    </x:row>
    <x:row r="1047" ht="22" customHeight="1">
      <x:c r="A1047" s="2" t="n">
        <x:v>101041</x:v>
      </x:c>
      <x:c r="B1047" s="10" t="n">
        <x:v>45387</x:v>
      </x:c>
      <x:c r="C1047" s="2" t="str">
        <x:v>Chile</x:v>
      </x:c>
      <x:c r="D1047" s="2" t="str">
        <x:v>Moda Infantil</x:v>
      </x:c>
      <x:c r="E1047" s="11" t="n">
        <x:v>22</x:v>
      </x:c>
      <x:c r="F1047" s="12" t="n">
        <x:v>176.34</x:v>
      </x:c>
      <x:c r="G1047" s="12" t="n">
        <x:v>3879.48</x:v>
      </x:c>
      <x:c r="H1047" s="13" t="n">
        <x:v>50</x:v>
      </x:c>
      <x:c r="I1047" s="13" t="n">
        <x:f>YEAR(B1047)</x:f>
        <x:v>2024</x:v>
      </x:c>
      <x:c r="J1047" s="13" t="n">
        <x:f>MONTH(B1047)</x:f>
        <x:v>4</x:v>
      </x:c>
      <x:c r="K1047" s="14" t="n">
        <x:f>ROUND(E1047*F1047-G1047,10)</x:f>
        <x:v>0</x:v>
      </x:c>
      <x:c r="L1047" s="2"/>
      <x:c r="M1047" s="2"/>
      <x:c r="N1047" s="2"/>
      <x:c r="O1047" s="2"/>
      <x:c r="P1047" s="2"/>
      <x:c r="Q1047" s="2"/>
      <x:c r="R1047" s="2"/>
    </x:row>
    <x:row r="1048" ht="22" customHeight="1">
      <x:c r="A1048" s="2" t="n">
        <x:v>101042</x:v>
      </x:c>
      <x:c r="B1048" s="10" t="n">
        <x:v>45267</x:v>
      </x:c>
      <x:c r="C1048" s="2" t="str">
        <x:v>Colômbia</x:v>
      </x:c>
      <x:c r="D1048" s="2" t="str">
        <x:v>Calçados</x:v>
      </x:c>
      <x:c r="E1048" s="11" t="n">
        <x:v>45</x:v>
      </x:c>
      <x:c r="F1048" s="12" t="n">
        <x:v>51.31</x:v>
      </x:c>
      <x:c r="G1048" s="12" t="n">
        <x:v>2308.95</x:v>
      </x:c>
      <x:c r="H1048" s="13" t="n">
        <x:v>253</x:v>
      </x:c>
      <x:c r="I1048" s="13" t="n">
        <x:f>YEAR(B1048)</x:f>
        <x:v>2023</x:v>
      </x:c>
      <x:c r="J1048" s="13" t="n">
        <x:f>MONTH(B1048)</x:f>
        <x:v>12</x:v>
      </x:c>
      <x:c r="K1048" s="14" t="n">
        <x:f>ROUND(E1048*F1048-G1048,10)</x:f>
        <x:v>0</x:v>
      </x:c>
      <x:c r="L1048" s="2"/>
      <x:c r="M1048" s="2"/>
      <x:c r="N1048" s="2"/>
      <x:c r="O1048" s="2"/>
      <x:c r="P1048" s="2"/>
      <x:c r="Q1048" s="2"/>
      <x:c r="R1048" s="2"/>
    </x:row>
    <x:row r="1049" ht="22" customHeight="1">
      <x:c r="A1049" s="2" t="n">
        <x:v>101043</x:v>
      </x:c>
      <x:c r="B1049" s="10" t="n">
        <x:v>45017</x:v>
      </x:c>
      <x:c r="C1049" s="2" t="str">
        <x:v>Brasil</x:v>
      </x:c>
      <x:c r="D1049" s="2" t="str">
        <x:v>Calçados</x:v>
      </x:c>
      <x:c r="E1049" s="11" t="n">
        <x:v>7</x:v>
      </x:c>
      <x:c r="F1049" s="12" t="n">
        <x:v>28.32</x:v>
      </x:c>
      <x:c r="G1049" s="12" t="n">
        <x:v>198.24</x:v>
      </x:c>
      <x:c r="H1049" s="13" t="n">
        <x:v>55</x:v>
      </x:c>
      <x:c r="I1049" s="13" t="n">
        <x:f>YEAR(B1049)</x:f>
        <x:v>2023</x:v>
      </x:c>
      <x:c r="J1049" s="13" t="n">
        <x:f>MONTH(B1049)</x:f>
        <x:v>4</x:v>
      </x:c>
      <x:c r="K1049" s="14" t="n">
        <x:f>ROUND(E1049*F1049-G1049,10)</x:f>
        <x:v>0</x:v>
      </x:c>
      <x:c r="L1049" s="2"/>
      <x:c r="M1049" s="2"/>
      <x:c r="N1049" s="2"/>
      <x:c r="O1049" s="2"/>
      <x:c r="P1049" s="2"/>
      <x:c r="Q1049" s="2"/>
      <x:c r="R1049" s="2"/>
    </x:row>
    <x:row r="1050" ht="22" customHeight="1">
      <x:c r="A1050" s="2" t="n">
        <x:v>101044</x:v>
      </x:c>
      <x:c r="B1050" s="10" t="n">
        <x:v>45526</x:v>
      </x:c>
      <x:c r="C1050" s="2" t="str">
        <x:v>Colômbia</x:v>
      </x:c>
      <x:c r="D1050" s="2" t="str">
        <x:v>Moda Feminina</x:v>
      </x:c>
      <x:c r="E1050" s="11" t="n">
        <x:v>17</x:v>
      </x:c>
      <x:c r="F1050" s="12" t="n">
        <x:v>124.33</x:v>
      </x:c>
      <x:c r="G1050" s="12" t="n">
        <x:v>2113.61</x:v>
      </x:c>
      <x:c r="H1050" s="13" t="n">
        <x:v>346</x:v>
      </x:c>
      <x:c r="I1050" s="13" t="n">
        <x:f>YEAR(B1050)</x:f>
        <x:v>2024</x:v>
      </x:c>
      <x:c r="J1050" s="13" t="n">
        <x:f>MONTH(B1050)</x:f>
        <x:v>8</x:v>
      </x:c>
      <x:c r="K1050" s="14" t="n">
        <x:f>ROUND(E1050*F1050-G1050,10)</x:f>
        <x:v>0</x:v>
      </x:c>
      <x:c r="L1050" s="2"/>
      <x:c r="M1050" s="2"/>
      <x:c r="N1050" s="2"/>
      <x:c r="O1050" s="2"/>
      <x:c r="P1050" s="2"/>
      <x:c r="Q1050" s="2"/>
      <x:c r="R1050" s="2"/>
    </x:row>
    <x:row r="1051" ht="22" customHeight="1">
      <x:c r="A1051" s="2" t="n">
        <x:v>101045</x:v>
      </x:c>
      <x:c r="B1051" s="10" t="n">
        <x:v>44930</x:v>
      </x:c>
      <x:c r="C1051" s="2" t="str">
        <x:v>Brasil</x:v>
      </x:c>
      <x:c r="D1051" s="2" t="str">
        <x:v>Acessórios</x:v>
      </x:c>
      <x:c r="E1051" s="11" t="n">
        <x:v>2</x:v>
      </x:c>
      <x:c r="F1051" s="12" t="n">
        <x:v>184.27</x:v>
      </x:c>
      <x:c r="G1051" s="12" t="n">
        <x:v>368.54</x:v>
      </x:c>
      <x:c r="H1051" s="13" t="n">
        <x:v>488</x:v>
      </x:c>
      <x:c r="I1051" s="13" t="n">
        <x:f>YEAR(B1051)</x:f>
        <x:v>2023</x:v>
      </x:c>
      <x:c r="J1051" s="13" t="n">
        <x:f>MONTH(B1051)</x:f>
        <x:v>1</x:v>
      </x:c>
      <x:c r="K1051" s="14" t="n">
        <x:f>ROUND(E1051*F1051-G1051,10)</x:f>
        <x:v>0</x:v>
      </x:c>
      <x:c r="L1051" s="2"/>
      <x:c r="M1051" s="2"/>
      <x:c r="N1051" s="2"/>
      <x:c r="O1051" s="2"/>
      <x:c r="P1051" s="2"/>
      <x:c r="Q1051" s="2"/>
      <x:c r="R1051" s="2"/>
    </x:row>
    <x:row r="1052" ht="22" customHeight="1">
      <x:c r="A1052" s="2" t="n">
        <x:v>101046</x:v>
      </x:c>
      <x:c r="B1052" s="10" t="n">
        <x:v>44989</x:v>
      </x:c>
      <x:c r="C1052" s="2" t="str">
        <x:v>Colômbia</x:v>
      </x:c>
      <x:c r="D1052" s="2" t="str">
        <x:v>Moda Infantil</x:v>
      </x:c>
      <x:c r="E1052" s="11" t="n">
        <x:v>12</x:v>
      </x:c>
      <x:c r="F1052" s="12" t="n">
        <x:v>51.92</x:v>
      </x:c>
      <x:c r="G1052" s="12" t="n">
        <x:v>623.04</x:v>
      </x:c>
      <x:c r="H1052" s="13" t="n">
        <x:v>54</x:v>
      </x:c>
      <x:c r="I1052" s="13" t="n">
        <x:f>YEAR(B1052)</x:f>
        <x:v>2023</x:v>
      </x:c>
      <x:c r="J1052" s="13" t="n">
        <x:f>MONTH(B1052)</x:f>
        <x:v>3</x:v>
      </x:c>
      <x:c r="K1052" s="14" t="n">
        <x:f>ROUND(E1052*F1052-G1052,10)</x:f>
        <x:v>0</x:v>
      </x:c>
      <x:c r="L1052" s="2"/>
      <x:c r="M1052" s="2"/>
      <x:c r="N1052" s="2"/>
      <x:c r="O1052" s="2"/>
      <x:c r="P1052" s="2"/>
      <x:c r="Q1052" s="2"/>
      <x:c r="R1052" s="2"/>
    </x:row>
    <x:row r="1053" ht="22" customHeight="1">
      <x:c r="A1053" s="2" t="n">
        <x:v>101047</x:v>
      </x:c>
      <x:c r="B1053" s="10" t="n">
        <x:v>45202</x:v>
      </x:c>
      <x:c r="C1053" s="2" t="str">
        <x:v>Brasil</x:v>
      </x:c>
      <x:c r="D1053" s="2" t="str">
        <x:v>Acessórios</x:v>
      </x:c>
      <x:c r="E1053" s="11" t="n">
        <x:v>42</x:v>
      </x:c>
      <x:c r="F1053" s="12" t="n">
        <x:v>21.27</x:v>
      </x:c>
      <x:c r="G1053" s="12" t="n">
        <x:v>893.34</x:v>
      </x:c>
      <x:c r="H1053" s="13" t="n">
        <x:v>492</x:v>
      </x:c>
      <x:c r="I1053" s="13" t="n">
        <x:f>YEAR(B1053)</x:f>
        <x:v>2023</x:v>
      </x:c>
      <x:c r="J1053" s="13" t="n">
        <x:f>MONTH(B1053)</x:f>
        <x:v>10</x:v>
      </x:c>
      <x:c r="K1053" s="14" t="n">
        <x:f>ROUND(E1053*F1053-G1053,10)</x:f>
        <x:v>0</x:v>
      </x:c>
      <x:c r="L1053" s="2"/>
      <x:c r="M1053" s="2"/>
      <x:c r="N1053" s="2"/>
      <x:c r="O1053" s="2"/>
      <x:c r="P1053" s="2"/>
      <x:c r="Q1053" s="2"/>
      <x:c r="R1053" s="2"/>
    </x:row>
    <x:row r="1054" ht="22" customHeight="1">
      <x:c r="A1054" s="2" t="n">
        <x:v>101048</x:v>
      </x:c>
      <x:c r="B1054" s="10" t="n">
        <x:v>45527</x:v>
      </x:c>
      <x:c r="C1054" s="2" t="str">
        <x:v>Argentina</x:v>
      </x:c>
      <x:c r="D1054" s="2" t="str">
        <x:v>Calçados</x:v>
      </x:c>
      <x:c r="E1054" s="11" t="n">
        <x:v>18</x:v>
      </x:c>
      <x:c r="F1054" s="12" t="n">
        <x:v>164.99</x:v>
      </x:c>
      <x:c r="G1054" s="12" t="n">
        <x:v>2969.82</x:v>
      </x:c>
      <x:c r="H1054" s="13" t="n">
        <x:v>129</x:v>
      </x:c>
      <x:c r="I1054" s="13" t="n">
        <x:f>YEAR(B1054)</x:f>
        <x:v>2024</x:v>
      </x:c>
      <x:c r="J1054" s="13" t="n">
        <x:f>MONTH(B1054)</x:f>
        <x:v>8</x:v>
      </x:c>
      <x:c r="K1054" s="14" t="n">
        <x:f>ROUND(E1054*F1054-G1054,10)</x:f>
        <x:v>0</x:v>
      </x:c>
      <x:c r="L1054" s="2"/>
      <x:c r="M1054" s="2"/>
      <x:c r="N1054" s="2"/>
      <x:c r="O1054" s="2"/>
      <x:c r="P1054" s="2"/>
      <x:c r="Q1054" s="2"/>
      <x:c r="R1054" s="2"/>
    </x:row>
    <x:row r="1055" ht="22" customHeight="1">
      <x:c r="A1055" s="2" t="n">
        <x:v>101049</x:v>
      </x:c>
      <x:c r="B1055" s="10" t="n">
        <x:v>45491</x:v>
      </x:c>
      <x:c r="C1055" s="2" t="str">
        <x:v>Peru</x:v>
      </x:c>
      <x:c r="D1055" s="2" t="str">
        <x:v>Calçados</x:v>
      </x:c>
      <x:c r="E1055" s="11" t="n">
        <x:v>11</x:v>
      </x:c>
      <x:c r="F1055" s="12" t="n">
        <x:v>33.82</x:v>
      </x:c>
      <x:c r="G1055" s="12" t="n">
        <x:v>372.02</x:v>
      </x:c>
      <x:c r="H1055" s="13" t="n">
        <x:v>323</x:v>
      </x:c>
      <x:c r="I1055" s="13" t="n">
        <x:f>YEAR(B1055)</x:f>
        <x:v>2024</x:v>
      </x:c>
      <x:c r="J1055" s="13" t="n">
        <x:f>MONTH(B1055)</x:f>
        <x:v>7</x:v>
      </x:c>
      <x:c r="K1055" s="14" t="n">
        <x:f>ROUND(E1055*F1055-G1055,10)</x:f>
        <x:v>0</x:v>
      </x:c>
      <x:c r="L1055" s="2"/>
      <x:c r="M1055" s="2"/>
      <x:c r="N1055" s="2"/>
      <x:c r="O1055" s="2"/>
      <x:c r="P1055" s="2"/>
      <x:c r="Q1055" s="2"/>
      <x:c r="R1055" s="2"/>
    </x:row>
    <x:row r="1056" ht="22" customHeight="1">
      <x:c r="A1056" s="2" t="n">
        <x:v>101050</x:v>
      </x:c>
      <x:c r="B1056" s="10" t="n">
        <x:v>44961</x:v>
      </x:c>
      <x:c r="C1056" s="2" t="str">
        <x:v>Peru</x:v>
      </x:c>
      <x:c r="D1056" s="2" t="str">
        <x:v>Calçados</x:v>
      </x:c>
      <x:c r="E1056" s="11" t="n">
        <x:v>16</x:v>
      </x:c>
      <x:c r="F1056" s="12" t="n">
        <x:v>94.47</x:v>
      </x:c>
      <x:c r="G1056" s="12" t="n">
        <x:v>1511.52</x:v>
      </x:c>
      <x:c r="H1056" s="13" t="n">
        <x:v>226</x:v>
      </x:c>
      <x:c r="I1056" s="13" t="n">
        <x:f>YEAR(B1056)</x:f>
        <x:v>2023</x:v>
      </x:c>
      <x:c r="J1056" s="13" t="n">
        <x:f>MONTH(B1056)</x:f>
        <x:v>2</x:v>
      </x:c>
      <x:c r="K1056" s="14" t="n">
        <x:f>ROUND(E1056*F1056-G1056,10)</x:f>
        <x:v>0</x:v>
      </x:c>
      <x:c r="L1056" s="2"/>
      <x:c r="M1056" s="2"/>
      <x:c r="N1056" s="2"/>
      <x:c r="O1056" s="2"/>
      <x:c r="P1056" s="2"/>
      <x:c r="Q1056" s="2"/>
      <x:c r="R1056" s="2"/>
    </x:row>
    <x:row r="1057" ht="22" customHeight="1">
      <x:c r="A1057" s="2" t="n">
        <x:v>101051</x:v>
      </x:c>
      <x:c r="B1057" s="10" t="n">
        <x:v>45183</x:v>
      </x:c>
      <x:c r="C1057" s="2" t="str">
        <x:v>México</x:v>
      </x:c>
      <x:c r="D1057" s="2" t="str">
        <x:v>Acessórios</x:v>
      </x:c>
      <x:c r="E1057" s="11" t="n">
        <x:v>49</x:v>
      </x:c>
      <x:c r="F1057" s="12" t="n">
        <x:v>142.2</x:v>
      </x:c>
      <x:c r="G1057" s="12" t="n">
        <x:v>6967.799999999999</x:v>
      </x:c>
      <x:c r="H1057" s="13" t="n">
        <x:v>387</x:v>
      </x:c>
      <x:c r="I1057" s="13" t="n">
        <x:f>YEAR(B1057)</x:f>
        <x:v>2023</x:v>
      </x:c>
      <x:c r="J1057" s="13" t="n">
        <x:f>MONTH(B1057)</x:f>
        <x:v>9</x:v>
      </x:c>
      <x:c r="K1057" s="14" t="n">
        <x:f>ROUND(E1057*F1057-G1057,10)</x:f>
        <x:v>0</x:v>
      </x:c>
      <x:c r="L1057" s="2"/>
      <x:c r="M1057" s="2"/>
      <x:c r="N1057" s="2"/>
      <x:c r="O1057" s="2"/>
      <x:c r="P1057" s="2"/>
      <x:c r="Q1057" s="2"/>
      <x:c r="R1057" s="2"/>
    </x:row>
    <x:row r="1058" ht="22" customHeight="1">
      <x:c r="A1058" s="2" t="n">
        <x:v>101052</x:v>
      </x:c>
      <x:c r="B1058" s="10" t="n">
        <x:v>45005</x:v>
      </x:c>
      <x:c r="C1058" s="2" t="str">
        <x:v>Peru</x:v>
      </x:c>
      <x:c r="D1058" s="2" t="str">
        <x:v>Calçados</x:v>
      </x:c>
      <x:c r="E1058" s="11" t="n">
        <x:v>18</x:v>
      </x:c>
      <x:c r="F1058" s="12" t="n">
        <x:v>62.62</x:v>
      </x:c>
      <x:c r="G1058" s="12" t="n">
        <x:v>1127.16</x:v>
      </x:c>
      <x:c r="H1058" s="13" t="n">
        <x:v>370</x:v>
      </x:c>
      <x:c r="I1058" s="13" t="n">
        <x:f>YEAR(B1058)</x:f>
        <x:v>2023</x:v>
      </x:c>
      <x:c r="J1058" s="13" t="n">
        <x:f>MONTH(B1058)</x:f>
        <x:v>3</x:v>
      </x:c>
      <x:c r="K1058" s="14" t="n">
        <x:f>ROUND(E1058*F1058-G1058,10)</x:f>
        <x:v>0</x:v>
      </x:c>
      <x:c r="L1058" s="2"/>
      <x:c r="M1058" s="2"/>
      <x:c r="N1058" s="2"/>
      <x:c r="O1058" s="2"/>
      <x:c r="P1058" s="2"/>
      <x:c r="Q1058" s="2"/>
      <x:c r="R1058" s="2"/>
    </x:row>
    <x:row r="1059" ht="22" customHeight="1">
      <x:c r="A1059" s="2" t="n">
        <x:v>101053</x:v>
      </x:c>
      <x:c r="B1059" s="10" t="n">
        <x:v>44968</x:v>
      </x:c>
      <x:c r="C1059" s="2" t="str">
        <x:v>Chile</x:v>
      </x:c>
      <x:c r="D1059" s="2" t="str">
        <x:v>Moda Feminina</x:v>
      </x:c>
      <x:c r="E1059" s="11" t="n">
        <x:v>35</x:v>
      </x:c>
      <x:c r="F1059" s="12" t="n">
        <x:v>35.11</x:v>
      </x:c>
      <x:c r="G1059" s="12" t="n">
        <x:v>1228.85</x:v>
      </x:c>
      <x:c r="H1059" s="13" t="n">
        <x:v>388</x:v>
      </x:c>
      <x:c r="I1059" s="13" t="n">
        <x:f>YEAR(B1059)</x:f>
        <x:v>2023</x:v>
      </x:c>
      <x:c r="J1059" s="13" t="n">
        <x:f>MONTH(B1059)</x:f>
        <x:v>2</x:v>
      </x:c>
      <x:c r="K1059" s="14" t="n">
        <x:f>ROUND(E1059*F1059-G1059,10)</x:f>
        <x:v>0</x:v>
      </x:c>
      <x:c r="L1059" s="2"/>
      <x:c r="M1059" s="2"/>
      <x:c r="N1059" s="2"/>
      <x:c r="O1059" s="2"/>
      <x:c r="P1059" s="2"/>
      <x:c r="Q1059" s="2"/>
      <x:c r="R1059" s="2"/>
    </x:row>
    <x:row r="1060" ht="22" customHeight="1">
      <x:c r="A1060" s="2" t="n">
        <x:v>101054</x:v>
      </x:c>
      <x:c r="B1060" s="10" t="n">
        <x:v>45646</x:v>
      </x:c>
      <x:c r="C1060" s="2" t="str">
        <x:v>Colômbia</x:v>
      </x:c>
      <x:c r="D1060" s="2" t="str">
        <x:v>Calçados</x:v>
      </x:c>
      <x:c r="E1060" s="11" t="n">
        <x:v>26</x:v>
      </x:c>
      <x:c r="F1060" s="12" t="n">
        <x:v>158.6</x:v>
      </x:c>
      <x:c r="G1060" s="12" t="n">
        <x:v>4123.599999999999</x:v>
      </x:c>
      <x:c r="H1060" s="13" t="n">
        <x:v>487</x:v>
      </x:c>
      <x:c r="I1060" s="13" t="n">
        <x:f>YEAR(B1060)</x:f>
        <x:v>2024</x:v>
      </x:c>
      <x:c r="J1060" s="13" t="n">
        <x:f>MONTH(B1060)</x:f>
        <x:v>12</x:v>
      </x:c>
      <x:c r="K1060" s="14" t="n">
        <x:f>ROUND(E1060*F1060-G1060,10)</x:f>
        <x:v>0</x:v>
      </x:c>
      <x:c r="L1060" s="2"/>
      <x:c r="M1060" s="2"/>
      <x:c r="N1060" s="2"/>
      <x:c r="O1060" s="2"/>
      <x:c r="P1060" s="2"/>
      <x:c r="Q1060" s="2"/>
      <x:c r="R1060" s="2"/>
    </x:row>
    <x:row r="1061" ht="22" customHeight="1">
      <x:c r="A1061" s="2" t="n">
        <x:v>101055</x:v>
      </x:c>
      <x:c r="B1061" s="10" t="n">
        <x:v>45223</x:v>
      </x:c>
      <x:c r="C1061" s="2" t="str">
        <x:v>México</x:v>
      </x:c>
      <x:c r="D1061" s="2" t="str">
        <x:v>Moda Masculina</x:v>
      </x:c>
      <x:c r="E1061" s="11" t="n">
        <x:v>16</x:v>
      </x:c>
      <x:c r="F1061" s="12" t="n">
        <x:v>133.43</x:v>
      </x:c>
      <x:c r="G1061" s="12" t="n">
        <x:v>2134.88</x:v>
      </x:c>
      <x:c r="H1061" s="13" t="n">
        <x:v>494</x:v>
      </x:c>
      <x:c r="I1061" s="13" t="n">
        <x:f>YEAR(B1061)</x:f>
        <x:v>2023</x:v>
      </x:c>
      <x:c r="J1061" s="13" t="n">
        <x:f>MONTH(B1061)</x:f>
        <x:v>10</x:v>
      </x:c>
      <x:c r="K1061" s="14" t="n">
        <x:f>ROUND(E1061*F1061-G1061,10)</x:f>
        <x:v>0</x:v>
      </x:c>
      <x:c r="L1061" s="2"/>
      <x:c r="M1061" s="2"/>
      <x:c r="N1061" s="2"/>
      <x:c r="O1061" s="2"/>
      <x:c r="P1061" s="2"/>
      <x:c r="Q1061" s="2"/>
      <x:c r="R1061" s="2"/>
    </x:row>
    <x:row r="1062" ht="22" customHeight="1">
      <x:c r="A1062" s="2" t="n">
        <x:v>101056</x:v>
      </x:c>
      <x:c r="B1062" s="10" t="n">
        <x:v>45249</x:v>
      </x:c>
      <x:c r="C1062" s="2" t="str">
        <x:v>Chile</x:v>
      </x:c>
      <x:c r="D1062" s="2" t="str">
        <x:v>Acessórios</x:v>
      </x:c>
      <x:c r="E1062" s="11" t="n">
        <x:v>6</x:v>
      </x:c>
      <x:c r="F1062" s="12" t="n">
        <x:v>197.93</x:v>
      </x:c>
      <x:c r="G1062" s="12" t="n">
        <x:v>1187.58</x:v>
      </x:c>
      <x:c r="H1062" s="13" t="n">
        <x:v>185</x:v>
      </x:c>
      <x:c r="I1062" s="13" t="n">
        <x:f>YEAR(B1062)</x:f>
        <x:v>2023</x:v>
      </x:c>
      <x:c r="J1062" s="13" t="n">
        <x:f>MONTH(B1062)</x:f>
        <x:v>11</x:v>
      </x:c>
      <x:c r="K1062" s="14" t="n">
        <x:f>ROUND(E1062*F1062-G1062,10)</x:f>
        <x:v>0</x:v>
      </x:c>
      <x:c r="L1062" s="2"/>
      <x:c r="M1062" s="2"/>
      <x:c r="N1062" s="2"/>
      <x:c r="O1062" s="2"/>
      <x:c r="P1062" s="2"/>
      <x:c r="Q1062" s="2"/>
      <x:c r="R1062" s="2"/>
    </x:row>
    <x:row r="1063" ht="22" customHeight="1">
      <x:c r="A1063" s="2" t="n">
        <x:v>101057</x:v>
      </x:c>
      <x:c r="B1063" s="10" t="n">
        <x:v>45561</x:v>
      </x:c>
      <x:c r="C1063" s="2" t="str">
        <x:v>Chile</x:v>
      </x:c>
      <x:c r="D1063" s="2" t="str">
        <x:v>Moda Masculina</x:v>
      </x:c>
      <x:c r="E1063" s="11" t="n">
        <x:v>44</x:v>
      </x:c>
      <x:c r="F1063" s="12" t="n">
        <x:v>81.98</x:v>
      </x:c>
      <x:c r="G1063" s="12" t="n">
        <x:v>3607.12</x:v>
      </x:c>
      <x:c r="H1063" s="13" t="n">
        <x:v>436</x:v>
      </x:c>
      <x:c r="I1063" s="13" t="n">
        <x:f>YEAR(B1063)</x:f>
        <x:v>2024</x:v>
      </x:c>
      <x:c r="J1063" s="13" t="n">
        <x:f>MONTH(B1063)</x:f>
        <x:v>9</x:v>
      </x:c>
      <x:c r="K1063" s="14" t="n">
        <x:f>ROUND(E1063*F1063-G1063,10)</x:f>
        <x:v>0</x:v>
      </x:c>
      <x:c r="L1063" s="2"/>
      <x:c r="M1063" s="2"/>
      <x:c r="N1063" s="2"/>
      <x:c r="O1063" s="2"/>
      <x:c r="P1063" s="2"/>
      <x:c r="Q1063" s="2"/>
      <x:c r="R1063" s="2"/>
    </x:row>
    <x:row r="1064" ht="22" customHeight="1">
      <x:c r="A1064" s="2" t="n">
        <x:v>101058</x:v>
      </x:c>
      <x:c r="B1064" s="10" t="n">
        <x:v>45237</x:v>
      </x:c>
      <x:c r="C1064" s="2" t="str">
        <x:v>Brasil</x:v>
      </x:c>
      <x:c r="D1064" s="2" t="str">
        <x:v>Calçados</x:v>
      </x:c>
      <x:c r="E1064" s="11" t="n">
        <x:v>43</x:v>
      </x:c>
      <x:c r="F1064" s="12" t="n">
        <x:v>31.12</x:v>
      </x:c>
      <x:c r="G1064" s="12" t="n">
        <x:v>1338.16</x:v>
      </x:c>
      <x:c r="H1064" s="13" t="n">
        <x:v>74</x:v>
      </x:c>
      <x:c r="I1064" s="13" t="n">
        <x:f>YEAR(B1064)</x:f>
        <x:v>2023</x:v>
      </x:c>
      <x:c r="J1064" s="13" t="n">
        <x:f>MONTH(B1064)</x:f>
        <x:v>11</x:v>
      </x:c>
      <x:c r="K1064" s="14" t="n">
        <x:f>ROUND(E1064*F1064-G1064,10)</x:f>
        <x:v>0</x:v>
      </x:c>
      <x:c r="L1064" s="2"/>
      <x:c r="M1064" s="2"/>
      <x:c r="N1064" s="2"/>
      <x:c r="O1064" s="2"/>
      <x:c r="P1064" s="2"/>
      <x:c r="Q1064" s="2"/>
      <x:c r="R1064" s="2"/>
    </x:row>
    <x:row r="1065" ht="22" customHeight="1">
      <x:c r="A1065" s="2" t="n">
        <x:v>101059</x:v>
      </x:c>
      <x:c r="B1065" s="10" t="n">
        <x:v>45528</x:v>
      </x:c>
      <x:c r="C1065" s="2" t="str">
        <x:v>Peru</x:v>
      </x:c>
      <x:c r="D1065" s="2" t="str">
        <x:v>Moda Feminina</x:v>
      </x:c>
      <x:c r="E1065" s="11" t="n">
        <x:v>47</x:v>
      </x:c>
      <x:c r="F1065" s="12" t="n">
        <x:v>152.18</x:v>
      </x:c>
      <x:c r="G1065" s="12" t="n">
        <x:v>7152.46</x:v>
      </x:c>
      <x:c r="H1065" s="13" t="n">
        <x:v>374</x:v>
      </x:c>
      <x:c r="I1065" s="13" t="n">
        <x:f>YEAR(B1065)</x:f>
        <x:v>2024</x:v>
      </x:c>
      <x:c r="J1065" s="13" t="n">
        <x:f>MONTH(B1065)</x:f>
        <x:v>8</x:v>
      </x:c>
      <x:c r="K1065" s="14" t="n">
        <x:f>ROUND(E1065*F1065-G1065,10)</x:f>
        <x:v>0</x:v>
      </x:c>
      <x:c r="L1065" s="2"/>
      <x:c r="M1065" s="2"/>
      <x:c r="N1065" s="2"/>
      <x:c r="O1065" s="2"/>
      <x:c r="P1065" s="2"/>
      <x:c r="Q1065" s="2"/>
      <x:c r="R1065" s="2"/>
    </x:row>
    <x:row r="1066" ht="22" customHeight="1">
      <x:c r="A1066" s="2" t="n">
        <x:v>101060</x:v>
      </x:c>
      <x:c r="B1066" s="10" t="n">
        <x:v>45342</x:v>
      </x:c>
      <x:c r="C1066" s="2" t="str">
        <x:v>Argentina</x:v>
      </x:c>
      <x:c r="D1066" s="2" t="str">
        <x:v>Moda Infantil</x:v>
      </x:c>
      <x:c r="E1066" s="11" t="n">
        <x:v>47</x:v>
      </x:c>
      <x:c r="F1066" s="12" t="n">
        <x:v>113.91</x:v>
      </x:c>
      <x:c r="G1066" s="12" t="n">
        <x:v>5353.77</x:v>
      </x:c>
      <x:c r="H1066" s="13" t="n">
        <x:v>232</x:v>
      </x:c>
      <x:c r="I1066" s="13" t="n">
        <x:f>YEAR(B1066)</x:f>
        <x:v>2024</x:v>
      </x:c>
      <x:c r="J1066" s="13" t="n">
        <x:f>MONTH(B1066)</x:f>
        <x:v>2</x:v>
      </x:c>
      <x:c r="K1066" s="14" t="n">
        <x:f>ROUND(E1066*F1066-G1066,10)</x:f>
        <x:v>0</x:v>
      </x:c>
      <x:c r="L1066" s="2"/>
      <x:c r="M1066" s="2"/>
      <x:c r="N1066" s="2"/>
      <x:c r="O1066" s="2"/>
      <x:c r="P1066" s="2"/>
      <x:c r="Q1066" s="2"/>
      <x:c r="R1066" s="2"/>
    </x:row>
    <x:row r="1067" ht="22" customHeight="1">
      <x:c r="A1067" s="2" t="n">
        <x:v>101061</x:v>
      </x:c>
      <x:c r="B1067" s="10" t="n">
        <x:v>45152</x:v>
      </x:c>
      <x:c r="C1067" s="2" t="str">
        <x:v>Argentina</x:v>
      </x:c>
      <x:c r="D1067" s="2" t="str">
        <x:v>Calçados</x:v>
      </x:c>
      <x:c r="E1067" s="11" t="n">
        <x:v>48</x:v>
      </x:c>
      <x:c r="F1067" s="12" t="n">
        <x:v>58.38</x:v>
      </x:c>
      <x:c r="G1067" s="12" t="n">
        <x:v>2802.24</x:v>
      </x:c>
      <x:c r="H1067" s="13" t="n">
        <x:v>217</x:v>
      </x:c>
      <x:c r="I1067" s="13" t="n">
        <x:f>YEAR(B1067)</x:f>
        <x:v>2023</x:v>
      </x:c>
      <x:c r="J1067" s="13" t="n">
        <x:f>MONTH(B1067)</x:f>
        <x:v>8</x:v>
      </x:c>
      <x:c r="K1067" s="14" t="n">
        <x:f>ROUND(E1067*F1067-G1067,10)</x:f>
        <x:v>0</x:v>
      </x:c>
      <x:c r="L1067" s="2"/>
      <x:c r="M1067" s="2"/>
      <x:c r="N1067" s="2"/>
      <x:c r="O1067" s="2"/>
      <x:c r="P1067" s="2"/>
      <x:c r="Q1067" s="2"/>
      <x:c r="R1067" s="2"/>
    </x:row>
    <x:row r="1068" ht="22" customHeight="1">
      <x:c r="A1068" s="2" t="n">
        <x:v>101062</x:v>
      </x:c>
      <x:c r="B1068" s="10" t="n">
        <x:v>45506</x:v>
      </x:c>
      <x:c r="C1068" s="2" t="str">
        <x:v>México</x:v>
      </x:c>
      <x:c r="D1068" s="2" t="str">
        <x:v>Moda Feminina</x:v>
      </x:c>
      <x:c r="E1068" s="11" t="n">
        <x:v>42</x:v>
      </x:c>
      <x:c r="F1068" s="12" t="n">
        <x:v>160.71</x:v>
      </x:c>
      <x:c r="G1068" s="12" t="n">
        <x:v>6749.820000000001</x:v>
      </x:c>
      <x:c r="H1068" s="13" t="n">
        <x:v>387</x:v>
      </x:c>
      <x:c r="I1068" s="13" t="n">
        <x:f>YEAR(B1068)</x:f>
        <x:v>2024</x:v>
      </x:c>
      <x:c r="J1068" s="13" t="n">
        <x:f>MONTH(B1068)</x:f>
        <x:v>8</x:v>
      </x:c>
      <x:c r="K1068" s="14" t="n">
        <x:f>ROUND(E1068*F1068-G1068,10)</x:f>
        <x:v>0</x:v>
      </x:c>
      <x:c r="L1068" s="2"/>
      <x:c r="M1068" s="2"/>
      <x:c r="N1068" s="2"/>
      <x:c r="O1068" s="2"/>
      <x:c r="P1068" s="2"/>
      <x:c r="Q1068" s="2"/>
      <x:c r="R1068" s="2"/>
    </x:row>
    <x:row r="1069" ht="22" customHeight="1">
      <x:c r="A1069" s="2" t="n">
        <x:v>101063</x:v>
      </x:c>
      <x:c r="B1069" s="10" t="n">
        <x:v>45651</x:v>
      </x:c>
      <x:c r="C1069" s="2" t="str">
        <x:v>Argentina</x:v>
      </x:c>
      <x:c r="D1069" s="2" t="str">
        <x:v>Acessórios</x:v>
      </x:c>
      <x:c r="E1069" s="11" t="n">
        <x:v>12</x:v>
      </x:c>
      <x:c r="F1069" s="12" t="n">
        <x:v>56.68</x:v>
      </x:c>
      <x:c r="G1069" s="12" t="n">
        <x:v>680.16</x:v>
      </x:c>
      <x:c r="H1069" s="13" t="n">
        <x:v>227</x:v>
      </x:c>
      <x:c r="I1069" s="13" t="n">
        <x:f>YEAR(B1069)</x:f>
        <x:v>2024</x:v>
      </x:c>
      <x:c r="J1069" s="13" t="n">
        <x:f>MONTH(B1069)</x:f>
        <x:v>12</x:v>
      </x:c>
      <x:c r="K1069" s="14" t="n">
        <x:f>ROUND(E1069*F1069-G1069,10)</x:f>
        <x:v>0</x:v>
      </x:c>
      <x:c r="L1069" s="2"/>
      <x:c r="M1069" s="2"/>
      <x:c r="N1069" s="2"/>
      <x:c r="O1069" s="2"/>
      <x:c r="P1069" s="2"/>
      <x:c r="Q1069" s="2"/>
      <x:c r="R1069" s="2"/>
    </x:row>
    <x:row r="1070" ht="22" customHeight="1">
      <x:c r="A1070" s="2" t="n">
        <x:v>101064</x:v>
      </x:c>
      <x:c r="B1070" s="10" t="n">
        <x:v>45074</x:v>
      </x:c>
      <x:c r="C1070" s="2" t="str">
        <x:v>Colômbia</x:v>
      </x:c>
      <x:c r="D1070" s="2" t="str">
        <x:v>Moda Masculina</x:v>
      </x:c>
      <x:c r="E1070" s="11" t="n">
        <x:v>13</x:v>
      </x:c>
      <x:c r="F1070" s="12" t="n">
        <x:v>66.92</x:v>
      </x:c>
      <x:c r="G1070" s="12" t="n">
        <x:v>869.96</x:v>
      </x:c>
      <x:c r="H1070" s="13" t="n">
        <x:v>422</x:v>
      </x:c>
      <x:c r="I1070" s="13" t="n">
        <x:f>YEAR(B1070)</x:f>
        <x:v>2023</x:v>
      </x:c>
      <x:c r="J1070" s="13" t="n">
        <x:f>MONTH(B1070)</x:f>
        <x:v>5</x:v>
      </x:c>
      <x:c r="K1070" s="14" t="n">
        <x:f>ROUND(E1070*F1070-G1070,10)</x:f>
        <x:v>0</x:v>
      </x:c>
      <x:c r="L1070" s="2"/>
      <x:c r="M1070" s="2"/>
      <x:c r="N1070" s="2"/>
      <x:c r="O1070" s="2"/>
      <x:c r="P1070" s="2"/>
      <x:c r="Q1070" s="2"/>
      <x:c r="R1070" s="2"/>
    </x:row>
    <x:row r="1071" ht="22" customHeight="1">
      <x:c r="A1071" s="2" t="n">
        <x:v>101065</x:v>
      </x:c>
      <x:c r="B1071" s="10" t="n">
        <x:v>45110</x:v>
      </x:c>
      <x:c r="C1071" s="2" t="str">
        <x:v>Argentina</x:v>
      </x:c>
      <x:c r="D1071" s="2" t="str">
        <x:v>Moda Masculina</x:v>
      </x:c>
      <x:c r="E1071" s="11" t="n">
        <x:v>4</x:v>
      </x:c>
      <x:c r="F1071" s="12" t="n">
        <x:v>36.66</x:v>
      </x:c>
      <x:c r="G1071" s="12" t="n">
        <x:v>146.64</x:v>
      </x:c>
      <x:c r="H1071" s="13" t="n">
        <x:v>144</x:v>
      </x:c>
      <x:c r="I1071" s="13" t="n">
        <x:f>YEAR(B1071)</x:f>
        <x:v>2023</x:v>
      </x:c>
      <x:c r="J1071" s="13" t="n">
        <x:f>MONTH(B1071)</x:f>
        <x:v>7</x:v>
      </x:c>
      <x:c r="K1071" s="14" t="n">
        <x:f>ROUND(E1071*F1071-G1071,10)</x:f>
        <x:v>0</x:v>
      </x:c>
      <x:c r="L1071" s="2"/>
      <x:c r="M1071" s="2"/>
      <x:c r="N1071" s="2"/>
      <x:c r="O1071" s="2"/>
      <x:c r="P1071" s="2"/>
      <x:c r="Q1071" s="2"/>
      <x:c r="R1071" s="2"/>
    </x:row>
    <x:row r="1072" ht="22" customHeight="1">
      <x:c r="A1072" s="2" t="n">
        <x:v>101066</x:v>
      </x:c>
      <x:c r="B1072" s="10" t="n">
        <x:v>45531</x:v>
      </x:c>
      <x:c r="C1072" s="2" t="str">
        <x:v>México</x:v>
      </x:c>
      <x:c r="D1072" s="2" t="str">
        <x:v>Moda Masculina</x:v>
      </x:c>
      <x:c r="E1072" s="11" t="n">
        <x:v>39</x:v>
      </x:c>
      <x:c r="F1072" s="12" t="n">
        <x:v>91.9</x:v>
      </x:c>
      <x:c r="G1072" s="12" t="n">
        <x:v>3584.1</x:v>
      </x:c>
      <x:c r="H1072" s="13" t="n">
        <x:v>82</x:v>
      </x:c>
      <x:c r="I1072" s="13" t="n">
        <x:f>YEAR(B1072)</x:f>
        <x:v>2024</x:v>
      </x:c>
      <x:c r="J1072" s="13" t="n">
        <x:f>MONTH(B1072)</x:f>
        <x:v>8</x:v>
      </x:c>
      <x:c r="K1072" s="14" t="n">
        <x:f>ROUND(E1072*F1072-G1072,10)</x:f>
        <x:v>0</x:v>
      </x:c>
      <x:c r="L1072" s="2"/>
      <x:c r="M1072" s="2"/>
      <x:c r="N1072" s="2"/>
      <x:c r="O1072" s="2"/>
      <x:c r="P1072" s="2"/>
      <x:c r="Q1072" s="2"/>
      <x:c r="R1072" s="2"/>
    </x:row>
    <x:row r="1073" ht="22" customHeight="1">
      <x:c r="A1073" s="2" t="n">
        <x:v>101067</x:v>
      </x:c>
      <x:c r="B1073" s="10" t="n">
        <x:v>45647</x:v>
      </x:c>
      <x:c r="C1073" s="2" t="str">
        <x:v>Argentina</x:v>
      </x:c>
      <x:c r="D1073" s="2" t="str">
        <x:v>Acessórios</x:v>
      </x:c>
      <x:c r="E1073" s="11" t="n">
        <x:v>2</x:v>
      </x:c>
      <x:c r="F1073" s="12" t="n">
        <x:v>95.41</x:v>
      </x:c>
      <x:c r="G1073" s="12" t="n">
        <x:v>190.82</x:v>
      </x:c>
      <x:c r="H1073" s="13" t="n">
        <x:v>160</x:v>
      </x:c>
      <x:c r="I1073" s="13" t="n">
        <x:f>YEAR(B1073)</x:f>
        <x:v>2024</x:v>
      </x:c>
      <x:c r="J1073" s="13" t="n">
        <x:f>MONTH(B1073)</x:f>
        <x:v>12</x:v>
      </x:c>
      <x:c r="K1073" s="14" t="n">
        <x:f>ROUND(E1073*F1073-G1073,10)</x:f>
        <x:v>0</x:v>
      </x:c>
      <x:c r="L1073" s="2"/>
      <x:c r="M1073" s="2"/>
      <x:c r="N1073" s="2"/>
      <x:c r="O1073" s="2"/>
      <x:c r="P1073" s="2"/>
      <x:c r="Q1073" s="2"/>
      <x:c r="R1073" s="2"/>
    </x:row>
    <x:row r="1074" ht="22" customHeight="1">
      <x:c r="A1074" s="2" t="n">
        <x:v>101068</x:v>
      </x:c>
      <x:c r="B1074" s="10" t="n">
        <x:v>45431</x:v>
      </x:c>
      <x:c r="C1074" s="2" t="str">
        <x:v>Colômbia</x:v>
      </x:c>
      <x:c r="D1074" s="2" t="str">
        <x:v>Moda Feminina</x:v>
      </x:c>
      <x:c r="E1074" s="11" t="n">
        <x:v>26</x:v>
      </x:c>
      <x:c r="F1074" s="12" t="n">
        <x:v>112.62</x:v>
      </x:c>
      <x:c r="G1074" s="12" t="n">
        <x:v>2928.12</x:v>
      </x:c>
      <x:c r="H1074" s="13" t="n">
        <x:v>195</x:v>
      </x:c>
      <x:c r="I1074" s="13" t="n">
        <x:f>YEAR(B1074)</x:f>
        <x:v>2024</x:v>
      </x:c>
      <x:c r="J1074" s="13" t="n">
        <x:f>MONTH(B1074)</x:f>
        <x:v>5</x:v>
      </x:c>
      <x:c r="K1074" s="14" t="n">
        <x:f>ROUND(E1074*F1074-G1074,10)</x:f>
        <x:v>0</x:v>
      </x:c>
      <x:c r="L1074" s="2"/>
      <x:c r="M1074" s="2"/>
      <x:c r="N1074" s="2"/>
      <x:c r="O1074" s="2"/>
      <x:c r="P1074" s="2"/>
      <x:c r="Q1074" s="2"/>
      <x:c r="R1074" s="2"/>
    </x:row>
    <x:row r="1075" ht="22" customHeight="1">
      <x:c r="A1075" s="2" t="n">
        <x:v>101069</x:v>
      </x:c>
      <x:c r="B1075" s="10" t="n">
        <x:v>45516</x:v>
      </x:c>
      <x:c r="C1075" s="2" t="str">
        <x:v>Brasil</x:v>
      </x:c>
      <x:c r="D1075" s="2" t="str">
        <x:v>Acessórios</x:v>
      </x:c>
      <x:c r="E1075" s="11" t="n">
        <x:v>27</x:v>
      </x:c>
      <x:c r="F1075" s="12" t="n">
        <x:v>147.61</x:v>
      </x:c>
      <x:c r="G1075" s="12" t="n">
        <x:v>3985.47</x:v>
      </x:c>
      <x:c r="H1075" s="13" t="n">
        <x:v>430</x:v>
      </x:c>
      <x:c r="I1075" s="13" t="n">
        <x:f>YEAR(B1075)</x:f>
        <x:v>2024</x:v>
      </x:c>
      <x:c r="J1075" s="13" t="n">
        <x:f>MONTH(B1075)</x:f>
        <x:v>8</x:v>
      </x:c>
      <x:c r="K1075" s="14" t="n">
        <x:f>ROUND(E1075*F1075-G1075,10)</x:f>
        <x:v>0</x:v>
      </x:c>
      <x:c r="L1075" s="2"/>
      <x:c r="M1075" s="2"/>
      <x:c r="N1075" s="2"/>
      <x:c r="O1075" s="2"/>
      <x:c r="P1075" s="2"/>
      <x:c r="Q1075" s="2"/>
      <x:c r="R1075" s="2"/>
    </x:row>
    <x:row r="1076" ht="22" customHeight="1">
      <x:c r="A1076" s="2" t="n">
        <x:v>101070</x:v>
      </x:c>
      <x:c r="B1076" s="10" t="n">
        <x:v>45148</x:v>
      </x:c>
      <x:c r="C1076" s="2" t="str">
        <x:v>México</x:v>
      </x:c>
      <x:c r="D1076" s="2" t="str">
        <x:v>Moda Masculina</x:v>
      </x:c>
      <x:c r="E1076" s="11" t="n">
        <x:v>27</x:v>
      </x:c>
      <x:c r="F1076" s="12" t="n">
        <x:v>183.1</x:v>
      </x:c>
      <x:c r="G1076" s="12" t="n">
        <x:v>4943.7</x:v>
      </x:c>
      <x:c r="H1076" s="13" t="n">
        <x:v>490</x:v>
      </x:c>
      <x:c r="I1076" s="13" t="n">
        <x:f>YEAR(B1076)</x:f>
        <x:v>2023</x:v>
      </x:c>
      <x:c r="J1076" s="13" t="n">
        <x:f>MONTH(B1076)</x:f>
        <x:v>8</x:v>
      </x:c>
      <x:c r="K1076" s="14" t="n">
        <x:f>ROUND(E1076*F1076-G1076,10)</x:f>
        <x:v>0</x:v>
      </x:c>
      <x:c r="L1076" s="2"/>
      <x:c r="M1076" s="2"/>
      <x:c r="N1076" s="2"/>
      <x:c r="O1076" s="2"/>
      <x:c r="P1076" s="2"/>
      <x:c r="Q1076" s="2"/>
      <x:c r="R1076" s="2"/>
    </x:row>
    <x:row r="1077" ht="22" customHeight="1">
      <x:c r="A1077" s="2" t="n">
        <x:v>101071</x:v>
      </x:c>
      <x:c r="B1077" s="10" t="n">
        <x:v>45330</x:v>
      </x:c>
      <x:c r="C1077" s="2" t="str">
        <x:v>Brasil</x:v>
      </x:c>
      <x:c r="D1077" s="2" t="str">
        <x:v>Calçados</x:v>
      </x:c>
      <x:c r="E1077" s="11" t="n">
        <x:v>15</x:v>
      </x:c>
      <x:c r="F1077" s="12" t="n">
        <x:v>44.79</x:v>
      </x:c>
      <x:c r="G1077" s="12" t="n">
        <x:v>671.85</x:v>
      </x:c>
      <x:c r="H1077" s="13" t="n">
        <x:v>280</x:v>
      </x:c>
      <x:c r="I1077" s="13" t="n">
        <x:f>YEAR(B1077)</x:f>
        <x:v>2024</x:v>
      </x:c>
      <x:c r="J1077" s="13" t="n">
        <x:f>MONTH(B1077)</x:f>
        <x:v>2</x:v>
      </x:c>
      <x:c r="K1077" s="14" t="n">
        <x:f>ROUND(E1077*F1077-G1077,10)</x:f>
        <x:v>0</x:v>
      </x:c>
      <x:c r="L1077" s="2"/>
      <x:c r="M1077" s="2"/>
      <x:c r="N1077" s="2"/>
      <x:c r="O1077" s="2"/>
      <x:c r="P1077" s="2"/>
      <x:c r="Q1077" s="2"/>
      <x:c r="R1077" s="2"/>
    </x:row>
    <x:row r="1078" ht="22" customHeight="1">
      <x:c r="A1078" s="2" t="n">
        <x:v>101072</x:v>
      </x:c>
      <x:c r="B1078" s="10" t="n">
        <x:v>45295</x:v>
      </x:c>
      <x:c r="C1078" s="2" t="str">
        <x:v>Brasil</x:v>
      </x:c>
      <x:c r="D1078" s="2" t="str">
        <x:v>Moda Infantil</x:v>
      </x:c>
      <x:c r="E1078" s="11" t="n">
        <x:v>8</x:v>
      </x:c>
      <x:c r="F1078" s="12" t="n">
        <x:v>29.78</x:v>
      </x:c>
      <x:c r="G1078" s="12" t="n">
        <x:v>238.24</x:v>
      </x:c>
      <x:c r="H1078" s="13" t="n">
        <x:v>321</x:v>
      </x:c>
      <x:c r="I1078" s="13" t="n">
        <x:f>YEAR(B1078)</x:f>
        <x:v>2024</x:v>
      </x:c>
      <x:c r="J1078" s="13" t="n">
        <x:f>MONTH(B1078)</x:f>
        <x:v>1</x:v>
      </x:c>
      <x:c r="K1078" s="14" t="n">
        <x:f>ROUND(E1078*F1078-G1078,10)</x:f>
        <x:v>0</x:v>
      </x:c>
      <x:c r="L1078" s="2"/>
      <x:c r="M1078" s="2"/>
      <x:c r="N1078" s="2"/>
      <x:c r="O1078" s="2"/>
      <x:c r="P1078" s="2"/>
      <x:c r="Q1078" s="2"/>
      <x:c r="R1078" s="2"/>
    </x:row>
    <x:row r="1079" ht="22" customHeight="1">
      <x:c r="A1079" s="2" t="n">
        <x:v>101073</x:v>
      </x:c>
      <x:c r="B1079" s="10" t="n">
        <x:v>45306</x:v>
      </x:c>
      <x:c r="C1079" s="2" t="str">
        <x:v>Brasil</x:v>
      </x:c>
      <x:c r="D1079" s="2" t="str">
        <x:v>Acessórios</x:v>
      </x:c>
      <x:c r="E1079" s="11" t="n">
        <x:v>7</x:v>
      </x:c>
      <x:c r="F1079" s="12" t="n">
        <x:v>23.34</x:v>
      </x:c>
      <x:c r="G1079" s="12" t="n">
        <x:v>163.38</x:v>
      </x:c>
      <x:c r="H1079" s="13" t="n">
        <x:v>385</x:v>
      </x:c>
      <x:c r="I1079" s="13" t="n">
        <x:f>YEAR(B1079)</x:f>
        <x:v>2024</x:v>
      </x:c>
      <x:c r="J1079" s="13" t="n">
        <x:f>MONTH(B1079)</x:f>
        <x:v>1</x:v>
      </x:c>
      <x:c r="K1079" s="14" t="n">
        <x:f>ROUND(E1079*F1079-G1079,10)</x:f>
        <x:v>0</x:v>
      </x:c>
      <x:c r="L1079" s="2"/>
      <x:c r="M1079" s="2"/>
      <x:c r="N1079" s="2"/>
      <x:c r="O1079" s="2"/>
      <x:c r="P1079" s="2"/>
      <x:c r="Q1079" s="2"/>
      <x:c r="R1079" s="2"/>
    </x:row>
    <x:row r="1080" ht="22" customHeight="1">
      <x:c r="A1080" s="2" t="n">
        <x:v>101074</x:v>
      </x:c>
      <x:c r="B1080" s="10" t="n">
        <x:v>45216</x:v>
      </x:c>
      <x:c r="C1080" s="2" t="str">
        <x:v>Chile</x:v>
      </x:c>
      <x:c r="D1080" s="2" t="str">
        <x:v>Acessórios</x:v>
      </x:c>
      <x:c r="E1080" s="11" t="n">
        <x:v>47</x:v>
      </x:c>
      <x:c r="F1080" s="12" t="n">
        <x:v>45.85</x:v>
      </x:c>
      <x:c r="G1080" s="12" t="n">
        <x:v>2154.95</x:v>
      </x:c>
      <x:c r="H1080" s="13" t="n">
        <x:v>87</x:v>
      </x:c>
      <x:c r="I1080" s="13" t="n">
        <x:f>YEAR(B1080)</x:f>
        <x:v>2023</x:v>
      </x:c>
      <x:c r="J1080" s="13" t="n">
        <x:f>MONTH(B1080)</x:f>
        <x:v>10</x:v>
      </x:c>
      <x:c r="K1080" s="14" t="n">
        <x:f>ROUND(E1080*F1080-G1080,10)</x:f>
        <x:v>0</x:v>
      </x:c>
      <x:c r="L1080" s="2"/>
      <x:c r="M1080" s="2"/>
      <x:c r="N1080" s="2"/>
      <x:c r="O1080" s="2"/>
      <x:c r="P1080" s="2"/>
      <x:c r="Q1080" s="2"/>
      <x:c r="R1080" s="2"/>
    </x:row>
    <x:row r="1081" ht="22" customHeight="1">
      <x:c r="A1081" s="2" t="n">
        <x:v>101075</x:v>
      </x:c>
      <x:c r="B1081" s="10" t="n">
        <x:v>45501</x:v>
      </x:c>
      <x:c r="C1081" s="2" t="str">
        <x:v>Peru</x:v>
      </x:c>
      <x:c r="D1081" s="2" t="str">
        <x:v>Moda Feminina</x:v>
      </x:c>
      <x:c r="E1081" s="11" t="n">
        <x:v>46</x:v>
      </x:c>
      <x:c r="F1081" s="12" t="n">
        <x:v>138.43</x:v>
      </x:c>
      <x:c r="G1081" s="12" t="n">
        <x:v>6367.780000000001</x:v>
      </x:c>
      <x:c r="H1081" s="13" t="n">
        <x:v>474</x:v>
      </x:c>
      <x:c r="I1081" s="13" t="n">
        <x:f>YEAR(B1081)</x:f>
        <x:v>2024</x:v>
      </x:c>
      <x:c r="J1081" s="13" t="n">
        <x:f>MONTH(B1081)</x:f>
        <x:v>7</x:v>
      </x:c>
      <x:c r="K1081" s="14" t="n">
        <x:f>ROUND(E1081*F1081-G1081,10)</x:f>
        <x:v>0</x:v>
      </x:c>
      <x:c r="L1081" s="2"/>
      <x:c r="M1081" s="2"/>
      <x:c r="N1081" s="2"/>
      <x:c r="O1081" s="2"/>
      <x:c r="P1081" s="2"/>
      <x:c r="Q1081" s="2"/>
      <x:c r="R1081" s="2"/>
    </x:row>
    <x:row r="1082" ht="22" customHeight="1">
      <x:c r="A1082" s="2" t="n">
        <x:v>101076</x:v>
      </x:c>
      <x:c r="B1082" s="10" t="n">
        <x:v>45603</x:v>
      </x:c>
      <x:c r="C1082" s="2" t="str">
        <x:v>Chile</x:v>
      </x:c>
      <x:c r="D1082" s="2" t="str">
        <x:v>Moda Feminina</x:v>
      </x:c>
      <x:c r="E1082" s="11" t="n">
        <x:v>40</x:v>
      </x:c>
      <x:c r="F1082" s="12" t="n">
        <x:v>150.95</x:v>
      </x:c>
      <x:c r="G1082" s="12" t="n">
        <x:v>6038</x:v>
      </x:c>
      <x:c r="H1082" s="13" t="n">
        <x:v>184</x:v>
      </x:c>
      <x:c r="I1082" s="13" t="n">
        <x:f>YEAR(B1082)</x:f>
        <x:v>2024</x:v>
      </x:c>
      <x:c r="J1082" s="13" t="n">
        <x:f>MONTH(B1082)</x:f>
        <x:v>11</x:v>
      </x:c>
      <x:c r="K1082" s="14" t="n">
        <x:f>ROUND(E1082*F1082-G1082,10)</x:f>
        <x:v>0</x:v>
      </x:c>
      <x:c r="L1082" s="2"/>
      <x:c r="M1082" s="2"/>
      <x:c r="N1082" s="2"/>
      <x:c r="O1082" s="2"/>
      <x:c r="P1082" s="2"/>
      <x:c r="Q1082" s="2"/>
      <x:c r="R1082" s="2"/>
    </x:row>
    <x:row r="1083" ht="22" customHeight="1">
      <x:c r="A1083" s="2" t="n">
        <x:v>101077</x:v>
      </x:c>
      <x:c r="B1083" s="10" t="n">
        <x:v>45174</x:v>
      </x:c>
      <x:c r="C1083" s="2" t="str">
        <x:v>Peru</x:v>
      </x:c>
      <x:c r="D1083" s="2" t="str">
        <x:v>Acessórios</x:v>
      </x:c>
      <x:c r="E1083" s="11" t="n">
        <x:v>12</x:v>
      </x:c>
      <x:c r="F1083" s="12" t="n">
        <x:v>161.57</x:v>
      </x:c>
      <x:c r="G1083" s="12" t="n">
        <x:v>1938.84</x:v>
      </x:c>
      <x:c r="H1083" s="13" t="n">
        <x:v>383</x:v>
      </x:c>
      <x:c r="I1083" s="13" t="n">
        <x:f>YEAR(B1083)</x:f>
        <x:v>2023</x:v>
      </x:c>
      <x:c r="J1083" s="13" t="n">
        <x:f>MONTH(B1083)</x:f>
        <x:v>9</x:v>
      </x:c>
      <x:c r="K1083" s="14" t="n">
        <x:f>ROUND(E1083*F1083-G1083,10)</x:f>
        <x:v>0</x:v>
      </x:c>
      <x:c r="L1083" s="2"/>
      <x:c r="M1083" s="2"/>
      <x:c r="N1083" s="2"/>
      <x:c r="O1083" s="2"/>
      <x:c r="P1083" s="2"/>
      <x:c r="Q1083" s="2"/>
      <x:c r="R1083" s="2"/>
    </x:row>
    <x:row r="1084" ht="22" customHeight="1">
      <x:c r="A1084" s="2" t="n">
        <x:v>101078</x:v>
      </x:c>
      <x:c r="B1084" s="10" t="n">
        <x:v>44998</x:v>
      </x:c>
      <x:c r="C1084" s="2" t="str">
        <x:v>Brasil</x:v>
      </x:c>
      <x:c r="D1084" s="2" t="str">
        <x:v>Moda Masculina</x:v>
      </x:c>
      <x:c r="E1084" s="11" t="n">
        <x:v>13</x:v>
      </x:c>
      <x:c r="F1084" s="12" t="n">
        <x:v>63.87</x:v>
      </x:c>
      <x:c r="G1084" s="12" t="n">
        <x:v>830.31</x:v>
      </x:c>
      <x:c r="H1084" s="13" t="n">
        <x:v>284</x:v>
      </x:c>
      <x:c r="I1084" s="13" t="n">
        <x:f>YEAR(B1084)</x:f>
        <x:v>2023</x:v>
      </x:c>
      <x:c r="J1084" s="13" t="n">
        <x:f>MONTH(B1084)</x:f>
        <x:v>3</x:v>
      </x:c>
      <x:c r="K1084" s="14" t="n">
        <x:f>ROUND(E1084*F1084-G1084,10)</x:f>
        <x:v>0</x:v>
      </x:c>
      <x:c r="L1084" s="2"/>
      <x:c r="M1084" s="2"/>
      <x:c r="N1084" s="2"/>
      <x:c r="O1084" s="2"/>
      <x:c r="P1084" s="2"/>
      <x:c r="Q1084" s="2"/>
      <x:c r="R1084" s="2"/>
    </x:row>
    <x:row r="1085" ht="22" customHeight="1">
      <x:c r="A1085" s="2" t="n">
        <x:v>101079</x:v>
      </x:c>
      <x:c r="B1085" s="10" t="n">
        <x:v>45120</x:v>
      </x:c>
      <x:c r="C1085" s="2" t="str">
        <x:v>México</x:v>
      </x:c>
      <x:c r="D1085" s="2" t="str">
        <x:v>Moda Infantil</x:v>
      </x:c>
      <x:c r="E1085" s="11" t="n">
        <x:v>43</x:v>
      </x:c>
      <x:c r="F1085" s="12" t="n">
        <x:v>75.06</x:v>
      </x:c>
      <x:c r="G1085" s="12" t="n">
        <x:v>3227.58</x:v>
      </x:c>
      <x:c r="H1085" s="13" t="n">
        <x:v>486</x:v>
      </x:c>
      <x:c r="I1085" s="13" t="n">
        <x:f>YEAR(B1085)</x:f>
        <x:v>2023</x:v>
      </x:c>
      <x:c r="J1085" s="13" t="n">
        <x:f>MONTH(B1085)</x:f>
        <x:v>7</x:v>
      </x:c>
      <x:c r="K1085" s="14" t="n">
        <x:f>ROUND(E1085*F1085-G1085,10)</x:f>
        <x:v>0</x:v>
      </x:c>
      <x:c r="L1085" s="2"/>
      <x:c r="M1085" s="2"/>
      <x:c r="N1085" s="2"/>
      <x:c r="O1085" s="2"/>
      <x:c r="P1085" s="2"/>
      <x:c r="Q1085" s="2"/>
      <x:c r="R1085" s="2"/>
    </x:row>
    <x:row r="1086" ht="22" customHeight="1">
      <x:c r="A1086" s="2" t="n">
        <x:v>101080</x:v>
      </x:c>
      <x:c r="B1086" s="10" t="n">
        <x:v>45461</x:v>
      </x:c>
      <x:c r="C1086" s="2" t="str">
        <x:v>Peru</x:v>
      </x:c>
      <x:c r="D1086" s="2" t="str">
        <x:v>Moda Feminina</x:v>
      </x:c>
      <x:c r="E1086" s="11" t="n">
        <x:v>17</x:v>
      </x:c>
      <x:c r="F1086" s="12" t="n">
        <x:v>106.96</x:v>
      </x:c>
      <x:c r="G1086" s="12" t="n">
        <x:v>1818.32</x:v>
      </x:c>
      <x:c r="H1086" s="13" t="n">
        <x:v>368</x:v>
      </x:c>
      <x:c r="I1086" s="13" t="n">
        <x:f>YEAR(B1086)</x:f>
        <x:v>2024</x:v>
      </x:c>
      <x:c r="J1086" s="13" t="n">
        <x:f>MONTH(B1086)</x:f>
        <x:v>6</x:v>
      </x:c>
      <x:c r="K1086" s="14" t="n">
        <x:f>ROUND(E1086*F1086-G1086,10)</x:f>
        <x:v>0</x:v>
      </x:c>
      <x:c r="L1086" s="2"/>
      <x:c r="M1086" s="2"/>
      <x:c r="N1086" s="2"/>
      <x:c r="O1086" s="2"/>
      <x:c r="P1086" s="2"/>
      <x:c r="Q1086" s="2"/>
      <x:c r="R1086" s="2"/>
    </x:row>
    <x:row r="1087" ht="22" customHeight="1">
      <x:c r="A1087" s="2" t="n">
        <x:v>101081</x:v>
      </x:c>
      <x:c r="B1087" s="10" t="n">
        <x:v>45085</x:v>
      </x:c>
      <x:c r="C1087" s="2" t="str">
        <x:v>Colômbia</x:v>
      </x:c>
      <x:c r="D1087" s="2" t="str">
        <x:v>Moda Masculina</x:v>
      </x:c>
      <x:c r="E1087" s="11" t="n">
        <x:v>17</x:v>
      </x:c>
      <x:c r="F1087" s="12" t="n">
        <x:v>31.37</x:v>
      </x:c>
      <x:c r="G1087" s="12" t="n">
        <x:v>533.29</x:v>
      </x:c>
      <x:c r="H1087" s="13" t="n">
        <x:v>417</x:v>
      </x:c>
      <x:c r="I1087" s="13" t="n">
        <x:f>YEAR(B1087)</x:f>
        <x:v>2023</x:v>
      </x:c>
      <x:c r="J1087" s="13" t="n">
        <x:f>MONTH(B1087)</x:f>
        <x:v>6</x:v>
      </x:c>
      <x:c r="K1087" s="14" t="n">
        <x:f>ROUND(E1087*F1087-G1087,10)</x:f>
        <x:v>0</x:v>
      </x:c>
      <x:c r="L1087" s="2"/>
      <x:c r="M1087" s="2"/>
      <x:c r="N1087" s="2"/>
      <x:c r="O1087" s="2"/>
      <x:c r="P1087" s="2"/>
      <x:c r="Q1087" s="2"/>
      <x:c r="R1087" s="2"/>
    </x:row>
    <x:row r="1088" ht="22" customHeight="1">
      <x:c r="A1088" s="2" t="n">
        <x:v>101082</x:v>
      </x:c>
      <x:c r="B1088" s="10" t="n">
        <x:v>45069</x:v>
      </x:c>
      <x:c r="C1088" s="2" t="str">
        <x:v>Colômbia</x:v>
      </x:c>
      <x:c r="D1088" s="2" t="str">
        <x:v>Calçados</x:v>
      </x:c>
      <x:c r="E1088" s="11" t="n">
        <x:v>36</x:v>
      </x:c>
      <x:c r="F1088" s="12" t="n">
        <x:v>130.01</x:v>
      </x:c>
      <x:c r="G1088" s="12" t="n">
        <x:v>4680.36</x:v>
      </x:c>
      <x:c r="H1088" s="13" t="n">
        <x:v>394</x:v>
      </x:c>
      <x:c r="I1088" s="13" t="n">
        <x:f>YEAR(B1088)</x:f>
        <x:v>2023</x:v>
      </x:c>
      <x:c r="J1088" s="13" t="n">
        <x:f>MONTH(B1088)</x:f>
        <x:v>5</x:v>
      </x:c>
      <x:c r="K1088" s="14" t="n">
        <x:f>ROUND(E1088*F1088-G1088,10)</x:f>
        <x:v>0</x:v>
      </x:c>
      <x:c r="L1088" s="2"/>
      <x:c r="M1088" s="2"/>
      <x:c r="N1088" s="2"/>
      <x:c r="O1088" s="2"/>
      <x:c r="P1088" s="2"/>
      <x:c r="Q1088" s="2"/>
      <x:c r="R1088" s="2"/>
    </x:row>
    <x:row r="1089" ht="22" customHeight="1">
      <x:c r="A1089" s="2" t="n">
        <x:v>101083</x:v>
      </x:c>
      <x:c r="B1089" s="10" t="n">
        <x:v>45285</x:v>
      </x:c>
      <x:c r="C1089" s="2" t="str">
        <x:v>Argentina</x:v>
      </x:c>
      <x:c r="D1089" s="2" t="str">
        <x:v>Moda Feminina</x:v>
      </x:c>
      <x:c r="E1089" s="11" t="n">
        <x:v>21</x:v>
      </x:c>
      <x:c r="F1089" s="12" t="n">
        <x:v>197.07</x:v>
      </x:c>
      <x:c r="G1089" s="12" t="n">
        <x:v>4138.47</x:v>
      </x:c>
      <x:c r="H1089" s="13" t="n">
        <x:v>209</x:v>
      </x:c>
      <x:c r="I1089" s="13" t="n">
        <x:f>YEAR(B1089)</x:f>
        <x:v>2023</x:v>
      </x:c>
      <x:c r="J1089" s="13" t="n">
        <x:f>MONTH(B1089)</x:f>
        <x:v>12</x:v>
      </x:c>
      <x:c r="K1089" s="14" t="n">
        <x:f>ROUND(E1089*F1089-G1089,10)</x:f>
        <x:v>0</x:v>
      </x:c>
      <x:c r="L1089" s="2"/>
      <x:c r="M1089" s="2"/>
      <x:c r="N1089" s="2"/>
      <x:c r="O1089" s="2"/>
      <x:c r="P1089" s="2"/>
      <x:c r="Q1089" s="2"/>
      <x:c r="R1089" s="2"/>
    </x:row>
    <x:row r="1090" ht="22" customHeight="1">
      <x:c r="A1090" s="2" t="n">
        <x:v>101084</x:v>
      </x:c>
      <x:c r="B1090" s="10" t="n">
        <x:v>45319</x:v>
      </x:c>
      <x:c r="C1090" s="2" t="str">
        <x:v>Peru</x:v>
      </x:c>
      <x:c r="D1090" s="2" t="str">
        <x:v>Moda Masculina</x:v>
      </x:c>
      <x:c r="E1090" s="11" t="n">
        <x:v>8</x:v>
      </x:c>
      <x:c r="F1090" s="12" t="n">
        <x:v>84.95</x:v>
      </x:c>
      <x:c r="G1090" s="12" t="n">
        <x:v>679.6</x:v>
      </x:c>
      <x:c r="H1090" s="13" t="n">
        <x:v>87</x:v>
      </x:c>
      <x:c r="I1090" s="13" t="n">
        <x:f>YEAR(B1090)</x:f>
        <x:v>2024</x:v>
      </x:c>
      <x:c r="J1090" s="13" t="n">
        <x:f>MONTH(B1090)</x:f>
        <x:v>1</x:v>
      </x:c>
      <x:c r="K1090" s="14" t="n">
        <x:f>ROUND(E1090*F1090-G1090,10)</x:f>
        <x:v>0</x:v>
      </x:c>
      <x:c r="L1090" s="2"/>
      <x:c r="M1090" s="2"/>
      <x:c r="N1090" s="2"/>
      <x:c r="O1090" s="2"/>
      <x:c r="P1090" s="2"/>
      <x:c r="Q1090" s="2"/>
      <x:c r="R1090" s="2"/>
    </x:row>
    <x:row r="1091" ht="22" customHeight="1">
      <x:c r="A1091" s="2" t="n">
        <x:v>101085</x:v>
      </x:c>
      <x:c r="B1091" s="10" t="n">
        <x:v>45583</x:v>
      </x:c>
      <x:c r="C1091" s="2" t="str">
        <x:v>México</x:v>
      </x:c>
      <x:c r="D1091" s="2" t="str">
        <x:v>Moda Masculina</x:v>
      </x:c>
      <x:c r="E1091" s="11" t="n">
        <x:v>5</x:v>
      </x:c>
      <x:c r="F1091" s="12" t="n">
        <x:v>155.51</x:v>
      </x:c>
      <x:c r="G1091" s="12" t="n">
        <x:v>777.55</x:v>
      </x:c>
      <x:c r="H1091" s="13" t="n">
        <x:v>199</x:v>
      </x:c>
      <x:c r="I1091" s="13" t="n">
        <x:f>YEAR(B1091)</x:f>
        <x:v>2024</x:v>
      </x:c>
      <x:c r="J1091" s="13" t="n">
        <x:f>MONTH(B1091)</x:f>
        <x:v>10</x:v>
      </x:c>
      <x:c r="K1091" s="14" t="n">
        <x:f>ROUND(E1091*F1091-G1091,10)</x:f>
        <x:v>0</x:v>
      </x:c>
      <x:c r="L1091" s="2"/>
      <x:c r="M1091" s="2"/>
      <x:c r="N1091" s="2"/>
      <x:c r="O1091" s="2"/>
      <x:c r="P1091" s="2"/>
      <x:c r="Q1091" s="2"/>
      <x:c r="R1091" s="2"/>
    </x:row>
    <x:row r="1092" ht="22" customHeight="1">
      <x:c r="A1092" s="2" t="n">
        <x:v>101086</x:v>
      </x:c>
      <x:c r="B1092" s="10" t="n">
        <x:v>45019</x:v>
      </x:c>
      <x:c r="C1092" s="2" t="str">
        <x:v>Chile</x:v>
      </x:c>
      <x:c r="D1092" s="2" t="str">
        <x:v>Moda Infantil</x:v>
      </x:c>
      <x:c r="E1092" s="11" t="n">
        <x:v>26</x:v>
      </x:c>
      <x:c r="F1092" s="12" t="n">
        <x:v>110.01</x:v>
      </x:c>
      <x:c r="G1092" s="12" t="n">
        <x:v>2860.26</x:v>
      </x:c>
      <x:c r="H1092" s="13" t="n">
        <x:v>449</x:v>
      </x:c>
      <x:c r="I1092" s="13" t="n">
        <x:f>YEAR(B1092)</x:f>
        <x:v>2023</x:v>
      </x:c>
      <x:c r="J1092" s="13" t="n">
        <x:f>MONTH(B1092)</x:f>
        <x:v>4</x:v>
      </x:c>
      <x:c r="K1092" s="14" t="n">
        <x:f>ROUND(E1092*F1092-G1092,10)</x:f>
        <x:v>0</x:v>
      </x:c>
      <x:c r="L1092" s="2"/>
      <x:c r="M1092" s="2"/>
      <x:c r="N1092" s="2"/>
      <x:c r="O1092" s="2"/>
      <x:c r="P1092" s="2"/>
      <x:c r="Q1092" s="2"/>
      <x:c r="R1092" s="2"/>
    </x:row>
    <x:row r="1093" ht="22" customHeight="1">
      <x:c r="A1093" s="2" t="n">
        <x:v>101087</x:v>
      </x:c>
      <x:c r="B1093" s="10" t="n">
        <x:v>45428</x:v>
      </x:c>
      <x:c r="C1093" s="2" t="str">
        <x:v>Brasil</x:v>
      </x:c>
      <x:c r="D1093" s="2" t="str">
        <x:v>Moda Infantil</x:v>
      </x:c>
      <x:c r="E1093" s="11" t="n">
        <x:v>16</x:v>
      </x:c>
      <x:c r="F1093" s="12" t="n">
        <x:v>43.01</x:v>
      </x:c>
      <x:c r="G1093" s="12" t="n">
        <x:v>688.16</x:v>
      </x:c>
      <x:c r="H1093" s="13" t="n">
        <x:v>357</x:v>
      </x:c>
      <x:c r="I1093" s="13" t="n">
        <x:f>YEAR(B1093)</x:f>
        <x:v>2024</x:v>
      </x:c>
      <x:c r="J1093" s="13" t="n">
        <x:f>MONTH(B1093)</x:f>
        <x:v>5</x:v>
      </x:c>
      <x:c r="K1093" s="14" t="n">
        <x:f>ROUND(E1093*F1093-G1093,10)</x:f>
        <x:v>0</x:v>
      </x:c>
      <x:c r="L1093" s="2"/>
      <x:c r="M1093" s="2"/>
      <x:c r="N1093" s="2"/>
      <x:c r="O1093" s="2"/>
      <x:c r="P1093" s="2"/>
      <x:c r="Q1093" s="2"/>
      <x:c r="R1093" s="2"/>
    </x:row>
    <x:row r="1094" ht="22" customHeight="1">
      <x:c r="A1094" s="2" t="n">
        <x:v>101088</x:v>
      </x:c>
      <x:c r="B1094" s="10" t="n">
        <x:v>45254</x:v>
      </x:c>
      <x:c r="C1094" s="2" t="str">
        <x:v>Argentina</x:v>
      </x:c>
      <x:c r="D1094" s="2" t="str">
        <x:v>Calçados</x:v>
      </x:c>
      <x:c r="E1094" s="11" t="n">
        <x:v>36</x:v>
      </x:c>
      <x:c r="F1094" s="12" t="n">
        <x:v>124.8</x:v>
      </x:c>
      <x:c r="G1094" s="12" t="n">
        <x:v>4492.8</x:v>
      </x:c>
      <x:c r="H1094" s="13" t="n">
        <x:v>78</x:v>
      </x:c>
      <x:c r="I1094" s="13" t="n">
        <x:f>YEAR(B1094)</x:f>
        <x:v>2023</x:v>
      </x:c>
      <x:c r="J1094" s="13" t="n">
        <x:f>MONTH(B1094)</x:f>
        <x:v>11</x:v>
      </x:c>
      <x:c r="K1094" s="14" t="n">
        <x:f>ROUND(E1094*F1094-G1094,10)</x:f>
        <x:v>0</x:v>
      </x:c>
      <x:c r="L1094" s="2"/>
      <x:c r="M1094" s="2"/>
      <x:c r="N1094" s="2"/>
      <x:c r="O1094" s="2"/>
      <x:c r="P1094" s="2"/>
      <x:c r="Q1094" s="2"/>
      <x:c r="R1094" s="2"/>
    </x:row>
    <x:row r="1095" ht="22" customHeight="1">
      <x:c r="A1095" s="2" t="n">
        <x:v>101089</x:v>
      </x:c>
      <x:c r="B1095" s="10" t="n">
        <x:v>44997</x:v>
      </x:c>
      <x:c r="C1095" s="2" t="str">
        <x:v>Colômbia</x:v>
      </x:c>
      <x:c r="D1095" s="2" t="str">
        <x:v>Moda Masculina</x:v>
      </x:c>
      <x:c r="E1095" s="11" t="n">
        <x:v>28</x:v>
      </x:c>
      <x:c r="F1095" s="12" t="n">
        <x:v>73.98</x:v>
      </x:c>
      <x:c r="G1095" s="12" t="n">
        <x:v>2071.44</x:v>
      </x:c>
      <x:c r="H1095" s="13" t="n">
        <x:v>193</x:v>
      </x:c>
      <x:c r="I1095" s="13" t="n">
        <x:f>YEAR(B1095)</x:f>
        <x:v>2023</x:v>
      </x:c>
      <x:c r="J1095" s="13" t="n">
        <x:f>MONTH(B1095)</x:f>
        <x:v>3</x:v>
      </x:c>
      <x:c r="K1095" s="14" t="n">
        <x:f>ROUND(E1095*F1095-G1095,10)</x:f>
        <x:v>0</x:v>
      </x:c>
      <x:c r="L1095" s="2"/>
      <x:c r="M1095" s="2"/>
      <x:c r="N1095" s="2"/>
      <x:c r="O1095" s="2"/>
      <x:c r="P1095" s="2"/>
      <x:c r="Q1095" s="2"/>
      <x:c r="R1095" s="2"/>
    </x:row>
    <x:row r="1096" ht="22" customHeight="1">
      <x:c r="A1096" s="2" t="n">
        <x:v>101090</x:v>
      </x:c>
      <x:c r="B1096" s="10" t="n">
        <x:v>45620</x:v>
      </x:c>
      <x:c r="C1096" s="2" t="str">
        <x:v>Chile</x:v>
      </x:c>
      <x:c r="D1096" s="2" t="str">
        <x:v>Moda Masculina</x:v>
      </x:c>
      <x:c r="E1096" s="11" t="n">
        <x:v>29</x:v>
      </x:c>
      <x:c r="F1096" s="12" t="n">
        <x:v>26.19</x:v>
      </x:c>
      <x:c r="G1096" s="12" t="n">
        <x:v>759.51</x:v>
      </x:c>
      <x:c r="H1096" s="13" t="n">
        <x:v>125</x:v>
      </x:c>
      <x:c r="I1096" s="13" t="n">
        <x:f>YEAR(B1096)</x:f>
        <x:v>2024</x:v>
      </x:c>
      <x:c r="J1096" s="13" t="n">
        <x:f>MONTH(B1096)</x:f>
        <x:v>11</x:v>
      </x:c>
      <x:c r="K1096" s="14" t="n">
        <x:f>ROUND(E1096*F1096-G1096,10)</x:f>
        <x:v>0</x:v>
      </x:c>
      <x:c r="L1096" s="2"/>
      <x:c r="M1096" s="2"/>
      <x:c r="N1096" s="2"/>
      <x:c r="O1096" s="2"/>
      <x:c r="P1096" s="2"/>
      <x:c r="Q1096" s="2"/>
      <x:c r="R1096" s="2"/>
    </x:row>
    <x:row r="1097" ht="22" customHeight="1">
      <x:c r="A1097" s="2" t="n">
        <x:v>101091</x:v>
      </x:c>
      <x:c r="B1097" s="10" t="n">
        <x:v>45429</x:v>
      </x:c>
      <x:c r="C1097" s="2" t="str">
        <x:v>Chile</x:v>
      </x:c>
      <x:c r="D1097" s="2" t="str">
        <x:v>Moda Infantil</x:v>
      </x:c>
      <x:c r="E1097" s="11" t="n">
        <x:v>47</x:v>
      </x:c>
      <x:c r="F1097" s="12" t="n">
        <x:v>134.29</x:v>
      </x:c>
      <x:c r="G1097" s="12" t="n">
        <x:v>6311.629999999999</x:v>
      </x:c>
      <x:c r="H1097" s="13" t="n">
        <x:v>194</x:v>
      </x:c>
      <x:c r="I1097" s="13" t="n">
        <x:f>YEAR(B1097)</x:f>
        <x:v>2024</x:v>
      </x:c>
      <x:c r="J1097" s="13" t="n">
        <x:f>MONTH(B1097)</x:f>
        <x:v>5</x:v>
      </x:c>
      <x:c r="K1097" s="14" t="n">
        <x:f>ROUND(E1097*F1097-G1097,10)</x:f>
        <x:v>0</x:v>
      </x:c>
      <x:c r="L1097" s="2"/>
      <x:c r="M1097" s="2"/>
      <x:c r="N1097" s="2"/>
      <x:c r="O1097" s="2"/>
      <x:c r="P1097" s="2"/>
      <x:c r="Q1097" s="2"/>
      <x:c r="R1097" s="2"/>
    </x:row>
    <x:row r="1098" ht="22" customHeight="1">
      <x:c r="A1098" s="2" t="n">
        <x:v>101092</x:v>
      </x:c>
      <x:c r="B1098" s="10" t="n">
        <x:v>45366</x:v>
      </x:c>
      <x:c r="C1098" s="2" t="str">
        <x:v>Brasil</x:v>
      </x:c>
      <x:c r="D1098" s="2" t="str">
        <x:v>Moda Feminina</x:v>
      </x:c>
      <x:c r="E1098" s="11" t="n">
        <x:v>12</x:v>
      </x:c>
      <x:c r="F1098" s="12" t="n">
        <x:v>174.61</x:v>
      </x:c>
      <x:c r="G1098" s="12" t="n">
        <x:v>2095.32</x:v>
      </x:c>
      <x:c r="H1098" s="13" t="n">
        <x:v>278</x:v>
      </x:c>
      <x:c r="I1098" s="13" t="n">
        <x:f>YEAR(B1098)</x:f>
        <x:v>2024</x:v>
      </x:c>
      <x:c r="J1098" s="13" t="n">
        <x:f>MONTH(B1098)</x:f>
        <x:v>3</x:v>
      </x:c>
      <x:c r="K1098" s="14" t="n">
        <x:f>ROUND(E1098*F1098-G1098,10)</x:f>
        <x:v>0</x:v>
      </x:c>
      <x:c r="L1098" s="2"/>
      <x:c r="M1098" s="2"/>
      <x:c r="N1098" s="2"/>
      <x:c r="O1098" s="2"/>
      <x:c r="P1098" s="2"/>
      <x:c r="Q1098" s="2"/>
      <x:c r="R1098" s="2"/>
    </x:row>
    <x:row r="1099" ht="22" customHeight="1">
      <x:c r="A1099" s="2" t="n">
        <x:v>101093</x:v>
      </x:c>
      <x:c r="B1099" s="10" t="n">
        <x:v>45645</x:v>
      </x:c>
      <x:c r="C1099" s="2" t="str">
        <x:v>Peru</x:v>
      </x:c>
      <x:c r="D1099" s="2" t="str">
        <x:v>Moda Feminina</x:v>
      </x:c>
      <x:c r="E1099" s="11" t="n">
        <x:v>37</x:v>
      </x:c>
      <x:c r="F1099" s="12" t="n">
        <x:v>82.06</x:v>
      </x:c>
      <x:c r="G1099" s="12" t="n">
        <x:v>3036.22</x:v>
      </x:c>
      <x:c r="H1099" s="13" t="n">
        <x:v>113</x:v>
      </x:c>
      <x:c r="I1099" s="13" t="n">
        <x:f>YEAR(B1099)</x:f>
        <x:v>2024</x:v>
      </x:c>
      <x:c r="J1099" s="13" t="n">
        <x:f>MONTH(B1099)</x:f>
        <x:v>12</x:v>
      </x:c>
      <x:c r="K1099" s="14" t="n">
        <x:f>ROUND(E1099*F1099-G1099,10)</x:f>
        <x:v>0</x:v>
      </x:c>
      <x:c r="L1099" s="2"/>
      <x:c r="M1099" s="2"/>
      <x:c r="N1099" s="2"/>
      <x:c r="O1099" s="2"/>
      <x:c r="P1099" s="2"/>
      <x:c r="Q1099" s="2"/>
      <x:c r="R1099" s="2"/>
    </x:row>
    <x:row r="1100" ht="22" customHeight="1">
      <x:c r="A1100" s="2" t="n">
        <x:v>101094</x:v>
      </x:c>
      <x:c r="B1100" s="10" t="n">
        <x:v>45597</x:v>
      </x:c>
      <x:c r="C1100" s="2" t="str">
        <x:v>Colômbia</x:v>
      </x:c>
      <x:c r="D1100" s="2" t="str">
        <x:v>Acessórios</x:v>
      </x:c>
      <x:c r="E1100" s="11" t="n">
        <x:v>30</x:v>
      </x:c>
      <x:c r="F1100" s="12" t="n">
        <x:v>90.25</x:v>
      </x:c>
      <x:c r="G1100" s="12" t="n">
        <x:v>2707.5</x:v>
      </x:c>
      <x:c r="H1100" s="13" t="n">
        <x:v>396</x:v>
      </x:c>
      <x:c r="I1100" s="13" t="n">
        <x:f>YEAR(B1100)</x:f>
        <x:v>2024</x:v>
      </x:c>
      <x:c r="J1100" s="13" t="n">
        <x:f>MONTH(B1100)</x:f>
        <x:v>11</x:v>
      </x:c>
      <x:c r="K1100" s="14" t="n">
        <x:f>ROUND(E1100*F1100-G1100,10)</x:f>
        <x:v>0</x:v>
      </x:c>
      <x:c r="L1100" s="2"/>
      <x:c r="M1100" s="2"/>
      <x:c r="N1100" s="2"/>
      <x:c r="O1100" s="2"/>
      <x:c r="P1100" s="2"/>
      <x:c r="Q1100" s="2"/>
      <x:c r="R1100" s="2"/>
    </x:row>
    <x:row r="1101" ht="22" customHeight="1">
      <x:c r="A1101" s="2" t="n">
        <x:v>101095</x:v>
      </x:c>
      <x:c r="B1101" s="10" t="n">
        <x:v>45257</x:v>
      </x:c>
      <x:c r="C1101" s="2" t="str">
        <x:v>México</x:v>
      </x:c>
      <x:c r="D1101" s="2" t="str">
        <x:v>Moda Infantil</x:v>
      </x:c>
      <x:c r="E1101" s="11" t="n">
        <x:v>23</x:v>
      </x:c>
      <x:c r="F1101" s="12" t="n">
        <x:v>180.38</x:v>
      </x:c>
      <x:c r="G1101" s="12" t="n">
        <x:v>4148.74</x:v>
      </x:c>
      <x:c r="H1101" s="13" t="n">
        <x:v>394</x:v>
      </x:c>
      <x:c r="I1101" s="13" t="n">
        <x:f>YEAR(B1101)</x:f>
        <x:v>2023</x:v>
      </x:c>
      <x:c r="J1101" s="13" t="n">
        <x:f>MONTH(B1101)</x:f>
        <x:v>11</x:v>
      </x:c>
      <x:c r="K1101" s="14" t="n">
        <x:f>ROUND(E1101*F1101-G1101,10)</x:f>
        <x:v>0</x:v>
      </x:c>
      <x:c r="L1101" s="2"/>
      <x:c r="M1101" s="2"/>
      <x:c r="N1101" s="2"/>
      <x:c r="O1101" s="2"/>
      <x:c r="P1101" s="2"/>
      <x:c r="Q1101" s="2"/>
      <x:c r="R1101" s="2"/>
    </x:row>
    <x:row r="1102" ht="22" customHeight="1">
      <x:c r="A1102" s="2" t="n">
        <x:v>101096</x:v>
      </x:c>
      <x:c r="B1102" s="10" t="n">
        <x:v>44975</x:v>
      </x:c>
      <x:c r="C1102" s="2" t="str">
        <x:v>Chile</x:v>
      </x:c>
      <x:c r="D1102" s="2" t="str">
        <x:v>Acessórios</x:v>
      </x:c>
      <x:c r="E1102" s="11" t="n">
        <x:v>16</x:v>
      </x:c>
      <x:c r="F1102" s="12" t="n">
        <x:v>166.45</x:v>
      </x:c>
      <x:c r="G1102" s="12" t="n">
        <x:v>2663.2</x:v>
      </x:c>
      <x:c r="H1102" s="13" t="n">
        <x:v>318</x:v>
      </x:c>
      <x:c r="I1102" s="13" t="n">
        <x:f>YEAR(B1102)</x:f>
        <x:v>2023</x:v>
      </x:c>
      <x:c r="J1102" s="13" t="n">
        <x:f>MONTH(B1102)</x:f>
        <x:v>2</x:v>
      </x:c>
      <x:c r="K1102" s="14" t="n">
        <x:f>ROUND(E1102*F1102-G1102,10)</x:f>
        <x:v>0</x:v>
      </x:c>
      <x:c r="L1102" s="2"/>
      <x:c r="M1102" s="2"/>
      <x:c r="N1102" s="2"/>
      <x:c r="O1102" s="2"/>
      <x:c r="P1102" s="2"/>
      <x:c r="Q1102" s="2"/>
      <x:c r="R1102" s="2"/>
    </x:row>
    <x:row r="1103" ht="22" customHeight="1">
      <x:c r="A1103" s="2" t="n">
        <x:v>101097</x:v>
      </x:c>
      <x:c r="B1103" s="10" t="n">
        <x:v>45384</x:v>
      </x:c>
      <x:c r="C1103" s="2" t="str">
        <x:v>Brasil</x:v>
      </x:c>
      <x:c r="D1103" s="2" t="str">
        <x:v>Moda Infantil</x:v>
      </x:c>
      <x:c r="E1103" s="11" t="n">
        <x:v>14</x:v>
      </x:c>
      <x:c r="F1103" s="12" t="n">
        <x:v>148.69</x:v>
      </x:c>
      <x:c r="G1103" s="12" t="n">
        <x:v>2081.66</x:v>
      </x:c>
      <x:c r="H1103" s="13" t="n">
        <x:v>377</x:v>
      </x:c>
      <x:c r="I1103" s="13" t="n">
        <x:f>YEAR(B1103)</x:f>
        <x:v>2024</x:v>
      </x:c>
      <x:c r="J1103" s="13" t="n">
        <x:f>MONTH(B1103)</x:f>
        <x:v>4</x:v>
      </x:c>
      <x:c r="K1103" s="14" t="n">
        <x:f>ROUND(E1103*F1103-G1103,10)</x:f>
        <x:v>0</x:v>
      </x:c>
      <x:c r="L1103" s="2"/>
      <x:c r="M1103" s="2"/>
      <x:c r="N1103" s="2"/>
      <x:c r="O1103" s="2"/>
      <x:c r="P1103" s="2"/>
      <x:c r="Q1103" s="2"/>
      <x:c r="R1103" s="2"/>
    </x:row>
    <x:row r="1104" ht="22" customHeight="1">
      <x:c r="A1104" s="2" t="n">
        <x:v>101098</x:v>
      </x:c>
      <x:c r="B1104" s="10" t="n">
        <x:v>45493</x:v>
      </x:c>
      <x:c r="C1104" s="2" t="str">
        <x:v>México</x:v>
      </x:c>
      <x:c r="D1104" s="2" t="str">
        <x:v>Calçados</x:v>
      </x:c>
      <x:c r="E1104" s="11" t="n">
        <x:v>10</x:v>
      </x:c>
      <x:c r="F1104" s="12" t="n">
        <x:v>64.78</x:v>
      </x:c>
      <x:c r="G1104" s="12" t="n">
        <x:v>647.8</x:v>
      </x:c>
      <x:c r="H1104" s="13" t="n">
        <x:v>233</x:v>
      </x:c>
      <x:c r="I1104" s="13" t="n">
        <x:f>YEAR(B1104)</x:f>
        <x:v>2024</x:v>
      </x:c>
      <x:c r="J1104" s="13" t="n">
        <x:f>MONTH(B1104)</x:f>
        <x:v>7</x:v>
      </x:c>
      <x:c r="K1104" s="14" t="n">
        <x:f>ROUND(E1104*F1104-G1104,10)</x:f>
        <x:v>0</x:v>
      </x:c>
      <x:c r="L1104" s="2"/>
      <x:c r="M1104" s="2"/>
      <x:c r="N1104" s="2"/>
      <x:c r="O1104" s="2"/>
      <x:c r="P1104" s="2"/>
      <x:c r="Q1104" s="2"/>
      <x:c r="R1104" s="2"/>
    </x:row>
    <x:row r="1105" ht="22" customHeight="1">
      <x:c r="A1105" s="2" t="n">
        <x:v>101099</x:v>
      </x:c>
      <x:c r="B1105" s="10" t="n">
        <x:v>45043</x:v>
      </x:c>
      <x:c r="C1105" s="2" t="str">
        <x:v>Peru</x:v>
      </x:c>
      <x:c r="D1105" s="2" t="str">
        <x:v>Moda Masculina</x:v>
      </x:c>
      <x:c r="E1105" s="11" t="n">
        <x:v>7</x:v>
      </x:c>
      <x:c r="F1105" s="12" t="n">
        <x:v>183.84</x:v>
      </x:c>
      <x:c r="G1105" s="12" t="n">
        <x:v>1286.88</x:v>
      </x:c>
      <x:c r="H1105" s="13" t="n">
        <x:v>310</x:v>
      </x:c>
      <x:c r="I1105" s="13" t="n">
        <x:f>YEAR(B1105)</x:f>
        <x:v>2023</x:v>
      </x:c>
      <x:c r="J1105" s="13" t="n">
        <x:f>MONTH(B1105)</x:f>
        <x:v>4</x:v>
      </x:c>
      <x:c r="K1105" s="14" t="n">
        <x:f>ROUND(E1105*F1105-G1105,10)</x:f>
        <x:v>0</x:v>
      </x:c>
      <x:c r="L1105" s="2"/>
      <x:c r="M1105" s="2"/>
      <x:c r="N1105" s="2"/>
      <x:c r="O1105" s="2"/>
      <x:c r="P1105" s="2"/>
      <x:c r="Q1105" s="2"/>
      <x:c r="R1105" s="2"/>
    </x:row>
    <x:row r="1106" ht="22" customHeight="1">
      <x:c r="A1106" s="2" t="n">
        <x:v>101100</x:v>
      </x:c>
      <x:c r="B1106" s="10" t="n">
        <x:v>45453</x:v>
      </x:c>
      <x:c r="C1106" s="2" t="str">
        <x:v>Colômbia</x:v>
      </x:c>
      <x:c r="D1106" s="2" t="str">
        <x:v>Calçados</x:v>
      </x:c>
      <x:c r="E1106" s="11" t="n">
        <x:v>45</x:v>
      </x:c>
      <x:c r="F1106" s="12" t="n">
        <x:v>47.79</x:v>
      </x:c>
      <x:c r="G1106" s="12" t="n">
        <x:v>2150.55</x:v>
      </x:c>
      <x:c r="H1106" s="13" t="n">
        <x:v>317</x:v>
      </x:c>
      <x:c r="I1106" s="13" t="n">
        <x:f>YEAR(B1106)</x:f>
        <x:v>2024</x:v>
      </x:c>
      <x:c r="J1106" s="13" t="n">
        <x:f>MONTH(B1106)</x:f>
        <x:v>6</x:v>
      </x:c>
      <x:c r="K1106" s="14" t="n">
        <x:f>ROUND(E1106*F1106-G1106,10)</x:f>
        <x:v>0</x:v>
      </x:c>
      <x:c r="L1106" s="2"/>
      <x:c r="M1106" s="2"/>
      <x:c r="N1106" s="2"/>
      <x:c r="O1106" s="2"/>
      <x:c r="P1106" s="2"/>
      <x:c r="Q1106" s="2"/>
      <x:c r="R1106" s="2"/>
    </x:row>
    <x:row r="1107" ht="22" customHeight="1">
      <x:c r="A1107" s="2" t="n">
        <x:v>101101</x:v>
      </x:c>
      <x:c r="B1107" s="10" t="n">
        <x:v>44963</x:v>
      </x:c>
      <x:c r="C1107" s="2" t="str">
        <x:v>Peru</x:v>
      </x:c>
      <x:c r="D1107" s="2" t="str">
        <x:v>Moda Infantil</x:v>
      </x:c>
      <x:c r="E1107" s="11" t="n">
        <x:v>37</x:v>
      </x:c>
      <x:c r="F1107" s="12" t="n">
        <x:v>132.82</x:v>
      </x:c>
      <x:c r="G1107" s="12" t="n">
        <x:v>4914.34</x:v>
      </x:c>
      <x:c r="H1107" s="13" t="n">
        <x:v>218</x:v>
      </x:c>
      <x:c r="I1107" s="13" t="n">
        <x:f>YEAR(B1107)</x:f>
        <x:v>2023</x:v>
      </x:c>
      <x:c r="J1107" s="13" t="n">
        <x:f>MONTH(B1107)</x:f>
        <x:v>2</x:v>
      </x:c>
      <x:c r="K1107" s="14" t="n">
        <x:f>ROUND(E1107*F1107-G1107,10)</x:f>
        <x:v>0</x:v>
      </x:c>
      <x:c r="L1107" s="2"/>
      <x:c r="M1107" s="2"/>
      <x:c r="N1107" s="2"/>
      <x:c r="O1107" s="2"/>
      <x:c r="P1107" s="2"/>
      <x:c r="Q1107" s="2"/>
      <x:c r="R1107" s="2"/>
    </x:row>
    <x:row r="1108" ht="22" customHeight="1">
      <x:c r="A1108" s="2" t="n">
        <x:v>101102</x:v>
      </x:c>
      <x:c r="B1108" s="10" t="n">
        <x:v>45100</x:v>
      </x:c>
      <x:c r="C1108" s="2" t="str">
        <x:v>Chile</x:v>
      </x:c>
      <x:c r="D1108" s="2" t="str">
        <x:v>Moda Masculina</x:v>
      </x:c>
      <x:c r="E1108" s="11" t="n">
        <x:v>29</x:v>
      </x:c>
      <x:c r="F1108" s="12" t="n">
        <x:v>25.18</x:v>
      </x:c>
      <x:c r="G1108" s="12" t="n">
        <x:v>730.22</x:v>
      </x:c>
      <x:c r="H1108" s="13" t="n">
        <x:v>308</x:v>
      </x:c>
      <x:c r="I1108" s="13" t="n">
        <x:f>YEAR(B1108)</x:f>
        <x:v>2023</x:v>
      </x:c>
      <x:c r="J1108" s="13" t="n">
        <x:f>MONTH(B1108)</x:f>
        <x:v>6</x:v>
      </x:c>
      <x:c r="K1108" s="14" t="n">
        <x:f>ROUND(E1108*F1108-G1108,10)</x:f>
        <x:v>0</x:v>
      </x:c>
      <x:c r="L1108" s="2"/>
      <x:c r="M1108" s="2"/>
      <x:c r="N1108" s="2"/>
      <x:c r="O1108" s="2"/>
      <x:c r="P1108" s="2"/>
      <x:c r="Q1108" s="2"/>
      <x:c r="R1108" s="2"/>
    </x:row>
    <x:row r="1109" ht="22" customHeight="1">
      <x:c r="A1109" s="2" t="n">
        <x:v>101103</x:v>
      </x:c>
      <x:c r="B1109" s="10" t="n">
        <x:v>45552</x:v>
      </x:c>
      <x:c r="C1109" s="2" t="str">
        <x:v>México</x:v>
      </x:c>
      <x:c r="D1109" s="2" t="str">
        <x:v>Moda Feminina</x:v>
      </x:c>
      <x:c r="E1109" s="11" t="n">
        <x:v>3</x:v>
      </x:c>
      <x:c r="F1109" s="12" t="n">
        <x:v>135.87</x:v>
      </x:c>
      <x:c r="G1109" s="12" t="n">
        <x:v>407.61</x:v>
      </x:c>
      <x:c r="H1109" s="13" t="n">
        <x:v>276</x:v>
      </x:c>
      <x:c r="I1109" s="13" t="n">
        <x:f>YEAR(B1109)</x:f>
        <x:v>2024</x:v>
      </x:c>
      <x:c r="J1109" s="13" t="n">
        <x:f>MONTH(B1109)</x:f>
        <x:v>9</x:v>
      </x:c>
      <x:c r="K1109" s="14" t="n">
        <x:f>ROUND(E1109*F1109-G1109,10)</x:f>
        <x:v>0</x:v>
      </x:c>
      <x:c r="L1109" s="2"/>
      <x:c r="M1109" s="2"/>
      <x:c r="N1109" s="2"/>
      <x:c r="O1109" s="2"/>
      <x:c r="P1109" s="2"/>
      <x:c r="Q1109" s="2"/>
      <x:c r="R1109" s="2"/>
    </x:row>
    <x:row r="1110" ht="22" customHeight="1">
      <x:c r="A1110" s="2" t="n">
        <x:v>101104</x:v>
      </x:c>
      <x:c r="B1110" s="10" t="n">
        <x:v>45000</x:v>
      </x:c>
      <x:c r="C1110" s="2" t="str">
        <x:v>México</x:v>
      </x:c>
      <x:c r="D1110" s="2" t="str">
        <x:v>Moda Feminina</x:v>
      </x:c>
      <x:c r="E1110" s="11" t="n">
        <x:v>15</x:v>
      </x:c>
      <x:c r="F1110" s="12" t="n">
        <x:v>69.89</x:v>
      </x:c>
      <x:c r="G1110" s="12" t="n">
        <x:v>1048.35</x:v>
      </x:c>
      <x:c r="H1110" s="13" t="n">
        <x:v>82</x:v>
      </x:c>
      <x:c r="I1110" s="13" t="n">
        <x:f>YEAR(B1110)</x:f>
        <x:v>2023</x:v>
      </x:c>
      <x:c r="J1110" s="13" t="n">
        <x:f>MONTH(B1110)</x:f>
        <x:v>3</x:v>
      </x:c>
      <x:c r="K1110" s="14" t="n">
        <x:f>ROUND(E1110*F1110-G1110,10)</x:f>
        <x:v>0</x:v>
      </x:c>
      <x:c r="L1110" s="2"/>
      <x:c r="M1110" s="2"/>
      <x:c r="N1110" s="2"/>
      <x:c r="O1110" s="2"/>
      <x:c r="P1110" s="2"/>
      <x:c r="Q1110" s="2"/>
      <x:c r="R1110" s="2"/>
    </x:row>
    <x:row r="1111" ht="22" customHeight="1">
      <x:c r="A1111" s="2" t="n">
        <x:v>101105</x:v>
      </x:c>
      <x:c r="B1111" s="10" t="n">
        <x:v>44934</x:v>
      </x:c>
      <x:c r="C1111" s="2" t="str">
        <x:v>México</x:v>
      </x:c>
      <x:c r="D1111" s="2" t="str">
        <x:v>Acessórios</x:v>
      </x:c>
      <x:c r="E1111" s="11" t="n">
        <x:v>36</x:v>
      </x:c>
      <x:c r="F1111" s="12" t="n">
        <x:v>100.94</x:v>
      </x:c>
      <x:c r="G1111" s="12" t="n">
        <x:v>3633.84</x:v>
      </x:c>
      <x:c r="H1111" s="13" t="n">
        <x:v>426</x:v>
      </x:c>
      <x:c r="I1111" s="13" t="n">
        <x:f>YEAR(B1111)</x:f>
        <x:v>2023</x:v>
      </x:c>
      <x:c r="J1111" s="13" t="n">
        <x:f>MONTH(B1111)</x:f>
        <x:v>1</x:v>
      </x:c>
      <x:c r="K1111" s="14" t="n">
        <x:f>ROUND(E1111*F1111-G1111,10)</x:f>
        <x:v>0</x:v>
      </x:c>
      <x:c r="L1111" s="2"/>
      <x:c r="M1111" s="2"/>
      <x:c r="N1111" s="2"/>
      <x:c r="O1111" s="2"/>
      <x:c r="P1111" s="2"/>
      <x:c r="Q1111" s="2"/>
      <x:c r="R1111" s="2"/>
    </x:row>
    <x:row r="1112" ht="22" customHeight="1">
      <x:c r="A1112" s="2" t="n">
        <x:v>101106</x:v>
      </x:c>
      <x:c r="B1112" s="10" t="n">
        <x:v>45408</x:v>
      </x:c>
      <x:c r="C1112" s="2" t="str">
        <x:v>Chile</x:v>
      </x:c>
      <x:c r="D1112" s="2" t="str">
        <x:v>Moda Infantil</x:v>
      </x:c>
      <x:c r="E1112" s="11" t="n">
        <x:v>47</x:v>
      </x:c>
      <x:c r="F1112" s="12" t="n">
        <x:v>82.15</x:v>
      </x:c>
      <x:c r="G1112" s="12" t="n">
        <x:v>3861.05</x:v>
      </x:c>
      <x:c r="H1112" s="13" t="n">
        <x:v>263</x:v>
      </x:c>
      <x:c r="I1112" s="13" t="n">
        <x:f>YEAR(B1112)</x:f>
        <x:v>2024</x:v>
      </x:c>
      <x:c r="J1112" s="13" t="n">
        <x:f>MONTH(B1112)</x:f>
        <x:v>4</x:v>
      </x:c>
      <x:c r="K1112" s="14" t="n">
        <x:f>ROUND(E1112*F1112-G1112,10)</x:f>
        <x:v>0</x:v>
      </x:c>
      <x:c r="L1112" s="2"/>
      <x:c r="M1112" s="2"/>
      <x:c r="N1112" s="2"/>
      <x:c r="O1112" s="2"/>
      <x:c r="P1112" s="2"/>
      <x:c r="Q1112" s="2"/>
      <x:c r="R1112" s="2"/>
    </x:row>
    <x:row r="1113" ht="22" customHeight="1">
      <x:c r="A1113" s="2" t="n">
        <x:v>101107</x:v>
      </x:c>
      <x:c r="B1113" s="10" t="n">
        <x:v>45060</x:v>
      </x:c>
      <x:c r="C1113" s="2" t="str">
        <x:v>Chile</x:v>
      </x:c>
      <x:c r="D1113" s="2" t="str">
        <x:v>Moda Infantil</x:v>
      </x:c>
      <x:c r="E1113" s="11" t="n">
        <x:v>46</x:v>
      </x:c>
      <x:c r="F1113" s="12" t="n">
        <x:v>51.1</x:v>
      </x:c>
      <x:c r="G1113" s="12" t="n">
        <x:v>2350.6</x:v>
      </x:c>
      <x:c r="H1113" s="13" t="n">
        <x:v>99</x:v>
      </x:c>
      <x:c r="I1113" s="13" t="n">
        <x:f>YEAR(B1113)</x:f>
        <x:v>2023</x:v>
      </x:c>
      <x:c r="J1113" s="13" t="n">
        <x:f>MONTH(B1113)</x:f>
        <x:v>5</x:v>
      </x:c>
      <x:c r="K1113" s="14" t="n">
        <x:f>ROUND(E1113*F1113-G1113,10)</x:f>
        <x:v>0</x:v>
      </x:c>
      <x:c r="L1113" s="2"/>
      <x:c r="M1113" s="2"/>
      <x:c r="N1113" s="2"/>
      <x:c r="O1113" s="2"/>
      <x:c r="P1113" s="2"/>
      <x:c r="Q1113" s="2"/>
      <x:c r="R1113" s="2"/>
    </x:row>
    <x:row r="1114" ht="22" customHeight="1">
      <x:c r="A1114" s="2" t="n">
        <x:v>101108</x:v>
      </x:c>
      <x:c r="B1114" s="10" t="n">
        <x:v>45632</x:v>
      </x:c>
      <x:c r="C1114" s="2" t="str">
        <x:v>Peru</x:v>
      </x:c>
      <x:c r="D1114" s="2" t="str">
        <x:v>Moda Feminina</x:v>
      </x:c>
      <x:c r="E1114" s="11" t="n">
        <x:v>19</x:v>
      </x:c>
      <x:c r="F1114" s="12" t="n">
        <x:v>131.96</x:v>
      </x:c>
      <x:c r="G1114" s="12" t="n">
        <x:v>2507.24</x:v>
      </x:c>
      <x:c r="H1114" s="13" t="n">
        <x:v>489</x:v>
      </x:c>
      <x:c r="I1114" s="13" t="n">
        <x:f>YEAR(B1114)</x:f>
        <x:v>2024</x:v>
      </x:c>
      <x:c r="J1114" s="13" t="n">
        <x:f>MONTH(B1114)</x:f>
        <x:v>12</x:v>
      </x:c>
      <x:c r="K1114" s="14" t="n">
        <x:f>ROUND(E1114*F1114-G1114,10)</x:f>
        <x:v>0</x:v>
      </x:c>
      <x:c r="L1114" s="2"/>
      <x:c r="M1114" s="2"/>
      <x:c r="N1114" s="2"/>
      <x:c r="O1114" s="2"/>
      <x:c r="P1114" s="2"/>
      <x:c r="Q1114" s="2"/>
      <x:c r="R1114" s="2"/>
    </x:row>
    <x:row r="1115" ht="22" customHeight="1">
      <x:c r="A1115" s="2" t="n">
        <x:v>101109</x:v>
      </x:c>
      <x:c r="B1115" s="10" t="n">
        <x:v>45116</x:v>
      </x:c>
      <x:c r="C1115" s="2" t="str">
        <x:v>Argentina</x:v>
      </x:c>
      <x:c r="D1115" s="2" t="str">
        <x:v>Calçados</x:v>
      </x:c>
      <x:c r="E1115" s="11" t="n">
        <x:v>13</x:v>
      </x:c>
      <x:c r="F1115" s="12" t="n">
        <x:v>178.76</x:v>
      </x:c>
      <x:c r="G1115" s="12" t="n">
        <x:v>2323.88</x:v>
      </x:c>
      <x:c r="H1115" s="13" t="n">
        <x:v>442</x:v>
      </x:c>
      <x:c r="I1115" s="13" t="n">
        <x:f>YEAR(B1115)</x:f>
        <x:v>2023</x:v>
      </x:c>
      <x:c r="J1115" s="13" t="n">
        <x:f>MONTH(B1115)</x:f>
        <x:v>7</x:v>
      </x:c>
      <x:c r="K1115" s="14" t="n">
        <x:f>ROUND(E1115*F1115-G1115,10)</x:f>
        <x:v>0</x:v>
      </x:c>
      <x:c r="L1115" s="2"/>
      <x:c r="M1115" s="2"/>
      <x:c r="N1115" s="2"/>
      <x:c r="O1115" s="2"/>
      <x:c r="P1115" s="2"/>
      <x:c r="Q1115" s="2"/>
      <x:c r="R1115" s="2"/>
    </x:row>
    <x:row r="1116" ht="22" customHeight="1">
      <x:c r="A1116" s="2" t="n">
        <x:v>101110</x:v>
      </x:c>
      <x:c r="B1116" s="10" t="n">
        <x:v>45364</x:v>
      </x:c>
      <x:c r="C1116" s="2" t="str">
        <x:v>Peru</x:v>
      </x:c>
      <x:c r="D1116" s="2" t="str">
        <x:v>Moda Masculina</x:v>
      </x:c>
      <x:c r="E1116" s="11" t="n">
        <x:v>42</x:v>
      </x:c>
      <x:c r="F1116" s="12" t="n">
        <x:v>192.64</x:v>
      </x:c>
      <x:c r="G1116" s="12" t="n">
        <x:v>8090.879999999999</x:v>
      </x:c>
      <x:c r="H1116" s="13" t="n">
        <x:v>259</x:v>
      </x:c>
      <x:c r="I1116" s="13" t="n">
        <x:f>YEAR(B1116)</x:f>
        <x:v>2024</x:v>
      </x:c>
      <x:c r="J1116" s="13" t="n">
        <x:f>MONTH(B1116)</x:f>
        <x:v>3</x:v>
      </x:c>
      <x:c r="K1116" s="14" t="n">
        <x:f>ROUND(E1116*F1116-G1116,10)</x:f>
        <x:v>0</x:v>
      </x:c>
      <x:c r="L1116" s="2"/>
      <x:c r="M1116" s="2"/>
      <x:c r="N1116" s="2"/>
      <x:c r="O1116" s="2"/>
      <x:c r="P1116" s="2"/>
      <x:c r="Q1116" s="2"/>
      <x:c r="R1116" s="2"/>
    </x:row>
    <x:row r="1117" ht="22" customHeight="1">
      <x:c r="A1117" s="2" t="n">
        <x:v>101111</x:v>
      </x:c>
      <x:c r="B1117" s="10" t="n">
        <x:v>45513</x:v>
      </x:c>
      <x:c r="C1117" s="2" t="str">
        <x:v>Colômbia</x:v>
      </x:c>
      <x:c r="D1117" s="2" t="str">
        <x:v>Calçados</x:v>
      </x:c>
      <x:c r="E1117" s="11" t="n">
        <x:v>21</x:v>
      </x:c>
      <x:c r="F1117" s="12" t="n">
        <x:v>54.62</x:v>
      </x:c>
      <x:c r="G1117" s="12" t="n">
        <x:v>1147.02</x:v>
      </x:c>
      <x:c r="H1117" s="13" t="n">
        <x:v>483</x:v>
      </x:c>
      <x:c r="I1117" s="13" t="n">
        <x:f>YEAR(B1117)</x:f>
        <x:v>2024</x:v>
      </x:c>
      <x:c r="J1117" s="13" t="n">
        <x:f>MONTH(B1117)</x:f>
        <x:v>8</x:v>
      </x:c>
      <x:c r="K1117" s="14" t="n">
        <x:f>ROUND(E1117*F1117-G1117,10)</x:f>
        <x:v>0</x:v>
      </x:c>
      <x:c r="L1117" s="2"/>
      <x:c r="M1117" s="2"/>
      <x:c r="N1117" s="2"/>
      <x:c r="O1117" s="2"/>
      <x:c r="P1117" s="2"/>
      <x:c r="Q1117" s="2"/>
      <x:c r="R1117" s="2"/>
    </x:row>
    <x:row r="1118" ht="22" customHeight="1">
      <x:c r="A1118" s="2" t="n">
        <x:v>101112</x:v>
      </x:c>
      <x:c r="B1118" s="10" t="n">
        <x:v>45395</x:v>
      </x:c>
      <x:c r="C1118" s="2" t="str">
        <x:v>Brasil</x:v>
      </x:c>
      <x:c r="D1118" s="2" t="str">
        <x:v>Calçados</x:v>
      </x:c>
      <x:c r="E1118" s="11" t="n">
        <x:v>37</x:v>
      </x:c>
      <x:c r="F1118" s="12" t="n">
        <x:v>149.13</x:v>
      </x:c>
      <x:c r="G1118" s="12" t="n">
        <x:v>5517.809999999999</x:v>
      </x:c>
      <x:c r="H1118" s="13" t="n">
        <x:v>78</x:v>
      </x:c>
      <x:c r="I1118" s="13" t="n">
        <x:f>YEAR(B1118)</x:f>
        <x:v>2024</x:v>
      </x:c>
      <x:c r="J1118" s="13" t="n">
        <x:f>MONTH(B1118)</x:f>
        <x:v>4</x:v>
      </x:c>
      <x:c r="K1118" s="14" t="n">
        <x:f>ROUND(E1118*F1118-G1118,10)</x:f>
        <x:v>0</x:v>
      </x:c>
      <x:c r="L1118" s="2"/>
      <x:c r="M1118" s="2"/>
      <x:c r="N1118" s="2"/>
      <x:c r="O1118" s="2"/>
      <x:c r="P1118" s="2"/>
      <x:c r="Q1118" s="2"/>
      <x:c r="R1118" s="2"/>
    </x:row>
    <x:row r="1119" ht="22" customHeight="1">
      <x:c r="A1119" s="2" t="n">
        <x:v>101113</x:v>
      </x:c>
      <x:c r="B1119" s="10" t="n">
        <x:v>45002</x:v>
      </x:c>
      <x:c r="C1119" s="2" t="str">
        <x:v>México</x:v>
      </x:c>
      <x:c r="D1119" s="2" t="str">
        <x:v>Moda Feminina</x:v>
      </x:c>
      <x:c r="E1119" s="11" t="n">
        <x:v>27</x:v>
      </x:c>
      <x:c r="F1119" s="12" t="n">
        <x:v>139.58</x:v>
      </x:c>
      <x:c r="G1119" s="12" t="n">
        <x:v>3768.66</x:v>
      </x:c>
      <x:c r="H1119" s="13" t="n">
        <x:v>88</x:v>
      </x:c>
      <x:c r="I1119" s="13" t="n">
        <x:f>YEAR(B1119)</x:f>
        <x:v>2023</x:v>
      </x:c>
      <x:c r="J1119" s="13" t="n">
        <x:f>MONTH(B1119)</x:f>
        <x:v>3</x:v>
      </x:c>
      <x:c r="K1119" s="14" t="n">
        <x:f>ROUND(E1119*F1119-G1119,10)</x:f>
        <x:v>0</x:v>
      </x:c>
      <x:c r="L1119" s="2"/>
      <x:c r="M1119" s="2"/>
      <x:c r="N1119" s="2"/>
      <x:c r="O1119" s="2"/>
      <x:c r="P1119" s="2"/>
      <x:c r="Q1119" s="2"/>
      <x:c r="R1119" s="2"/>
    </x:row>
    <x:row r="1120" ht="22" customHeight="1">
      <x:c r="A1120" s="2" t="n">
        <x:v>101114</x:v>
      </x:c>
      <x:c r="B1120" s="10" t="n">
        <x:v>45516</x:v>
      </x:c>
      <x:c r="C1120" s="2" t="str">
        <x:v>Argentina</x:v>
      </x:c>
      <x:c r="D1120" s="2" t="str">
        <x:v>Moda Feminina</x:v>
      </x:c>
      <x:c r="E1120" s="11" t="n">
        <x:v>29</x:v>
      </x:c>
      <x:c r="F1120" s="12" t="n">
        <x:v>81.81</x:v>
      </x:c>
      <x:c r="G1120" s="12" t="n">
        <x:v>2372.49</x:v>
      </x:c>
      <x:c r="H1120" s="13" t="n">
        <x:v>396</x:v>
      </x:c>
      <x:c r="I1120" s="13" t="n">
        <x:f>YEAR(B1120)</x:f>
        <x:v>2024</x:v>
      </x:c>
      <x:c r="J1120" s="13" t="n">
        <x:f>MONTH(B1120)</x:f>
        <x:v>8</x:v>
      </x:c>
      <x:c r="K1120" s="14" t="n">
        <x:f>ROUND(E1120*F1120-G1120,10)</x:f>
        <x:v>0</x:v>
      </x:c>
      <x:c r="L1120" s="2"/>
      <x:c r="M1120" s="2"/>
      <x:c r="N1120" s="2"/>
      <x:c r="O1120" s="2"/>
      <x:c r="P1120" s="2"/>
      <x:c r="Q1120" s="2"/>
      <x:c r="R1120" s="2"/>
    </x:row>
    <x:row r="1121" ht="22" customHeight="1">
      <x:c r="A1121" s="2" t="n">
        <x:v>101115</x:v>
      </x:c>
      <x:c r="B1121" s="10" t="n">
        <x:v>44967</x:v>
      </x:c>
      <x:c r="C1121" s="2" t="str">
        <x:v>Brasil</x:v>
      </x:c>
      <x:c r="D1121" s="2" t="str">
        <x:v>Moda Feminina</x:v>
      </x:c>
      <x:c r="E1121" s="11" t="n">
        <x:v>20</x:v>
      </x:c>
      <x:c r="F1121" s="12" t="n">
        <x:v>23.44</x:v>
      </x:c>
      <x:c r="G1121" s="12" t="n">
        <x:v>468.8</x:v>
      </x:c>
      <x:c r="H1121" s="13" t="n">
        <x:v>149</x:v>
      </x:c>
      <x:c r="I1121" s="13" t="n">
        <x:f>YEAR(B1121)</x:f>
        <x:v>2023</x:v>
      </x:c>
      <x:c r="J1121" s="13" t="n">
        <x:f>MONTH(B1121)</x:f>
        <x:v>2</x:v>
      </x:c>
      <x:c r="K1121" s="14" t="n">
        <x:f>ROUND(E1121*F1121-G1121,10)</x:f>
        <x:v>0</x:v>
      </x:c>
      <x:c r="L1121" s="2"/>
      <x:c r="M1121" s="2"/>
      <x:c r="N1121" s="2"/>
      <x:c r="O1121" s="2"/>
      <x:c r="P1121" s="2"/>
      <x:c r="Q1121" s="2"/>
      <x:c r="R1121" s="2"/>
    </x:row>
    <x:row r="1122" ht="22" customHeight="1">
      <x:c r="A1122" s="2" t="n">
        <x:v>101116</x:v>
      </x:c>
      <x:c r="B1122" s="10" t="n">
        <x:v>45376</x:v>
      </x:c>
      <x:c r="C1122" s="2" t="str">
        <x:v>Argentina</x:v>
      </x:c>
      <x:c r="D1122" s="2" t="str">
        <x:v>Acessórios</x:v>
      </x:c>
      <x:c r="E1122" s="11" t="n">
        <x:v>25</x:v>
      </x:c>
      <x:c r="F1122" s="12" t="n">
        <x:v>144.16</x:v>
      </x:c>
      <x:c r="G1122" s="12" t="n">
        <x:v>3604</x:v>
      </x:c>
      <x:c r="H1122" s="13" t="n">
        <x:v>222</x:v>
      </x:c>
      <x:c r="I1122" s="13" t="n">
        <x:f>YEAR(B1122)</x:f>
        <x:v>2024</x:v>
      </x:c>
      <x:c r="J1122" s="13" t="n">
        <x:f>MONTH(B1122)</x:f>
        <x:v>3</x:v>
      </x:c>
      <x:c r="K1122" s="14" t="n">
        <x:f>ROUND(E1122*F1122-G1122,10)</x:f>
        <x:v>0</x:v>
      </x:c>
      <x:c r="L1122" s="2"/>
      <x:c r="M1122" s="2"/>
      <x:c r="N1122" s="2"/>
      <x:c r="O1122" s="2"/>
      <x:c r="P1122" s="2"/>
      <x:c r="Q1122" s="2"/>
      <x:c r="R1122" s="2"/>
    </x:row>
    <x:row r="1123" ht="22" customHeight="1">
      <x:c r="A1123" s="2" t="n">
        <x:v>101117</x:v>
      </x:c>
      <x:c r="B1123" s="10" t="n">
        <x:v>45339</x:v>
      </x:c>
      <x:c r="C1123" s="2" t="str">
        <x:v>Peru</x:v>
      </x:c>
      <x:c r="D1123" s="2" t="str">
        <x:v>Calçados</x:v>
      </x:c>
      <x:c r="E1123" s="11" t="n">
        <x:v>6</x:v>
      </x:c>
      <x:c r="F1123" s="12" t="n">
        <x:v>190.19</x:v>
      </x:c>
      <x:c r="G1123" s="12" t="n">
        <x:v>1141.14</x:v>
      </x:c>
      <x:c r="H1123" s="13" t="n">
        <x:v>66</x:v>
      </x:c>
      <x:c r="I1123" s="13" t="n">
        <x:f>YEAR(B1123)</x:f>
        <x:v>2024</x:v>
      </x:c>
      <x:c r="J1123" s="13" t="n">
        <x:f>MONTH(B1123)</x:f>
        <x:v>2</x:v>
      </x:c>
      <x:c r="K1123" s="14" t="n">
        <x:f>ROUND(E1123*F1123-G1123,10)</x:f>
        <x:v>0</x:v>
      </x:c>
      <x:c r="L1123" s="2"/>
      <x:c r="M1123" s="2"/>
      <x:c r="N1123" s="2"/>
      <x:c r="O1123" s="2"/>
      <x:c r="P1123" s="2"/>
      <x:c r="Q1123" s="2"/>
      <x:c r="R1123" s="2"/>
    </x:row>
    <x:row r="1124" ht="22" customHeight="1">
      <x:c r="A1124" s="2" t="n">
        <x:v>101118</x:v>
      </x:c>
      <x:c r="B1124" s="10" t="n">
        <x:v>45269</x:v>
      </x:c>
      <x:c r="C1124" s="2" t="str">
        <x:v>Chile</x:v>
      </x:c>
      <x:c r="D1124" s="2" t="str">
        <x:v>Moda Infantil</x:v>
      </x:c>
      <x:c r="E1124" s="11" t="n">
        <x:v>36</x:v>
      </x:c>
      <x:c r="F1124" s="12" t="n">
        <x:v>133.78</x:v>
      </x:c>
      <x:c r="G1124" s="12" t="n">
        <x:v>4816.08</x:v>
      </x:c>
      <x:c r="H1124" s="13" t="n">
        <x:v>105</x:v>
      </x:c>
      <x:c r="I1124" s="13" t="n">
        <x:f>YEAR(B1124)</x:f>
        <x:v>2023</x:v>
      </x:c>
      <x:c r="J1124" s="13" t="n">
        <x:f>MONTH(B1124)</x:f>
        <x:v>12</x:v>
      </x:c>
      <x:c r="K1124" s="14" t="n">
        <x:f>ROUND(E1124*F1124-G1124,10)</x:f>
        <x:v>0</x:v>
      </x:c>
      <x:c r="L1124" s="2"/>
      <x:c r="M1124" s="2"/>
      <x:c r="N1124" s="2"/>
      <x:c r="O1124" s="2"/>
      <x:c r="P1124" s="2"/>
      <x:c r="Q1124" s="2"/>
      <x:c r="R1124" s="2"/>
    </x:row>
    <x:row r="1125" ht="22" customHeight="1">
      <x:c r="A1125" s="2" t="n">
        <x:v>101119</x:v>
      </x:c>
      <x:c r="B1125" s="10" t="n">
        <x:v>45324</x:v>
      </x:c>
      <x:c r="C1125" s="2" t="str">
        <x:v>México</x:v>
      </x:c>
      <x:c r="D1125" s="2" t="str">
        <x:v>Moda Masculina</x:v>
      </x:c>
      <x:c r="E1125" s="11" t="n">
        <x:v>2</x:v>
      </x:c>
      <x:c r="F1125" s="12" t="n">
        <x:v>98.35</x:v>
      </x:c>
      <x:c r="G1125" s="12" t="n">
        <x:v>196.7</x:v>
      </x:c>
      <x:c r="H1125" s="13" t="n">
        <x:v>275</x:v>
      </x:c>
      <x:c r="I1125" s="13" t="n">
        <x:f>YEAR(B1125)</x:f>
        <x:v>2024</x:v>
      </x:c>
      <x:c r="J1125" s="13" t="n">
        <x:f>MONTH(B1125)</x:f>
        <x:v>2</x:v>
      </x:c>
      <x:c r="K1125" s="14" t="n">
        <x:f>ROUND(E1125*F1125-G1125,10)</x:f>
        <x:v>0</x:v>
      </x:c>
      <x:c r="L1125" s="2"/>
      <x:c r="M1125" s="2"/>
      <x:c r="N1125" s="2"/>
      <x:c r="O1125" s="2"/>
      <x:c r="P1125" s="2"/>
      <x:c r="Q1125" s="2"/>
      <x:c r="R1125" s="2"/>
    </x:row>
    <x:row r="1126" ht="22" customHeight="1">
      <x:c r="A1126" s="2" t="n">
        <x:v>101120</x:v>
      </x:c>
      <x:c r="B1126" s="10" t="n">
        <x:v>45219</x:v>
      </x:c>
      <x:c r="C1126" s="2" t="str">
        <x:v>Peru</x:v>
      </x:c>
      <x:c r="D1126" s="2" t="str">
        <x:v>Acessórios</x:v>
      </x:c>
      <x:c r="E1126" s="11" t="n">
        <x:v>22</x:v>
      </x:c>
      <x:c r="F1126" s="12" t="n">
        <x:v>114.53</x:v>
      </x:c>
      <x:c r="G1126" s="12" t="n">
        <x:v>2519.66</x:v>
      </x:c>
      <x:c r="H1126" s="13" t="n">
        <x:v>95</x:v>
      </x:c>
      <x:c r="I1126" s="13" t="n">
        <x:f>YEAR(B1126)</x:f>
        <x:v>2023</x:v>
      </x:c>
      <x:c r="J1126" s="13" t="n">
        <x:f>MONTH(B1126)</x:f>
        <x:v>10</x:v>
      </x:c>
      <x:c r="K1126" s="14" t="n">
        <x:f>ROUND(E1126*F1126-G1126,10)</x:f>
        <x:v>0</x:v>
      </x:c>
      <x:c r="L1126" s="2"/>
      <x:c r="M1126" s="2"/>
      <x:c r="N1126" s="2"/>
      <x:c r="O1126" s="2"/>
      <x:c r="P1126" s="2"/>
      <x:c r="Q1126" s="2"/>
      <x:c r="R1126" s="2"/>
    </x:row>
    <x:row r="1127" ht="22" customHeight="1">
      <x:c r="A1127" s="2" t="n">
        <x:v>101121</x:v>
      </x:c>
      <x:c r="B1127" s="10" t="n">
        <x:v>44951</x:v>
      </x:c>
      <x:c r="C1127" s="2" t="str">
        <x:v>Brasil</x:v>
      </x:c>
      <x:c r="D1127" s="2" t="str">
        <x:v>Moda Infantil</x:v>
      </x:c>
      <x:c r="E1127" s="11" t="n">
        <x:v>32</x:v>
      </x:c>
      <x:c r="F1127" s="12" t="n">
        <x:v>55.93</x:v>
      </x:c>
      <x:c r="G1127" s="12" t="n">
        <x:v>1789.76</x:v>
      </x:c>
      <x:c r="H1127" s="13" t="n">
        <x:v>116</x:v>
      </x:c>
      <x:c r="I1127" s="13" t="n">
        <x:f>YEAR(B1127)</x:f>
        <x:v>2023</x:v>
      </x:c>
      <x:c r="J1127" s="13" t="n">
        <x:f>MONTH(B1127)</x:f>
        <x:v>1</x:v>
      </x:c>
      <x:c r="K1127" s="14" t="n">
        <x:f>ROUND(E1127*F1127-G1127,10)</x:f>
        <x:v>0</x:v>
      </x:c>
      <x:c r="L1127" s="2"/>
      <x:c r="M1127" s="2"/>
      <x:c r="N1127" s="2"/>
      <x:c r="O1127" s="2"/>
      <x:c r="P1127" s="2"/>
      <x:c r="Q1127" s="2"/>
      <x:c r="R1127" s="2"/>
    </x:row>
    <x:row r="1128" ht="22" customHeight="1">
      <x:c r="A1128" s="2" t="n">
        <x:v>101122</x:v>
      </x:c>
      <x:c r="B1128" s="10" t="n">
        <x:v>45364</x:v>
      </x:c>
      <x:c r="C1128" s="2" t="str">
        <x:v>Brasil</x:v>
      </x:c>
      <x:c r="D1128" s="2" t="str">
        <x:v>Calçados</x:v>
      </x:c>
      <x:c r="E1128" s="11" t="n">
        <x:v>16</x:v>
      </x:c>
      <x:c r="F1128" s="12" t="n">
        <x:v>155.1</x:v>
      </x:c>
      <x:c r="G1128" s="12" t="n">
        <x:v>2481.6</x:v>
      </x:c>
      <x:c r="H1128" s="13" t="n">
        <x:v>246</x:v>
      </x:c>
      <x:c r="I1128" s="13" t="n">
        <x:f>YEAR(B1128)</x:f>
        <x:v>2024</x:v>
      </x:c>
      <x:c r="J1128" s="13" t="n">
        <x:f>MONTH(B1128)</x:f>
        <x:v>3</x:v>
      </x:c>
      <x:c r="K1128" s="14" t="n">
        <x:f>ROUND(E1128*F1128-G1128,10)</x:f>
        <x:v>0</x:v>
      </x:c>
      <x:c r="L1128" s="2"/>
      <x:c r="M1128" s="2"/>
      <x:c r="N1128" s="2"/>
      <x:c r="O1128" s="2"/>
      <x:c r="P1128" s="2"/>
      <x:c r="Q1128" s="2"/>
      <x:c r="R1128" s="2"/>
    </x:row>
    <x:row r="1129" ht="22" customHeight="1">
      <x:c r="A1129" s="2" t="n">
        <x:v>101123</x:v>
      </x:c>
      <x:c r="B1129" s="10" t="n">
        <x:v>44999</x:v>
      </x:c>
      <x:c r="C1129" s="2" t="str">
        <x:v>Brasil</x:v>
      </x:c>
      <x:c r="D1129" s="2" t="str">
        <x:v>Moda Feminina</x:v>
      </x:c>
      <x:c r="E1129" s="11" t="n">
        <x:v>18</x:v>
      </x:c>
      <x:c r="F1129" s="12" t="n">
        <x:v>154.36</x:v>
      </x:c>
      <x:c r="G1129" s="12" t="n">
        <x:v>2778.48</x:v>
      </x:c>
      <x:c r="H1129" s="13" t="n">
        <x:v>191</x:v>
      </x:c>
      <x:c r="I1129" s="13" t="n">
        <x:f>YEAR(B1129)</x:f>
        <x:v>2023</x:v>
      </x:c>
      <x:c r="J1129" s="13" t="n">
        <x:f>MONTH(B1129)</x:f>
        <x:v>3</x:v>
      </x:c>
      <x:c r="K1129" s="14" t="n">
        <x:f>ROUND(E1129*F1129-G1129,10)</x:f>
        <x:v>0</x:v>
      </x:c>
      <x:c r="L1129" s="2"/>
      <x:c r="M1129" s="2"/>
      <x:c r="N1129" s="2"/>
      <x:c r="O1129" s="2"/>
      <x:c r="P1129" s="2"/>
      <x:c r="Q1129" s="2"/>
      <x:c r="R1129" s="2"/>
    </x:row>
    <x:row r="1130" ht="22" customHeight="1">
      <x:c r="A1130" s="2" t="n">
        <x:v>101124</x:v>
      </x:c>
      <x:c r="B1130" s="10" t="n">
        <x:v>45180</x:v>
      </x:c>
      <x:c r="C1130" s="2" t="str">
        <x:v>Brasil</x:v>
      </x:c>
      <x:c r="D1130" s="2" t="str">
        <x:v>Calçados</x:v>
      </x:c>
      <x:c r="E1130" s="11" t="n">
        <x:v>5</x:v>
      </x:c>
      <x:c r="F1130" s="12" t="n">
        <x:v>46.19</x:v>
      </x:c>
      <x:c r="G1130" s="12" t="n">
        <x:v>230.95</x:v>
      </x:c>
      <x:c r="H1130" s="13" t="n">
        <x:v>372</x:v>
      </x:c>
      <x:c r="I1130" s="13" t="n">
        <x:f>YEAR(B1130)</x:f>
        <x:v>2023</x:v>
      </x:c>
      <x:c r="J1130" s="13" t="n">
        <x:f>MONTH(B1130)</x:f>
        <x:v>9</x:v>
      </x:c>
      <x:c r="K1130" s="14" t="n">
        <x:f>ROUND(E1130*F1130-G1130,10)</x:f>
        <x:v>0</x:v>
      </x:c>
      <x:c r="L1130" s="2"/>
      <x:c r="M1130" s="2"/>
      <x:c r="N1130" s="2"/>
      <x:c r="O1130" s="2"/>
      <x:c r="P1130" s="2"/>
      <x:c r="Q1130" s="2"/>
      <x:c r="R1130" s="2"/>
    </x:row>
    <x:row r="1131" ht="22" customHeight="1">
      <x:c r="A1131" s="2" t="n">
        <x:v>101125</x:v>
      </x:c>
      <x:c r="B1131" s="10" t="n">
        <x:v>45250</x:v>
      </x:c>
      <x:c r="C1131" s="2" t="str">
        <x:v>Brasil</x:v>
      </x:c>
      <x:c r="D1131" s="2" t="str">
        <x:v>Moda Masculina</x:v>
      </x:c>
      <x:c r="E1131" s="11" t="n">
        <x:v>36</x:v>
      </x:c>
      <x:c r="F1131" s="12" t="n">
        <x:v>178.04</x:v>
      </x:c>
      <x:c r="G1131" s="12" t="n">
        <x:v>6409.44</x:v>
      </x:c>
      <x:c r="H1131" s="13" t="n">
        <x:v>72</x:v>
      </x:c>
      <x:c r="I1131" s="13" t="n">
        <x:f>YEAR(B1131)</x:f>
        <x:v>2023</x:v>
      </x:c>
      <x:c r="J1131" s="13" t="n">
        <x:f>MONTH(B1131)</x:f>
        <x:v>11</x:v>
      </x:c>
      <x:c r="K1131" s="14" t="n">
        <x:f>ROUND(E1131*F1131-G1131,10)</x:f>
        <x:v>0</x:v>
      </x:c>
      <x:c r="L1131" s="2"/>
      <x:c r="M1131" s="2"/>
      <x:c r="N1131" s="2"/>
      <x:c r="O1131" s="2"/>
      <x:c r="P1131" s="2"/>
      <x:c r="Q1131" s="2"/>
      <x:c r="R1131" s="2"/>
    </x:row>
    <x:row r="1132" ht="22" customHeight="1">
      <x:c r="A1132" s="2" t="n">
        <x:v>101126</x:v>
      </x:c>
      <x:c r="B1132" s="10" t="n">
        <x:v>45400</x:v>
      </x:c>
      <x:c r="C1132" s="2" t="str">
        <x:v>Argentina</x:v>
      </x:c>
      <x:c r="D1132" s="2" t="str">
        <x:v>Acessórios</x:v>
      </x:c>
      <x:c r="E1132" s="11" t="n">
        <x:v>30</x:v>
      </x:c>
      <x:c r="F1132" s="12" t="n">
        <x:v>68.45</x:v>
      </x:c>
      <x:c r="G1132" s="12" t="n">
        <x:v>2053.5</x:v>
      </x:c>
      <x:c r="H1132" s="13" t="n">
        <x:v>143</x:v>
      </x:c>
      <x:c r="I1132" s="13" t="n">
        <x:f>YEAR(B1132)</x:f>
        <x:v>2024</x:v>
      </x:c>
      <x:c r="J1132" s="13" t="n">
        <x:f>MONTH(B1132)</x:f>
        <x:v>4</x:v>
      </x:c>
      <x:c r="K1132" s="14" t="n">
        <x:f>ROUND(E1132*F1132-G1132,10)</x:f>
        <x:v>0</x:v>
      </x:c>
      <x:c r="L1132" s="2"/>
      <x:c r="M1132" s="2"/>
      <x:c r="N1132" s="2"/>
      <x:c r="O1132" s="2"/>
      <x:c r="P1132" s="2"/>
      <x:c r="Q1132" s="2"/>
      <x:c r="R1132" s="2"/>
    </x:row>
    <x:row r="1133" ht="22" customHeight="1">
      <x:c r="A1133" s="2" t="n">
        <x:v>101127</x:v>
      </x:c>
      <x:c r="B1133" s="10" t="n">
        <x:v>45438</x:v>
      </x:c>
      <x:c r="C1133" s="2" t="str">
        <x:v>Peru</x:v>
      </x:c>
      <x:c r="D1133" s="2" t="str">
        <x:v>Acessórios</x:v>
      </x:c>
      <x:c r="E1133" s="11" t="n">
        <x:v>45</x:v>
      </x:c>
      <x:c r="F1133" s="12" t="n">
        <x:v>196.81</x:v>
      </x:c>
      <x:c r="G1133" s="12" t="n">
        <x:v>8856.45</x:v>
      </x:c>
      <x:c r="H1133" s="13" t="n">
        <x:v>291</x:v>
      </x:c>
      <x:c r="I1133" s="13" t="n">
        <x:f>YEAR(B1133)</x:f>
        <x:v>2024</x:v>
      </x:c>
      <x:c r="J1133" s="13" t="n">
        <x:f>MONTH(B1133)</x:f>
        <x:v>5</x:v>
      </x:c>
      <x:c r="K1133" s="14" t="n">
        <x:f>ROUND(E1133*F1133-G1133,10)</x:f>
        <x:v>0</x:v>
      </x:c>
      <x:c r="L1133" s="2"/>
      <x:c r="M1133" s="2"/>
      <x:c r="N1133" s="2"/>
      <x:c r="O1133" s="2"/>
      <x:c r="P1133" s="2"/>
      <x:c r="Q1133" s="2"/>
      <x:c r="R1133" s="2"/>
    </x:row>
    <x:row r="1134" ht="22" customHeight="1">
      <x:c r="A1134" s="2" t="n">
        <x:v>101128</x:v>
      </x:c>
      <x:c r="B1134" s="10" t="n">
        <x:v>45113</x:v>
      </x:c>
      <x:c r="C1134" s="2" t="str">
        <x:v>México</x:v>
      </x:c>
      <x:c r="D1134" s="2" t="str">
        <x:v>Moda Masculina</x:v>
      </x:c>
      <x:c r="E1134" s="11" t="n">
        <x:v>19</x:v>
      </x:c>
      <x:c r="F1134" s="12" t="n">
        <x:v>88.92</x:v>
      </x:c>
      <x:c r="G1134" s="12" t="n">
        <x:v>1689.48</x:v>
      </x:c>
      <x:c r="H1134" s="13" t="n">
        <x:v>286</x:v>
      </x:c>
      <x:c r="I1134" s="13" t="n">
        <x:f>YEAR(B1134)</x:f>
        <x:v>2023</x:v>
      </x:c>
      <x:c r="J1134" s="13" t="n">
        <x:f>MONTH(B1134)</x:f>
        <x:v>7</x:v>
      </x:c>
      <x:c r="K1134" s="14" t="n">
        <x:f>ROUND(E1134*F1134-G1134,10)</x:f>
        <x:v>0</x:v>
      </x:c>
      <x:c r="L1134" s="2"/>
      <x:c r="M1134" s="2"/>
      <x:c r="N1134" s="2"/>
      <x:c r="O1134" s="2"/>
      <x:c r="P1134" s="2"/>
      <x:c r="Q1134" s="2"/>
      <x:c r="R1134" s="2"/>
    </x:row>
    <x:row r="1135" ht="22" customHeight="1">
      <x:c r="A1135" s="2" t="n">
        <x:v>101129</x:v>
      </x:c>
      <x:c r="B1135" s="10" t="n">
        <x:v>45618</x:v>
      </x:c>
      <x:c r="C1135" s="2" t="str">
        <x:v>Chile</x:v>
      </x:c>
      <x:c r="D1135" s="2" t="str">
        <x:v>Moda Infantil</x:v>
      </x:c>
      <x:c r="E1135" s="11" t="n">
        <x:v>23</x:v>
      </x:c>
      <x:c r="F1135" s="12" t="n">
        <x:v>52.02</x:v>
      </x:c>
      <x:c r="G1135" s="12" t="n">
        <x:v>1196.46</x:v>
      </x:c>
      <x:c r="H1135" s="13" t="n">
        <x:v>494</x:v>
      </x:c>
      <x:c r="I1135" s="13" t="n">
        <x:f>YEAR(B1135)</x:f>
        <x:v>2024</x:v>
      </x:c>
      <x:c r="J1135" s="13" t="n">
        <x:f>MONTH(B1135)</x:f>
        <x:v>11</x:v>
      </x:c>
      <x:c r="K1135" s="14" t="n">
        <x:f>ROUND(E1135*F1135-G1135,10)</x:f>
        <x:v>0</x:v>
      </x:c>
      <x:c r="L1135" s="2"/>
      <x:c r="M1135" s="2"/>
      <x:c r="N1135" s="2"/>
      <x:c r="O1135" s="2"/>
      <x:c r="P1135" s="2"/>
      <x:c r="Q1135" s="2"/>
      <x:c r="R1135" s="2"/>
    </x:row>
    <x:row r="1136" ht="22" customHeight="1">
      <x:c r="A1136" s="2" t="n">
        <x:v>101130</x:v>
      </x:c>
      <x:c r="B1136" s="10" t="n">
        <x:v>45209</x:v>
      </x:c>
      <x:c r="C1136" s="2" t="str">
        <x:v>Chile</x:v>
      </x:c>
      <x:c r="D1136" s="2" t="str">
        <x:v>Moda Infantil</x:v>
      </x:c>
      <x:c r="E1136" s="11" t="n">
        <x:v>34</x:v>
      </x:c>
      <x:c r="F1136" s="12" t="n">
        <x:v>83.31</x:v>
      </x:c>
      <x:c r="G1136" s="12" t="n">
        <x:v>2832.54</x:v>
      </x:c>
      <x:c r="H1136" s="13" t="n">
        <x:v>456</x:v>
      </x:c>
      <x:c r="I1136" s="13" t="n">
        <x:f>YEAR(B1136)</x:f>
        <x:v>2023</x:v>
      </x:c>
      <x:c r="J1136" s="13" t="n">
        <x:f>MONTH(B1136)</x:f>
        <x:v>10</x:v>
      </x:c>
      <x:c r="K1136" s="14" t="n">
        <x:f>ROUND(E1136*F1136-G1136,10)</x:f>
        <x:v>0</x:v>
      </x:c>
      <x:c r="L1136" s="2"/>
      <x:c r="M1136" s="2"/>
      <x:c r="N1136" s="2"/>
      <x:c r="O1136" s="2"/>
      <x:c r="P1136" s="2"/>
      <x:c r="Q1136" s="2"/>
      <x:c r="R1136" s="2"/>
    </x:row>
    <x:row r="1137" ht="22" customHeight="1">
      <x:c r="A1137" s="2" t="n">
        <x:v>101131</x:v>
      </x:c>
      <x:c r="B1137" s="10" t="n">
        <x:v>45425</x:v>
      </x:c>
      <x:c r="C1137" s="2" t="str">
        <x:v>Peru</x:v>
      </x:c>
      <x:c r="D1137" s="2" t="str">
        <x:v>Acessórios</x:v>
      </x:c>
      <x:c r="E1137" s="11" t="n">
        <x:v>13</x:v>
      </x:c>
      <x:c r="F1137" s="12" t="n">
        <x:v>99.23</x:v>
      </x:c>
      <x:c r="G1137" s="12" t="n">
        <x:v>1289.99</x:v>
      </x:c>
      <x:c r="H1137" s="13" t="n">
        <x:v>460</x:v>
      </x:c>
      <x:c r="I1137" s="13" t="n">
        <x:f>YEAR(B1137)</x:f>
        <x:v>2024</x:v>
      </x:c>
      <x:c r="J1137" s="13" t="n">
        <x:f>MONTH(B1137)</x:f>
        <x:v>5</x:v>
      </x:c>
      <x:c r="K1137" s="14" t="n">
        <x:f>ROUND(E1137*F1137-G1137,10)</x:f>
        <x:v>0</x:v>
      </x:c>
      <x:c r="L1137" s="2"/>
      <x:c r="M1137" s="2"/>
      <x:c r="N1137" s="2"/>
      <x:c r="O1137" s="2"/>
      <x:c r="P1137" s="2"/>
      <x:c r="Q1137" s="2"/>
      <x:c r="R1137" s="2"/>
    </x:row>
    <x:row r="1138" ht="22" customHeight="1">
      <x:c r="A1138" s="2" t="n">
        <x:v>101132</x:v>
      </x:c>
      <x:c r="B1138" s="10" t="n">
        <x:v>45487</x:v>
      </x:c>
      <x:c r="C1138" s="2" t="str">
        <x:v>Peru</x:v>
      </x:c>
      <x:c r="D1138" s="2" t="str">
        <x:v>Acessórios</x:v>
      </x:c>
      <x:c r="E1138" s="11" t="n">
        <x:v>43</x:v>
      </x:c>
      <x:c r="F1138" s="12" t="n">
        <x:v>32.48</x:v>
      </x:c>
      <x:c r="G1138" s="12" t="n">
        <x:v>1396.64</x:v>
      </x:c>
      <x:c r="H1138" s="13" t="n">
        <x:v>103</x:v>
      </x:c>
      <x:c r="I1138" s="13" t="n">
        <x:f>YEAR(B1138)</x:f>
        <x:v>2024</x:v>
      </x:c>
      <x:c r="J1138" s="13" t="n">
        <x:f>MONTH(B1138)</x:f>
        <x:v>7</x:v>
      </x:c>
      <x:c r="K1138" s="14" t="n">
        <x:f>ROUND(E1138*F1138-G1138,10)</x:f>
        <x:v>0</x:v>
      </x:c>
      <x:c r="L1138" s="2"/>
      <x:c r="M1138" s="2"/>
      <x:c r="N1138" s="2"/>
      <x:c r="O1138" s="2"/>
      <x:c r="P1138" s="2"/>
      <x:c r="Q1138" s="2"/>
      <x:c r="R1138" s="2"/>
    </x:row>
    <x:row r="1139" ht="22" customHeight="1">
      <x:c r="A1139" s="2" t="n">
        <x:v>101133</x:v>
      </x:c>
      <x:c r="B1139" s="10" t="n">
        <x:v>45526</x:v>
      </x:c>
      <x:c r="C1139" s="2" t="str">
        <x:v>Chile</x:v>
      </x:c>
      <x:c r="D1139" s="2" t="str">
        <x:v>Moda Feminina</x:v>
      </x:c>
      <x:c r="E1139" s="11" t="n">
        <x:v>29</x:v>
      </x:c>
      <x:c r="F1139" s="12" t="n">
        <x:v>124.08</x:v>
      </x:c>
      <x:c r="G1139" s="12" t="n">
        <x:v>3598.32</x:v>
      </x:c>
      <x:c r="H1139" s="13" t="n">
        <x:v>187</x:v>
      </x:c>
      <x:c r="I1139" s="13" t="n">
        <x:f>YEAR(B1139)</x:f>
        <x:v>2024</x:v>
      </x:c>
      <x:c r="J1139" s="13" t="n">
        <x:f>MONTH(B1139)</x:f>
        <x:v>8</x:v>
      </x:c>
      <x:c r="K1139" s="14" t="n">
        <x:f>ROUND(E1139*F1139-G1139,10)</x:f>
        <x:v>0</x:v>
      </x:c>
      <x:c r="L1139" s="2"/>
      <x:c r="M1139" s="2"/>
      <x:c r="N1139" s="2"/>
      <x:c r="O1139" s="2"/>
      <x:c r="P1139" s="2"/>
      <x:c r="Q1139" s="2"/>
      <x:c r="R1139" s="2"/>
    </x:row>
    <x:row r="1140" ht="22" customHeight="1">
      <x:c r="A1140" s="2" t="n">
        <x:v>101134</x:v>
      </x:c>
      <x:c r="B1140" s="10" t="n">
        <x:v>45130</x:v>
      </x:c>
      <x:c r="C1140" s="2" t="str">
        <x:v>Chile</x:v>
      </x:c>
      <x:c r="D1140" s="2" t="str">
        <x:v>Moda Infantil</x:v>
      </x:c>
      <x:c r="E1140" s="11" t="n">
        <x:v>36</x:v>
      </x:c>
      <x:c r="F1140" s="12" t="n">
        <x:v>127.57</x:v>
      </x:c>
      <x:c r="G1140" s="12" t="n">
        <x:v>4592.52</x:v>
      </x:c>
      <x:c r="H1140" s="13" t="n">
        <x:v>382</x:v>
      </x:c>
      <x:c r="I1140" s="13" t="n">
        <x:f>YEAR(B1140)</x:f>
        <x:v>2023</x:v>
      </x:c>
      <x:c r="J1140" s="13" t="n">
        <x:f>MONTH(B1140)</x:f>
        <x:v>7</x:v>
      </x:c>
      <x:c r="K1140" s="14" t="n">
        <x:f>ROUND(E1140*F1140-G1140,10)</x:f>
        <x:v>0</x:v>
      </x:c>
      <x:c r="L1140" s="2"/>
      <x:c r="M1140" s="2"/>
      <x:c r="N1140" s="2"/>
      <x:c r="O1140" s="2"/>
      <x:c r="P1140" s="2"/>
      <x:c r="Q1140" s="2"/>
      <x:c r="R1140" s="2"/>
    </x:row>
    <x:row r="1141" ht="22" customHeight="1">
      <x:c r="A1141" s="2" t="n">
        <x:v>101135</x:v>
      </x:c>
      <x:c r="B1141" s="10" t="n">
        <x:v>45408</x:v>
      </x:c>
      <x:c r="C1141" s="2" t="str">
        <x:v>Argentina</x:v>
      </x:c>
      <x:c r="D1141" s="2" t="str">
        <x:v>Moda Masculina</x:v>
      </x:c>
      <x:c r="E1141" s="11" t="n">
        <x:v>22</x:v>
      </x:c>
      <x:c r="F1141" s="12" t="n">
        <x:v>153.01</x:v>
      </x:c>
      <x:c r="G1141" s="12" t="n">
        <x:v>3366.22</x:v>
      </x:c>
      <x:c r="H1141" s="13" t="n">
        <x:v>321</x:v>
      </x:c>
      <x:c r="I1141" s="13" t="n">
        <x:f>YEAR(B1141)</x:f>
        <x:v>2024</x:v>
      </x:c>
      <x:c r="J1141" s="13" t="n">
        <x:f>MONTH(B1141)</x:f>
        <x:v>4</x:v>
      </x:c>
      <x:c r="K1141" s="14" t="n">
        <x:f>ROUND(E1141*F1141-G1141,10)</x:f>
        <x:v>0</x:v>
      </x:c>
      <x:c r="L1141" s="2"/>
      <x:c r="M1141" s="2"/>
      <x:c r="N1141" s="2"/>
      <x:c r="O1141" s="2"/>
      <x:c r="P1141" s="2"/>
      <x:c r="Q1141" s="2"/>
      <x:c r="R1141" s="2"/>
    </x:row>
    <x:row r="1142" ht="22" customHeight="1">
      <x:c r="A1142" s="2" t="n">
        <x:v>101136</x:v>
      </x:c>
      <x:c r="B1142" s="10" t="n">
        <x:v>45488</x:v>
      </x:c>
      <x:c r="C1142" s="2" t="str">
        <x:v>Colômbia</x:v>
      </x:c>
      <x:c r="D1142" s="2" t="str">
        <x:v>Moda Infantil</x:v>
      </x:c>
      <x:c r="E1142" s="11" t="n">
        <x:v>47</x:v>
      </x:c>
      <x:c r="F1142" s="12" t="n">
        <x:v>25.25</x:v>
      </x:c>
      <x:c r="G1142" s="12" t="n">
        <x:v>1186.75</x:v>
      </x:c>
      <x:c r="H1142" s="13" t="n">
        <x:v>90</x:v>
      </x:c>
      <x:c r="I1142" s="13" t="n">
        <x:f>YEAR(B1142)</x:f>
        <x:v>2024</x:v>
      </x:c>
      <x:c r="J1142" s="13" t="n">
        <x:f>MONTH(B1142)</x:f>
        <x:v>7</x:v>
      </x:c>
      <x:c r="K1142" s="14" t="n">
        <x:f>ROUND(E1142*F1142-G1142,10)</x:f>
        <x:v>0</x:v>
      </x:c>
      <x:c r="L1142" s="2"/>
      <x:c r="M1142" s="2"/>
      <x:c r="N1142" s="2"/>
      <x:c r="O1142" s="2"/>
      <x:c r="P1142" s="2"/>
      <x:c r="Q1142" s="2"/>
      <x:c r="R1142" s="2"/>
    </x:row>
    <x:row r="1143" ht="22" customHeight="1">
      <x:c r="A1143" s="2" t="n">
        <x:v>101137</x:v>
      </x:c>
      <x:c r="B1143" s="10" t="n">
        <x:v>45634</x:v>
      </x:c>
      <x:c r="C1143" s="2" t="str">
        <x:v>México</x:v>
      </x:c>
      <x:c r="D1143" s="2" t="str">
        <x:v>Moda Feminina</x:v>
      </x:c>
      <x:c r="E1143" s="11" t="n">
        <x:v>36</x:v>
      </x:c>
      <x:c r="F1143" s="12" t="n">
        <x:v>117.42</x:v>
      </x:c>
      <x:c r="G1143" s="12" t="n">
        <x:v>4227.12</x:v>
      </x:c>
      <x:c r="H1143" s="13" t="n">
        <x:v>147</x:v>
      </x:c>
      <x:c r="I1143" s="13" t="n">
        <x:f>YEAR(B1143)</x:f>
        <x:v>2024</x:v>
      </x:c>
      <x:c r="J1143" s="13" t="n">
        <x:f>MONTH(B1143)</x:f>
        <x:v>12</x:v>
      </x:c>
      <x:c r="K1143" s="14" t="n">
        <x:f>ROUND(E1143*F1143-G1143,10)</x:f>
        <x:v>0</x:v>
      </x:c>
      <x:c r="L1143" s="2"/>
      <x:c r="M1143" s="2"/>
      <x:c r="N1143" s="2"/>
      <x:c r="O1143" s="2"/>
      <x:c r="P1143" s="2"/>
      <x:c r="Q1143" s="2"/>
      <x:c r="R1143" s="2"/>
    </x:row>
    <x:row r="1144" ht="22" customHeight="1">
      <x:c r="A1144" s="2" t="n">
        <x:v>101138</x:v>
      </x:c>
      <x:c r="B1144" s="10" t="n">
        <x:v>45424</x:v>
      </x:c>
      <x:c r="C1144" s="2" t="str">
        <x:v>Brasil</x:v>
      </x:c>
      <x:c r="D1144" s="2" t="str">
        <x:v>Acessórios</x:v>
      </x:c>
      <x:c r="E1144" s="11" t="n">
        <x:v>9</x:v>
      </x:c>
      <x:c r="F1144" s="12" t="n">
        <x:v>29.52</x:v>
      </x:c>
      <x:c r="G1144" s="12" t="n">
        <x:v>265.68</x:v>
      </x:c>
      <x:c r="H1144" s="13" t="n">
        <x:v>232</x:v>
      </x:c>
      <x:c r="I1144" s="13" t="n">
        <x:f>YEAR(B1144)</x:f>
        <x:v>2024</x:v>
      </x:c>
      <x:c r="J1144" s="13" t="n">
        <x:f>MONTH(B1144)</x:f>
        <x:v>5</x:v>
      </x:c>
      <x:c r="K1144" s="14" t="n">
        <x:f>ROUND(E1144*F1144-G1144,10)</x:f>
        <x:v>0</x:v>
      </x:c>
      <x:c r="L1144" s="2"/>
      <x:c r="M1144" s="2"/>
      <x:c r="N1144" s="2"/>
      <x:c r="O1144" s="2"/>
      <x:c r="P1144" s="2"/>
      <x:c r="Q1144" s="2"/>
      <x:c r="R1144" s="2"/>
    </x:row>
    <x:row r="1145" ht="22" customHeight="1">
      <x:c r="A1145" s="2" t="n">
        <x:v>101139</x:v>
      </x:c>
      <x:c r="B1145" s="10" t="n">
        <x:v>45061</x:v>
      </x:c>
      <x:c r="C1145" s="2" t="str">
        <x:v>Colômbia</x:v>
      </x:c>
      <x:c r="D1145" s="2" t="str">
        <x:v>Acessórios</x:v>
      </x:c>
      <x:c r="E1145" s="11" t="n">
        <x:v>39</x:v>
      </x:c>
      <x:c r="F1145" s="12" t="n">
        <x:v>146.21</x:v>
      </x:c>
      <x:c r="G1145" s="12" t="n">
        <x:v>5702.190000000001</x:v>
      </x:c>
      <x:c r="H1145" s="13" t="n">
        <x:v>177</x:v>
      </x:c>
      <x:c r="I1145" s="13" t="n">
        <x:f>YEAR(B1145)</x:f>
        <x:v>2023</x:v>
      </x:c>
      <x:c r="J1145" s="13" t="n">
        <x:f>MONTH(B1145)</x:f>
        <x:v>5</x:v>
      </x:c>
      <x:c r="K1145" s="14" t="n">
        <x:f>ROUND(E1145*F1145-G1145,10)</x:f>
        <x:v>0</x:v>
      </x:c>
      <x:c r="L1145" s="2"/>
      <x:c r="M1145" s="2"/>
      <x:c r="N1145" s="2"/>
      <x:c r="O1145" s="2"/>
      <x:c r="P1145" s="2"/>
      <x:c r="Q1145" s="2"/>
      <x:c r="R1145" s="2"/>
    </x:row>
    <x:row r="1146" ht="22" customHeight="1">
      <x:c r="A1146" s="2" t="n">
        <x:v>101140</x:v>
      </x:c>
      <x:c r="B1146" s="10" t="n">
        <x:v>45361</x:v>
      </x:c>
      <x:c r="C1146" s="2" t="str">
        <x:v>Peru</x:v>
      </x:c>
      <x:c r="D1146" s="2" t="str">
        <x:v>Moda Feminina</x:v>
      </x:c>
      <x:c r="E1146" s="11" t="n">
        <x:v>19</x:v>
      </x:c>
      <x:c r="F1146" s="12" t="n">
        <x:v>30.03</x:v>
      </x:c>
      <x:c r="G1146" s="12" t="n">
        <x:v>570.57</x:v>
      </x:c>
      <x:c r="H1146" s="13" t="n">
        <x:v>278</x:v>
      </x:c>
      <x:c r="I1146" s="13" t="n">
        <x:f>YEAR(B1146)</x:f>
        <x:v>2024</x:v>
      </x:c>
      <x:c r="J1146" s="13" t="n">
        <x:f>MONTH(B1146)</x:f>
        <x:v>3</x:v>
      </x:c>
      <x:c r="K1146" s="14" t="n">
        <x:f>ROUND(E1146*F1146-G1146,10)</x:f>
        <x:v>0</x:v>
      </x:c>
      <x:c r="L1146" s="2"/>
      <x:c r="M1146" s="2"/>
      <x:c r="N1146" s="2"/>
      <x:c r="O1146" s="2"/>
      <x:c r="P1146" s="2"/>
      <x:c r="Q1146" s="2"/>
      <x:c r="R1146" s="2"/>
    </x:row>
    <x:row r="1147" ht="22" customHeight="1">
      <x:c r="A1147" s="2" t="n">
        <x:v>101141</x:v>
      </x:c>
      <x:c r="B1147" s="10" t="n">
        <x:v>45484</x:v>
      </x:c>
      <x:c r="C1147" s="2" t="str">
        <x:v>Chile</x:v>
      </x:c>
      <x:c r="D1147" s="2" t="str">
        <x:v>Moda Masculina</x:v>
      </x:c>
      <x:c r="E1147" s="11" t="n">
        <x:v>38</x:v>
      </x:c>
      <x:c r="F1147" s="12" t="n">
        <x:v>184.11</x:v>
      </x:c>
      <x:c r="G1147" s="12" t="n">
        <x:v>6996.18</x:v>
      </x:c>
      <x:c r="H1147" s="13" t="n">
        <x:v>366</x:v>
      </x:c>
      <x:c r="I1147" s="13" t="n">
        <x:f>YEAR(B1147)</x:f>
        <x:v>2024</x:v>
      </x:c>
      <x:c r="J1147" s="13" t="n">
        <x:f>MONTH(B1147)</x:f>
        <x:v>7</x:v>
      </x:c>
      <x:c r="K1147" s="14" t="n">
        <x:f>ROUND(E1147*F1147-G1147,10)</x:f>
        <x:v>0</x:v>
      </x:c>
      <x:c r="L1147" s="2"/>
      <x:c r="M1147" s="2"/>
      <x:c r="N1147" s="2"/>
      <x:c r="O1147" s="2"/>
      <x:c r="P1147" s="2"/>
      <x:c r="Q1147" s="2"/>
      <x:c r="R1147" s="2"/>
    </x:row>
    <x:row r="1148" ht="22" customHeight="1">
      <x:c r="A1148" s="2" t="n">
        <x:v>101142</x:v>
      </x:c>
      <x:c r="B1148" s="10" t="n">
        <x:v>45624</x:v>
      </x:c>
      <x:c r="C1148" s="2" t="str">
        <x:v>Colômbia</x:v>
      </x:c>
      <x:c r="D1148" s="2" t="str">
        <x:v>Acessórios</x:v>
      </x:c>
      <x:c r="E1148" s="11" t="n">
        <x:v>6</x:v>
      </x:c>
      <x:c r="F1148" s="12" t="n">
        <x:v>146.37</x:v>
      </x:c>
      <x:c r="G1148" s="12" t="n">
        <x:v>878.22</x:v>
      </x:c>
      <x:c r="H1148" s="13" t="n">
        <x:v>135</x:v>
      </x:c>
      <x:c r="I1148" s="13" t="n">
        <x:f>YEAR(B1148)</x:f>
        <x:v>2024</x:v>
      </x:c>
      <x:c r="J1148" s="13" t="n">
        <x:f>MONTH(B1148)</x:f>
        <x:v>11</x:v>
      </x:c>
      <x:c r="K1148" s="14" t="n">
        <x:f>ROUND(E1148*F1148-G1148,10)</x:f>
        <x:v>0</x:v>
      </x:c>
      <x:c r="L1148" s="2"/>
      <x:c r="M1148" s="2"/>
      <x:c r="N1148" s="2"/>
      <x:c r="O1148" s="2"/>
      <x:c r="P1148" s="2"/>
      <x:c r="Q1148" s="2"/>
      <x:c r="R1148" s="2"/>
    </x:row>
    <x:row r="1149" ht="22" customHeight="1">
      <x:c r="A1149" s="2" t="n">
        <x:v>101143</x:v>
      </x:c>
      <x:c r="B1149" s="10" t="n">
        <x:v>45439</x:v>
      </x:c>
      <x:c r="C1149" s="2" t="str">
        <x:v>México</x:v>
      </x:c>
      <x:c r="D1149" s="2" t="str">
        <x:v>Calçados</x:v>
      </x:c>
      <x:c r="E1149" s="11" t="n">
        <x:v>47</x:v>
      </x:c>
      <x:c r="F1149" s="12" t="n">
        <x:v>111.33</x:v>
      </x:c>
      <x:c r="G1149" s="12" t="n">
        <x:v>5232.51</x:v>
      </x:c>
      <x:c r="H1149" s="13" t="n">
        <x:v>305</x:v>
      </x:c>
      <x:c r="I1149" s="13" t="n">
        <x:f>YEAR(B1149)</x:f>
        <x:v>2024</x:v>
      </x:c>
      <x:c r="J1149" s="13" t="n">
        <x:f>MONTH(B1149)</x:f>
        <x:v>5</x:v>
      </x:c>
      <x:c r="K1149" s="14" t="n">
        <x:f>ROUND(E1149*F1149-G1149,10)</x:f>
        <x:v>0</x:v>
      </x:c>
      <x:c r="L1149" s="2"/>
      <x:c r="M1149" s="2"/>
      <x:c r="N1149" s="2"/>
      <x:c r="O1149" s="2"/>
      <x:c r="P1149" s="2"/>
      <x:c r="Q1149" s="2"/>
      <x:c r="R1149" s="2"/>
    </x:row>
    <x:row r="1150" ht="22" customHeight="1">
      <x:c r="A1150" s="2" t="n">
        <x:v>101144</x:v>
      </x:c>
      <x:c r="B1150" s="10" t="n">
        <x:v>45498</x:v>
      </x:c>
      <x:c r="C1150" s="2" t="str">
        <x:v>Peru</x:v>
      </x:c>
      <x:c r="D1150" s="2" t="str">
        <x:v>Acessórios</x:v>
      </x:c>
      <x:c r="E1150" s="11" t="n">
        <x:v>15</x:v>
      </x:c>
      <x:c r="F1150" s="12" t="n">
        <x:v>99.47</x:v>
      </x:c>
      <x:c r="G1150" s="12" t="n">
        <x:v>1492.05</x:v>
      </x:c>
      <x:c r="H1150" s="13" t="n">
        <x:v>258</x:v>
      </x:c>
      <x:c r="I1150" s="13" t="n">
        <x:f>YEAR(B1150)</x:f>
        <x:v>2024</x:v>
      </x:c>
      <x:c r="J1150" s="13" t="n">
        <x:f>MONTH(B1150)</x:f>
        <x:v>7</x:v>
      </x:c>
      <x:c r="K1150" s="14" t="n">
        <x:f>ROUND(E1150*F1150-G1150,10)</x:f>
        <x:v>0</x:v>
      </x:c>
      <x:c r="L1150" s="2"/>
      <x:c r="M1150" s="2"/>
      <x:c r="N1150" s="2"/>
      <x:c r="O1150" s="2"/>
      <x:c r="P1150" s="2"/>
      <x:c r="Q1150" s="2"/>
      <x:c r="R1150" s="2"/>
    </x:row>
    <x:row r="1151" ht="22" customHeight="1">
      <x:c r="A1151" s="2" t="n">
        <x:v>101145</x:v>
      </x:c>
      <x:c r="B1151" s="10" t="n">
        <x:v>45339</x:v>
      </x:c>
      <x:c r="C1151" s="2" t="str">
        <x:v>Brasil</x:v>
      </x:c>
      <x:c r="D1151" s="2" t="str">
        <x:v>Calçados</x:v>
      </x:c>
      <x:c r="E1151" s="11" t="n">
        <x:v>20</x:v>
      </x:c>
      <x:c r="F1151" s="12" t="n">
        <x:v>43.52</x:v>
      </x:c>
      <x:c r="G1151" s="12" t="n">
        <x:v>870.4000000000001</x:v>
      </x:c>
      <x:c r="H1151" s="13" t="n">
        <x:v>264</x:v>
      </x:c>
      <x:c r="I1151" s="13" t="n">
        <x:f>YEAR(B1151)</x:f>
        <x:v>2024</x:v>
      </x:c>
      <x:c r="J1151" s="13" t="n">
        <x:f>MONTH(B1151)</x:f>
        <x:v>2</x:v>
      </x:c>
      <x:c r="K1151" s="14" t="n">
        <x:f>ROUND(E1151*F1151-G1151,10)</x:f>
        <x:v>0</x:v>
      </x:c>
      <x:c r="L1151" s="2"/>
      <x:c r="M1151" s="2"/>
      <x:c r="N1151" s="2"/>
      <x:c r="O1151" s="2"/>
      <x:c r="P1151" s="2"/>
      <x:c r="Q1151" s="2"/>
      <x:c r="R1151" s="2"/>
    </x:row>
    <x:row r="1152" ht="22" customHeight="1">
      <x:c r="A1152" s="2" t="n">
        <x:v>101146</x:v>
      </x:c>
      <x:c r="B1152" s="10" t="n">
        <x:v>45243</x:v>
      </x:c>
      <x:c r="C1152" s="2" t="str">
        <x:v>Brasil</x:v>
      </x:c>
      <x:c r="D1152" s="2" t="str">
        <x:v>Moda Feminina</x:v>
      </x:c>
      <x:c r="E1152" s="11" t="n">
        <x:v>9</x:v>
      </x:c>
      <x:c r="F1152" s="12" t="n">
        <x:v>72.38</x:v>
      </x:c>
      <x:c r="G1152" s="12" t="n">
        <x:v>651.42</x:v>
      </x:c>
      <x:c r="H1152" s="13" t="n">
        <x:v>423</x:v>
      </x:c>
      <x:c r="I1152" s="13" t="n">
        <x:f>YEAR(B1152)</x:f>
        <x:v>2023</x:v>
      </x:c>
      <x:c r="J1152" s="13" t="n">
        <x:f>MONTH(B1152)</x:f>
        <x:v>11</x:v>
      </x:c>
      <x:c r="K1152" s="14" t="n">
        <x:f>ROUND(E1152*F1152-G1152,10)</x:f>
        <x:v>0</x:v>
      </x:c>
      <x:c r="L1152" s="2"/>
      <x:c r="M1152" s="2"/>
      <x:c r="N1152" s="2"/>
      <x:c r="O1152" s="2"/>
      <x:c r="P1152" s="2"/>
      <x:c r="Q1152" s="2"/>
      <x:c r="R1152" s="2"/>
    </x:row>
    <x:row r="1153" ht="22" customHeight="1">
      <x:c r="A1153" s="2" t="n">
        <x:v>101147</x:v>
      </x:c>
      <x:c r="B1153" s="10" t="n">
        <x:v>45609</x:v>
      </x:c>
      <x:c r="C1153" s="2" t="str">
        <x:v>México</x:v>
      </x:c>
      <x:c r="D1153" s="2" t="str">
        <x:v>Moda Feminina</x:v>
      </x:c>
      <x:c r="E1153" s="11" t="n">
        <x:v>32</x:v>
      </x:c>
      <x:c r="F1153" s="12" t="n">
        <x:v>176.41</x:v>
      </x:c>
      <x:c r="G1153" s="12" t="n">
        <x:v>5645.12</x:v>
      </x:c>
      <x:c r="H1153" s="13" t="n">
        <x:v>149</x:v>
      </x:c>
      <x:c r="I1153" s="13" t="n">
        <x:f>YEAR(B1153)</x:f>
        <x:v>2024</x:v>
      </x:c>
      <x:c r="J1153" s="13" t="n">
        <x:f>MONTH(B1153)</x:f>
        <x:v>11</x:v>
      </x:c>
      <x:c r="K1153" s="14" t="n">
        <x:f>ROUND(E1153*F1153-G1153,10)</x:f>
        <x:v>0</x:v>
      </x:c>
      <x:c r="L1153" s="2"/>
      <x:c r="M1153" s="2"/>
      <x:c r="N1153" s="2"/>
      <x:c r="O1153" s="2"/>
      <x:c r="P1153" s="2"/>
      <x:c r="Q1153" s="2"/>
      <x:c r="R1153" s="2"/>
    </x:row>
    <x:row r="1154" ht="22" customHeight="1">
      <x:c r="A1154" s="2" t="n">
        <x:v>101148</x:v>
      </x:c>
      <x:c r="B1154" s="10" t="n">
        <x:v>45402</x:v>
      </x:c>
      <x:c r="C1154" s="2" t="str">
        <x:v>México</x:v>
      </x:c>
      <x:c r="D1154" s="2" t="str">
        <x:v>Acessórios</x:v>
      </x:c>
      <x:c r="E1154" s="11" t="n">
        <x:v>4</x:v>
      </x:c>
      <x:c r="F1154" s="12" t="n">
        <x:v>182.8</x:v>
      </x:c>
      <x:c r="G1154" s="12" t="n">
        <x:v>731.2</x:v>
      </x:c>
      <x:c r="H1154" s="13" t="n">
        <x:v>98</x:v>
      </x:c>
      <x:c r="I1154" s="13" t="n">
        <x:f>YEAR(B1154)</x:f>
        <x:v>2024</x:v>
      </x:c>
      <x:c r="J1154" s="13" t="n">
        <x:f>MONTH(B1154)</x:f>
        <x:v>4</x:v>
      </x:c>
      <x:c r="K1154" s="14" t="n">
        <x:f>ROUND(E1154*F1154-G1154,10)</x:f>
        <x:v>0</x:v>
      </x:c>
      <x:c r="L1154" s="2"/>
      <x:c r="M1154" s="2"/>
      <x:c r="N1154" s="2"/>
      <x:c r="O1154" s="2"/>
      <x:c r="P1154" s="2"/>
      <x:c r="Q1154" s="2"/>
      <x:c r="R1154" s="2"/>
    </x:row>
    <x:row r="1155" ht="22" customHeight="1">
      <x:c r="A1155" s="2" t="n">
        <x:v>101149</x:v>
      </x:c>
      <x:c r="B1155" s="10" t="n">
        <x:v>45460</x:v>
      </x:c>
      <x:c r="C1155" s="2" t="str">
        <x:v>Chile</x:v>
      </x:c>
      <x:c r="D1155" s="2" t="str">
        <x:v>Moda Infantil</x:v>
      </x:c>
      <x:c r="E1155" s="11" t="n">
        <x:v>18</x:v>
      </x:c>
      <x:c r="F1155" s="12" t="n">
        <x:v>20.13</x:v>
      </x:c>
      <x:c r="G1155" s="12" t="n">
        <x:v>362.34</x:v>
      </x:c>
      <x:c r="H1155" s="13" t="n">
        <x:v>250</x:v>
      </x:c>
      <x:c r="I1155" s="13" t="n">
        <x:f>YEAR(B1155)</x:f>
        <x:v>2024</x:v>
      </x:c>
      <x:c r="J1155" s="13" t="n">
        <x:f>MONTH(B1155)</x:f>
        <x:v>6</x:v>
      </x:c>
      <x:c r="K1155" s="14" t="n">
        <x:f>ROUND(E1155*F1155-G1155,10)</x:f>
        <x:v>0</x:v>
      </x:c>
      <x:c r="L1155" s="2"/>
      <x:c r="M1155" s="2"/>
      <x:c r="N1155" s="2"/>
      <x:c r="O1155" s="2"/>
      <x:c r="P1155" s="2"/>
      <x:c r="Q1155" s="2"/>
      <x:c r="R1155" s="2"/>
    </x:row>
    <x:row r="1156" ht="22" customHeight="1">
      <x:c r="A1156" s="2" t="n">
        <x:v>101150</x:v>
      </x:c>
      <x:c r="B1156" s="10" t="n">
        <x:v>45407</x:v>
      </x:c>
      <x:c r="C1156" s="2" t="str">
        <x:v>Brasil</x:v>
      </x:c>
      <x:c r="D1156" s="2" t="str">
        <x:v>Calçados</x:v>
      </x:c>
      <x:c r="E1156" s="11" t="n">
        <x:v>5</x:v>
      </x:c>
      <x:c r="F1156" s="12" t="n">
        <x:v>126.94</x:v>
      </x:c>
      <x:c r="G1156" s="12" t="n">
        <x:v>634.7</x:v>
      </x:c>
      <x:c r="H1156" s="13" t="n">
        <x:v>485</x:v>
      </x:c>
      <x:c r="I1156" s="13" t="n">
        <x:f>YEAR(B1156)</x:f>
        <x:v>2024</x:v>
      </x:c>
      <x:c r="J1156" s="13" t="n">
        <x:f>MONTH(B1156)</x:f>
        <x:v>4</x:v>
      </x:c>
      <x:c r="K1156" s="14" t="n">
        <x:f>ROUND(E1156*F1156-G1156,10)</x:f>
        <x:v>0</x:v>
      </x:c>
      <x:c r="L1156" s="2"/>
      <x:c r="M1156" s="2"/>
      <x:c r="N1156" s="2"/>
      <x:c r="O1156" s="2"/>
      <x:c r="P1156" s="2"/>
      <x:c r="Q1156" s="2"/>
      <x:c r="R1156" s="2"/>
    </x:row>
    <x:row r="1157" ht="22" customHeight="1">
      <x:c r="A1157" s="2" t="n">
        <x:v>101151</x:v>
      </x:c>
      <x:c r="B1157" s="10" t="n">
        <x:v>45286</x:v>
      </x:c>
      <x:c r="C1157" s="2" t="str">
        <x:v>Peru</x:v>
      </x:c>
      <x:c r="D1157" s="2" t="str">
        <x:v>Moda Masculina</x:v>
      </x:c>
      <x:c r="E1157" s="11" t="n">
        <x:v>20</x:v>
      </x:c>
      <x:c r="F1157" s="12" t="n">
        <x:v>149.47</x:v>
      </x:c>
      <x:c r="G1157" s="12" t="n">
        <x:v>2989.4</x:v>
      </x:c>
      <x:c r="H1157" s="13" t="n">
        <x:v>307</x:v>
      </x:c>
      <x:c r="I1157" s="13" t="n">
        <x:f>YEAR(B1157)</x:f>
        <x:v>2023</x:v>
      </x:c>
      <x:c r="J1157" s="13" t="n">
        <x:f>MONTH(B1157)</x:f>
        <x:v>12</x:v>
      </x:c>
      <x:c r="K1157" s="14" t="n">
        <x:f>ROUND(E1157*F1157-G1157,10)</x:f>
        <x:v>0</x:v>
      </x:c>
      <x:c r="L1157" s="2"/>
      <x:c r="M1157" s="2"/>
      <x:c r="N1157" s="2"/>
      <x:c r="O1157" s="2"/>
      <x:c r="P1157" s="2"/>
      <x:c r="Q1157" s="2"/>
      <x:c r="R1157" s="2"/>
    </x:row>
    <x:row r="1158" ht="22" customHeight="1">
      <x:c r="A1158" s="2" t="n">
        <x:v>101152</x:v>
      </x:c>
      <x:c r="B1158" s="10" t="n">
        <x:v>45276</x:v>
      </x:c>
      <x:c r="C1158" s="2" t="str">
        <x:v>Colômbia</x:v>
      </x:c>
      <x:c r="D1158" s="2" t="str">
        <x:v>Acessórios</x:v>
      </x:c>
      <x:c r="E1158" s="11" t="n">
        <x:v>23</x:v>
      </x:c>
      <x:c r="F1158" s="12" t="n">
        <x:v>131.37</x:v>
      </x:c>
      <x:c r="G1158" s="12" t="n">
        <x:v>3021.51</x:v>
      </x:c>
      <x:c r="H1158" s="13" t="n">
        <x:v>425</x:v>
      </x:c>
      <x:c r="I1158" s="13" t="n">
        <x:f>YEAR(B1158)</x:f>
        <x:v>2023</x:v>
      </x:c>
      <x:c r="J1158" s="13" t="n">
        <x:f>MONTH(B1158)</x:f>
        <x:v>12</x:v>
      </x:c>
      <x:c r="K1158" s="14" t="n">
        <x:f>ROUND(E1158*F1158-G1158,10)</x:f>
        <x:v>0</x:v>
      </x:c>
      <x:c r="L1158" s="2"/>
      <x:c r="M1158" s="2"/>
      <x:c r="N1158" s="2"/>
      <x:c r="O1158" s="2"/>
      <x:c r="P1158" s="2"/>
      <x:c r="Q1158" s="2"/>
      <x:c r="R1158" s="2"/>
    </x:row>
    <x:row r="1159" ht="22" customHeight="1">
      <x:c r="A1159" s="2" t="n">
        <x:v>101153</x:v>
      </x:c>
      <x:c r="B1159" s="10" t="n">
        <x:v>45235</x:v>
      </x:c>
      <x:c r="C1159" s="2" t="str">
        <x:v>Peru</x:v>
      </x:c>
      <x:c r="D1159" s="2" t="str">
        <x:v>Moda Masculina</x:v>
      </x:c>
      <x:c r="E1159" s="11" t="n">
        <x:v>11</x:v>
      </x:c>
      <x:c r="F1159" s="12" t="n">
        <x:v>34.7</x:v>
      </x:c>
      <x:c r="G1159" s="12" t="n">
        <x:v>381.7</x:v>
      </x:c>
      <x:c r="H1159" s="13" t="n">
        <x:v>227</x:v>
      </x:c>
      <x:c r="I1159" s="13" t="n">
        <x:f>YEAR(B1159)</x:f>
        <x:v>2023</x:v>
      </x:c>
      <x:c r="J1159" s="13" t="n">
        <x:f>MONTH(B1159)</x:f>
        <x:v>11</x:v>
      </x:c>
      <x:c r="K1159" s="14" t="n">
        <x:f>ROUND(E1159*F1159-G1159,10)</x:f>
        <x:v>0</x:v>
      </x:c>
      <x:c r="L1159" s="2"/>
      <x:c r="M1159" s="2"/>
      <x:c r="N1159" s="2"/>
      <x:c r="O1159" s="2"/>
      <x:c r="P1159" s="2"/>
      <x:c r="Q1159" s="2"/>
      <x:c r="R1159" s="2"/>
    </x:row>
    <x:row r="1160" ht="22" customHeight="1">
      <x:c r="A1160" s="2" t="n">
        <x:v>101154</x:v>
      </x:c>
      <x:c r="B1160" s="10" t="n">
        <x:v>45392</x:v>
      </x:c>
      <x:c r="C1160" s="2" t="str">
        <x:v>Argentina</x:v>
      </x:c>
      <x:c r="D1160" s="2" t="str">
        <x:v>Acessórios</x:v>
      </x:c>
      <x:c r="E1160" s="11" t="n">
        <x:v>37</x:v>
      </x:c>
      <x:c r="F1160" s="12" t="n">
        <x:v>59.19</x:v>
      </x:c>
      <x:c r="G1160" s="12" t="n">
        <x:v>2190.03</x:v>
      </x:c>
      <x:c r="H1160" s="13" t="n">
        <x:v>294</x:v>
      </x:c>
      <x:c r="I1160" s="13" t="n">
        <x:f>YEAR(B1160)</x:f>
        <x:v>2024</x:v>
      </x:c>
      <x:c r="J1160" s="13" t="n">
        <x:f>MONTH(B1160)</x:f>
        <x:v>4</x:v>
      </x:c>
      <x:c r="K1160" s="14" t="n">
        <x:f>ROUND(E1160*F1160-G1160,10)</x:f>
        <x:v>0</x:v>
      </x:c>
      <x:c r="L1160" s="2"/>
      <x:c r="M1160" s="2"/>
      <x:c r="N1160" s="2"/>
      <x:c r="O1160" s="2"/>
      <x:c r="P1160" s="2"/>
      <x:c r="Q1160" s="2"/>
      <x:c r="R1160" s="2"/>
    </x:row>
    <x:row r="1161" ht="22" customHeight="1">
      <x:c r="A1161" s="2" t="n">
        <x:v>101155</x:v>
      </x:c>
      <x:c r="B1161" s="10" t="n">
        <x:v>45080</x:v>
      </x:c>
      <x:c r="C1161" s="2" t="str">
        <x:v>Argentina</x:v>
      </x:c>
      <x:c r="D1161" s="2" t="str">
        <x:v>Moda Infantil</x:v>
      </x:c>
      <x:c r="E1161" s="11" t="n">
        <x:v>22</x:v>
      </x:c>
      <x:c r="F1161" s="12" t="n">
        <x:v>65.06</x:v>
      </x:c>
      <x:c r="G1161" s="12" t="n">
        <x:v>1431.32</x:v>
      </x:c>
      <x:c r="H1161" s="13" t="n">
        <x:v>172</x:v>
      </x:c>
      <x:c r="I1161" s="13" t="n">
        <x:f>YEAR(B1161)</x:f>
        <x:v>2023</x:v>
      </x:c>
      <x:c r="J1161" s="13" t="n">
        <x:f>MONTH(B1161)</x:f>
        <x:v>6</x:v>
      </x:c>
      <x:c r="K1161" s="14" t="n">
        <x:f>ROUND(E1161*F1161-G1161,10)</x:f>
        <x:v>0</x:v>
      </x:c>
      <x:c r="L1161" s="2"/>
      <x:c r="M1161" s="2"/>
      <x:c r="N1161" s="2"/>
      <x:c r="O1161" s="2"/>
      <x:c r="P1161" s="2"/>
      <x:c r="Q1161" s="2"/>
      <x:c r="R1161" s="2"/>
    </x:row>
    <x:row r="1162" ht="22" customHeight="1">
      <x:c r="A1162" s="2" t="n">
        <x:v>101156</x:v>
      </x:c>
      <x:c r="B1162" s="10" t="n">
        <x:v>45353</x:v>
      </x:c>
      <x:c r="C1162" s="2" t="str">
        <x:v>México</x:v>
      </x:c>
      <x:c r="D1162" s="2" t="str">
        <x:v>Moda Infantil</x:v>
      </x:c>
      <x:c r="E1162" s="11" t="n">
        <x:v>4</x:v>
      </x:c>
      <x:c r="F1162" s="12" t="n">
        <x:v>169.71</x:v>
      </x:c>
      <x:c r="G1162" s="12" t="n">
        <x:v>678.84</x:v>
      </x:c>
      <x:c r="H1162" s="13" t="n">
        <x:v>391</x:v>
      </x:c>
      <x:c r="I1162" s="13" t="n">
        <x:f>YEAR(B1162)</x:f>
        <x:v>2024</x:v>
      </x:c>
      <x:c r="J1162" s="13" t="n">
        <x:f>MONTH(B1162)</x:f>
        <x:v>3</x:v>
      </x:c>
      <x:c r="K1162" s="14" t="n">
        <x:f>ROUND(E1162*F1162-G1162,10)</x:f>
        <x:v>0</x:v>
      </x:c>
      <x:c r="L1162" s="2"/>
      <x:c r="M1162" s="2"/>
      <x:c r="N1162" s="2"/>
      <x:c r="O1162" s="2"/>
      <x:c r="P1162" s="2"/>
      <x:c r="Q1162" s="2"/>
      <x:c r="R1162" s="2"/>
    </x:row>
    <x:row r="1163" ht="22" customHeight="1">
      <x:c r="A1163" s="2" t="n">
        <x:v>101157</x:v>
      </x:c>
      <x:c r="B1163" s="10" t="n">
        <x:v>45402</x:v>
      </x:c>
      <x:c r="C1163" s="2" t="str">
        <x:v>Chile</x:v>
      </x:c>
      <x:c r="D1163" s="2" t="str">
        <x:v>Moda Infantil</x:v>
      </x:c>
      <x:c r="E1163" s="11" t="n">
        <x:v>29</x:v>
      </x:c>
      <x:c r="F1163" s="12" t="n">
        <x:v>103.38</x:v>
      </x:c>
      <x:c r="G1163" s="12" t="n">
        <x:v>2998.02</x:v>
      </x:c>
      <x:c r="H1163" s="13" t="n">
        <x:v>220</x:v>
      </x:c>
      <x:c r="I1163" s="13" t="n">
        <x:f>YEAR(B1163)</x:f>
        <x:v>2024</x:v>
      </x:c>
      <x:c r="J1163" s="13" t="n">
        <x:f>MONTH(B1163)</x:f>
        <x:v>4</x:v>
      </x:c>
      <x:c r="K1163" s="14" t="n">
        <x:f>ROUND(E1163*F1163-G1163,10)</x:f>
        <x:v>0</x:v>
      </x:c>
      <x:c r="L1163" s="2"/>
      <x:c r="M1163" s="2"/>
      <x:c r="N1163" s="2"/>
      <x:c r="O1163" s="2"/>
      <x:c r="P1163" s="2"/>
      <x:c r="Q1163" s="2"/>
      <x:c r="R1163" s="2"/>
    </x:row>
    <x:row r="1164" ht="22" customHeight="1">
      <x:c r="A1164" s="2" t="n">
        <x:v>101158</x:v>
      </x:c>
      <x:c r="B1164" s="10" t="n">
        <x:v>45631</x:v>
      </x:c>
      <x:c r="C1164" s="2" t="str">
        <x:v>Argentina</x:v>
      </x:c>
      <x:c r="D1164" s="2" t="str">
        <x:v>Moda Infantil</x:v>
      </x:c>
      <x:c r="E1164" s="11" t="n">
        <x:v>44</x:v>
      </x:c>
      <x:c r="F1164" s="12" t="n">
        <x:v>107.63</x:v>
      </x:c>
      <x:c r="G1164" s="12" t="n">
        <x:v>4735.719999999999</x:v>
      </x:c>
      <x:c r="H1164" s="13" t="n">
        <x:v>382</x:v>
      </x:c>
      <x:c r="I1164" s="13" t="n">
        <x:f>YEAR(B1164)</x:f>
        <x:v>2024</x:v>
      </x:c>
      <x:c r="J1164" s="13" t="n">
        <x:f>MONTH(B1164)</x:f>
        <x:v>12</x:v>
      </x:c>
      <x:c r="K1164" s="14" t="n">
        <x:f>ROUND(E1164*F1164-G1164,10)</x:f>
        <x:v>0</x:v>
      </x:c>
      <x:c r="L1164" s="2"/>
      <x:c r="M1164" s="2"/>
      <x:c r="N1164" s="2"/>
      <x:c r="O1164" s="2"/>
      <x:c r="P1164" s="2"/>
      <x:c r="Q1164" s="2"/>
      <x:c r="R1164" s="2"/>
    </x:row>
    <x:row r="1165" ht="22" customHeight="1">
      <x:c r="A1165" s="2" t="n">
        <x:v>101159</x:v>
      </x:c>
      <x:c r="B1165" s="10" t="n">
        <x:v>45425</x:v>
      </x:c>
      <x:c r="C1165" s="2" t="str">
        <x:v>Brasil</x:v>
      </x:c>
      <x:c r="D1165" s="2" t="str">
        <x:v>Moda Feminina</x:v>
      </x:c>
      <x:c r="E1165" s="11" t="n">
        <x:v>34</x:v>
      </x:c>
      <x:c r="F1165" s="12" t="n">
        <x:v>188.28</x:v>
      </x:c>
      <x:c r="G1165" s="12" t="n">
        <x:v>6401.52</x:v>
      </x:c>
      <x:c r="H1165" s="13" t="n">
        <x:v>185</x:v>
      </x:c>
      <x:c r="I1165" s="13" t="n">
        <x:f>YEAR(B1165)</x:f>
        <x:v>2024</x:v>
      </x:c>
      <x:c r="J1165" s="13" t="n">
        <x:f>MONTH(B1165)</x:f>
        <x:v>5</x:v>
      </x:c>
      <x:c r="K1165" s="14" t="n">
        <x:f>ROUND(E1165*F1165-G1165,10)</x:f>
        <x:v>0</x:v>
      </x:c>
      <x:c r="L1165" s="2"/>
      <x:c r="M1165" s="2"/>
      <x:c r="N1165" s="2"/>
      <x:c r="O1165" s="2"/>
      <x:c r="P1165" s="2"/>
      <x:c r="Q1165" s="2"/>
      <x:c r="R1165" s="2"/>
    </x:row>
    <x:row r="1166" ht="22" customHeight="1">
      <x:c r="A1166" s="2" t="n">
        <x:v>101160</x:v>
      </x:c>
      <x:c r="B1166" s="10" t="n">
        <x:v>45246</x:v>
      </x:c>
      <x:c r="C1166" s="2" t="str">
        <x:v>Peru</x:v>
      </x:c>
      <x:c r="D1166" s="2" t="str">
        <x:v>Moda Feminina</x:v>
      </x:c>
      <x:c r="E1166" s="11" t="n">
        <x:v>13</x:v>
      </x:c>
      <x:c r="F1166" s="12" t="n">
        <x:v>134.68</x:v>
      </x:c>
      <x:c r="G1166" s="12" t="n">
        <x:v>1750.84</x:v>
      </x:c>
      <x:c r="H1166" s="13" t="n">
        <x:v>108</x:v>
      </x:c>
      <x:c r="I1166" s="13" t="n">
        <x:f>YEAR(B1166)</x:f>
        <x:v>2023</x:v>
      </x:c>
      <x:c r="J1166" s="13" t="n">
        <x:f>MONTH(B1166)</x:f>
        <x:v>11</x:v>
      </x:c>
      <x:c r="K1166" s="14" t="n">
        <x:f>ROUND(E1166*F1166-G1166,10)</x:f>
        <x:v>0</x:v>
      </x:c>
      <x:c r="L1166" s="2"/>
      <x:c r="M1166" s="2"/>
      <x:c r="N1166" s="2"/>
      <x:c r="O1166" s="2"/>
      <x:c r="P1166" s="2"/>
      <x:c r="Q1166" s="2"/>
      <x:c r="R1166" s="2"/>
    </x:row>
    <x:row r="1167" ht="22" customHeight="1">
      <x:c r="A1167" s="2" t="n">
        <x:v>101161</x:v>
      </x:c>
      <x:c r="B1167" s="10" t="n">
        <x:v>45159</x:v>
      </x:c>
      <x:c r="C1167" s="2" t="str">
        <x:v>Peru</x:v>
      </x:c>
      <x:c r="D1167" s="2" t="str">
        <x:v>Calçados</x:v>
      </x:c>
      <x:c r="E1167" s="11" t="n">
        <x:v>42</x:v>
      </x:c>
      <x:c r="F1167" s="12" t="n">
        <x:v>181.76</x:v>
      </x:c>
      <x:c r="G1167" s="12" t="n">
        <x:v>7633.92</x:v>
      </x:c>
      <x:c r="H1167" s="13" t="n">
        <x:v>242</x:v>
      </x:c>
      <x:c r="I1167" s="13" t="n">
        <x:f>YEAR(B1167)</x:f>
        <x:v>2023</x:v>
      </x:c>
      <x:c r="J1167" s="13" t="n">
        <x:f>MONTH(B1167)</x:f>
        <x:v>8</x:v>
      </x:c>
      <x:c r="K1167" s="14" t="n">
        <x:f>ROUND(E1167*F1167-G1167,10)</x:f>
        <x:v>0</x:v>
      </x:c>
      <x:c r="L1167" s="2"/>
      <x:c r="M1167" s="2"/>
      <x:c r="N1167" s="2"/>
      <x:c r="O1167" s="2"/>
      <x:c r="P1167" s="2"/>
      <x:c r="Q1167" s="2"/>
      <x:c r="R1167" s="2"/>
    </x:row>
    <x:row r="1168" ht="22" customHeight="1">
      <x:c r="A1168" s="2" t="n">
        <x:v>101162</x:v>
      </x:c>
      <x:c r="B1168" s="10" t="n">
        <x:v>44986</x:v>
      </x:c>
      <x:c r="C1168" s="2" t="str">
        <x:v>México</x:v>
      </x:c>
      <x:c r="D1168" s="2" t="str">
        <x:v>Moda Masculina</x:v>
      </x:c>
      <x:c r="E1168" s="11" t="n">
        <x:v>9</x:v>
      </x:c>
      <x:c r="F1168" s="12" t="n">
        <x:v>102.17</x:v>
      </x:c>
      <x:c r="G1168" s="12" t="n">
        <x:v>919.53</x:v>
      </x:c>
      <x:c r="H1168" s="13" t="n">
        <x:v>317</x:v>
      </x:c>
      <x:c r="I1168" s="13" t="n">
        <x:f>YEAR(B1168)</x:f>
        <x:v>2023</x:v>
      </x:c>
      <x:c r="J1168" s="13" t="n">
        <x:f>MONTH(B1168)</x:f>
        <x:v>3</x:v>
      </x:c>
      <x:c r="K1168" s="14" t="n">
        <x:f>ROUND(E1168*F1168-G1168,10)</x:f>
        <x:v>0</x:v>
      </x:c>
      <x:c r="L1168" s="2"/>
      <x:c r="M1168" s="2"/>
      <x:c r="N1168" s="2"/>
      <x:c r="O1168" s="2"/>
      <x:c r="P1168" s="2"/>
      <x:c r="Q1168" s="2"/>
      <x:c r="R1168" s="2"/>
    </x:row>
    <x:row r="1169" ht="22" customHeight="1">
      <x:c r="A1169" s="2" t="n">
        <x:v>101163</x:v>
      </x:c>
      <x:c r="B1169" s="10" t="n">
        <x:v>45277</x:v>
      </x:c>
      <x:c r="C1169" s="2" t="str">
        <x:v>Colômbia</x:v>
      </x:c>
      <x:c r="D1169" s="2" t="str">
        <x:v>Acessórios</x:v>
      </x:c>
      <x:c r="E1169" s="11" t="n">
        <x:v>42</x:v>
      </x:c>
      <x:c r="F1169" s="12" t="n">
        <x:v>46.9</x:v>
      </x:c>
      <x:c r="G1169" s="12" t="n">
        <x:v>1969.8</x:v>
      </x:c>
      <x:c r="H1169" s="13" t="n">
        <x:v>309</x:v>
      </x:c>
      <x:c r="I1169" s="13" t="n">
        <x:f>YEAR(B1169)</x:f>
        <x:v>2023</x:v>
      </x:c>
      <x:c r="J1169" s="13" t="n">
        <x:f>MONTH(B1169)</x:f>
        <x:v>12</x:v>
      </x:c>
      <x:c r="K1169" s="14" t="n">
        <x:f>ROUND(E1169*F1169-G1169,10)</x:f>
        <x:v>0</x:v>
      </x:c>
      <x:c r="L1169" s="2"/>
      <x:c r="M1169" s="2"/>
      <x:c r="N1169" s="2"/>
      <x:c r="O1169" s="2"/>
      <x:c r="P1169" s="2"/>
      <x:c r="Q1169" s="2"/>
      <x:c r="R1169" s="2"/>
    </x:row>
    <x:row r="1170" ht="22" customHeight="1">
      <x:c r="A1170" s="2" t="n">
        <x:v>101164</x:v>
      </x:c>
      <x:c r="B1170" s="10" t="n">
        <x:v>45066</x:v>
      </x:c>
      <x:c r="C1170" s="2" t="str">
        <x:v>México</x:v>
      </x:c>
      <x:c r="D1170" s="2" t="str">
        <x:v>Acessórios</x:v>
      </x:c>
      <x:c r="E1170" s="11" t="n">
        <x:v>31</x:v>
      </x:c>
      <x:c r="F1170" s="12" t="n">
        <x:v>187.39</x:v>
      </x:c>
      <x:c r="G1170" s="12" t="n">
        <x:v>5809.089999999999</x:v>
      </x:c>
      <x:c r="H1170" s="13" t="n">
        <x:v>422</x:v>
      </x:c>
      <x:c r="I1170" s="13" t="n">
        <x:f>YEAR(B1170)</x:f>
        <x:v>2023</x:v>
      </x:c>
      <x:c r="J1170" s="13" t="n">
        <x:f>MONTH(B1170)</x:f>
        <x:v>5</x:v>
      </x:c>
      <x:c r="K1170" s="14" t="n">
        <x:f>ROUND(E1170*F1170-G1170,10)</x:f>
        <x:v>0</x:v>
      </x:c>
      <x:c r="L1170" s="2"/>
      <x:c r="M1170" s="2"/>
      <x:c r="N1170" s="2"/>
      <x:c r="O1170" s="2"/>
      <x:c r="P1170" s="2"/>
      <x:c r="Q1170" s="2"/>
      <x:c r="R1170" s="2"/>
    </x:row>
    <x:row r="1171" ht="22" customHeight="1">
      <x:c r="A1171" s="2" t="n">
        <x:v>101165</x:v>
      </x:c>
      <x:c r="B1171" s="10" t="n">
        <x:v>45280</x:v>
      </x:c>
      <x:c r="C1171" s="2" t="str">
        <x:v>Colômbia</x:v>
      </x:c>
      <x:c r="D1171" s="2" t="str">
        <x:v>Moda Feminina</x:v>
      </x:c>
      <x:c r="E1171" s="11" t="n">
        <x:v>7</x:v>
      </x:c>
      <x:c r="F1171" s="12" t="n">
        <x:v>102.57</x:v>
      </x:c>
      <x:c r="G1171" s="12" t="n">
        <x:v>717.99</x:v>
      </x:c>
      <x:c r="H1171" s="13" t="n">
        <x:v>144</x:v>
      </x:c>
      <x:c r="I1171" s="13" t="n">
        <x:f>YEAR(B1171)</x:f>
        <x:v>2023</x:v>
      </x:c>
      <x:c r="J1171" s="13" t="n">
        <x:f>MONTH(B1171)</x:f>
        <x:v>12</x:v>
      </x:c>
      <x:c r="K1171" s="14" t="n">
        <x:f>ROUND(E1171*F1171-G1171,10)</x:f>
        <x:v>0</x:v>
      </x:c>
      <x:c r="L1171" s="2"/>
      <x:c r="M1171" s="2"/>
      <x:c r="N1171" s="2"/>
      <x:c r="O1171" s="2"/>
      <x:c r="P1171" s="2"/>
      <x:c r="Q1171" s="2"/>
      <x:c r="R1171" s="2"/>
    </x:row>
    <x:row r="1172" ht="22" customHeight="1">
      <x:c r="A1172" s="2" t="n">
        <x:v>101166</x:v>
      </x:c>
      <x:c r="B1172" s="10" t="n">
        <x:v>45262</x:v>
      </x:c>
      <x:c r="C1172" s="2" t="str">
        <x:v>México</x:v>
      </x:c>
      <x:c r="D1172" s="2" t="str">
        <x:v>Acessórios</x:v>
      </x:c>
      <x:c r="E1172" s="11" t="n">
        <x:v>4</x:v>
      </x:c>
      <x:c r="F1172" s="12" t="n">
        <x:v>52.69</x:v>
      </x:c>
      <x:c r="G1172" s="12" t="n">
        <x:v>210.76</x:v>
      </x:c>
      <x:c r="H1172" s="13" t="n">
        <x:v>174</x:v>
      </x:c>
      <x:c r="I1172" s="13" t="n">
        <x:f>YEAR(B1172)</x:f>
        <x:v>2023</x:v>
      </x:c>
      <x:c r="J1172" s="13" t="n">
        <x:f>MONTH(B1172)</x:f>
        <x:v>12</x:v>
      </x:c>
      <x:c r="K1172" s="14" t="n">
        <x:f>ROUND(E1172*F1172-G1172,10)</x:f>
        <x:v>0</x:v>
      </x:c>
      <x:c r="L1172" s="2"/>
      <x:c r="M1172" s="2"/>
      <x:c r="N1172" s="2"/>
      <x:c r="O1172" s="2"/>
      <x:c r="P1172" s="2"/>
      <x:c r="Q1172" s="2"/>
      <x:c r="R1172" s="2"/>
    </x:row>
    <x:row r="1173" ht="22" customHeight="1">
      <x:c r="A1173" s="2" t="n">
        <x:v>101167</x:v>
      </x:c>
      <x:c r="B1173" s="10" t="n">
        <x:v>45450</x:v>
      </x:c>
      <x:c r="C1173" s="2" t="str">
        <x:v>México</x:v>
      </x:c>
      <x:c r="D1173" s="2" t="str">
        <x:v>Moda Feminina</x:v>
      </x:c>
      <x:c r="E1173" s="11" t="n">
        <x:v>19</x:v>
      </x:c>
      <x:c r="F1173" s="12" t="n">
        <x:v>74.43</x:v>
      </x:c>
      <x:c r="G1173" s="12" t="n">
        <x:v>1414.17</x:v>
      </x:c>
      <x:c r="H1173" s="13" t="n">
        <x:v>90</x:v>
      </x:c>
      <x:c r="I1173" s="13" t="n">
        <x:f>YEAR(B1173)</x:f>
        <x:v>2024</x:v>
      </x:c>
      <x:c r="J1173" s="13" t="n">
        <x:f>MONTH(B1173)</x:f>
        <x:v>6</x:v>
      </x:c>
      <x:c r="K1173" s="14" t="n">
        <x:f>ROUND(E1173*F1173-G1173,10)</x:f>
        <x:v>0</x:v>
      </x:c>
      <x:c r="L1173" s="2"/>
      <x:c r="M1173" s="2"/>
      <x:c r="N1173" s="2"/>
      <x:c r="O1173" s="2"/>
      <x:c r="P1173" s="2"/>
      <x:c r="Q1173" s="2"/>
      <x:c r="R1173" s="2"/>
    </x:row>
    <x:row r="1174" ht="22" customHeight="1">
      <x:c r="A1174" s="2" t="n">
        <x:v>101168</x:v>
      </x:c>
      <x:c r="B1174" s="10" t="n">
        <x:v>45360</x:v>
      </x:c>
      <x:c r="C1174" s="2" t="str">
        <x:v>México</x:v>
      </x:c>
      <x:c r="D1174" s="2" t="str">
        <x:v>Calçados</x:v>
      </x:c>
      <x:c r="E1174" s="11" t="n">
        <x:v>42</x:v>
      </x:c>
      <x:c r="F1174" s="12" t="n">
        <x:v>29.14</x:v>
      </x:c>
      <x:c r="G1174" s="12" t="n">
        <x:v>1223.88</x:v>
      </x:c>
      <x:c r="H1174" s="13" t="n">
        <x:v>428</x:v>
      </x:c>
      <x:c r="I1174" s="13" t="n">
        <x:f>YEAR(B1174)</x:f>
        <x:v>2024</x:v>
      </x:c>
      <x:c r="J1174" s="13" t="n">
        <x:f>MONTH(B1174)</x:f>
        <x:v>3</x:v>
      </x:c>
      <x:c r="K1174" s="14" t="n">
        <x:f>ROUND(E1174*F1174-G1174,10)</x:f>
        <x:v>0</x:v>
      </x:c>
      <x:c r="L1174" s="2"/>
      <x:c r="M1174" s="2"/>
      <x:c r="N1174" s="2"/>
      <x:c r="O1174" s="2"/>
      <x:c r="P1174" s="2"/>
      <x:c r="Q1174" s="2"/>
      <x:c r="R1174" s="2"/>
    </x:row>
    <x:row r="1175" ht="22" customHeight="1">
      <x:c r="A1175" s="2" t="n">
        <x:v>101169</x:v>
      </x:c>
      <x:c r="B1175" s="10" t="n">
        <x:v>45450</x:v>
      </x:c>
      <x:c r="C1175" s="2" t="str">
        <x:v>Colômbia</x:v>
      </x:c>
      <x:c r="D1175" s="2" t="str">
        <x:v>Moda Masculina</x:v>
      </x:c>
      <x:c r="E1175" s="11" t="n">
        <x:v>30</x:v>
      </x:c>
      <x:c r="F1175" s="12" t="n">
        <x:v>104.29</x:v>
      </x:c>
      <x:c r="G1175" s="12" t="n">
        <x:v>3128.7</x:v>
      </x:c>
      <x:c r="H1175" s="13" t="n">
        <x:v>303</x:v>
      </x:c>
      <x:c r="I1175" s="13" t="n">
        <x:f>YEAR(B1175)</x:f>
        <x:v>2024</x:v>
      </x:c>
      <x:c r="J1175" s="13" t="n">
        <x:f>MONTH(B1175)</x:f>
        <x:v>6</x:v>
      </x:c>
      <x:c r="K1175" s="14" t="n">
        <x:f>ROUND(E1175*F1175-G1175,10)</x:f>
        <x:v>0</x:v>
      </x:c>
      <x:c r="L1175" s="2"/>
      <x:c r="M1175" s="2"/>
      <x:c r="N1175" s="2"/>
      <x:c r="O1175" s="2"/>
      <x:c r="P1175" s="2"/>
      <x:c r="Q1175" s="2"/>
      <x:c r="R1175" s="2"/>
    </x:row>
    <x:row r="1176" ht="22" customHeight="1">
      <x:c r="A1176" s="2" t="n">
        <x:v>101170</x:v>
      </x:c>
      <x:c r="B1176" s="10" t="n">
        <x:v>45386</x:v>
      </x:c>
      <x:c r="C1176" s="2" t="str">
        <x:v>Colômbia</x:v>
      </x:c>
      <x:c r="D1176" s="2" t="str">
        <x:v>Calçados</x:v>
      </x:c>
      <x:c r="E1176" s="11" t="n">
        <x:v>31</x:v>
      </x:c>
      <x:c r="F1176" s="12" t="n">
        <x:v>173.56</x:v>
      </x:c>
      <x:c r="G1176" s="12" t="n">
        <x:v>5380.36</x:v>
      </x:c>
      <x:c r="H1176" s="13" t="n">
        <x:v>56</x:v>
      </x:c>
      <x:c r="I1176" s="13" t="n">
        <x:f>YEAR(B1176)</x:f>
        <x:v>2024</x:v>
      </x:c>
      <x:c r="J1176" s="13" t="n">
        <x:f>MONTH(B1176)</x:f>
        <x:v>4</x:v>
      </x:c>
      <x:c r="K1176" s="14" t="n">
        <x:f>ROUND(E1176*F1176-G1176,10)</x:f>
        <x:v>0</x:v>
      </x:c>
      <x:c r="L1176" s="2"/>
      <x:c r="M1176" s="2"/>
      <x:c r="N1176" s="2"/>
      <x:c r="O1176" s="2"/>
      <x:c r="P1176" s="2"/>
      <x:c r="Q1176" s="2"/>
      <x:c r="R1176" s="2"/>
    </x:row>
    <x:row r="1177" ht="22" customHeight="1">
      <x:c r="A1177" s="2" t="n">
        <x:v>101171</x:v>
      </x:c>
      <x:c r="B1177" s="10" t="n">
        <x:v>45433</x:v>
      </x:c>
      <x:c r="C1177" s="2" t="str">
        <x:v>México</x:v>
      </x:c>
      <x:c r="D1177" s="2" t="str">
        <x:v>Moda Infantil</x:v>
      </x:c>
      <x:c r="E1177" s="11" t="n">
        <x:v>35</x:v>
      </x:c>
      <x:c r="F1177" s="12" t="n">
        <x:v>188.04</x:v>
      </x:c>
      <x:c r="G1177" s="12" t="n">
        <x:v>6581.4</x:v>
      </x:c>
      <x:c r="H1177" s="13" t="n">
        <x:v>265</x:v>
      </x:c>
      <x:c r="I1177" s="13" t="n">
        <x:f>YEAR(B1177)</x:f>
        <x:v>2024</x:v>
      </x:c>
      <x:c r="J1177" s="13" t="n">
        <x:f>MONTH(B1177)</x:f>
        <x:v>5</x:v>
      </x:c>
      <x:c r="K1177" s="14" t="n">
        <x:f>ROUND(E1177*F1177-G1177,10)</x:f>
        <x:v>0</x:v>
      </x:c>
      <x:c r="L1177" s="2"/>
      <x:c r="M1177" s="2"/>
      <x:c r="N1177" s="2"/>
      <x:c r="O1177" s="2"/>
      <x:c r="P1177" s="2"/>
      <x:c r="Q1177" s="2"/>
      <x:c r="R1177" s="2"/>
    </x:row>
    <x:row r="1178" ht="22" customHeight="1">
      <x:c r="A1178" s="2" t="n">
        <x:v>101172</x:v>
      </x:c>
      <x:c r="B1178" s="10" t="n">
        <x:v>45336</x:v>
      </x:c>
      <x:c r="C1178" s="2" t="str">
        <x:v>Argentina</x:v>
      </x:c>
      <x:c r="D1178" s="2" t="str">
        <x:v>Moda Infantil</x:v>
      </x:c>
      <x:c r="E1178" s="11" t="n">
        <x:v>21</x:v>
      </x:c>
      <x:c r="F1178" s="12" t="n">
        <x:v>187.87</x:v>
      </x:c>
      <x:c r="G1178" s="12" t="n">
        <x:v>3945.27</x:v>
      </x:c>
      <x:c r="H1178" s="13" t="n">
        <x:v>118</x:v>
      </x:c>
      <x:c r="I1178" s="13" t="n">
        <x:f>YEAR(B1178)</x:f>
        <x:v>2024</x:v>
      </x:c>
      <x:c r="J1178" s="13" t="n">
        <x:f>MONTH(B1178)</x:f>
        <x:v>2</x:v>
      </x:c>
      <x:c r="K1178" s="14" t="n">
        <x:f>ROUND(E1178*F1178-G1178,10)</x:f>
        <x:v>0</x:v>
      </x:c>
      <x:c r="L1178" s="2"/>
      <x:c r="M1178" s="2"/>
      <x:c r="N1178" s="2"/>
      <x:c r="O1178" s="2"/>
      <x:c r="P1178" s="2"/>
      <x:c r="Q1178" s="2"/>
      <x:c r="R1178" s="2"/>
    </x:row>
    <x:row r="1179" ht="22" customHeight="1">
      <x:c r="A1179" s="2" t="n">
        <x:v>101173</x:v>
      </x:c>
      <x:c r="B1179" s="10" t="n">
        <x:v>45548</x:v>
      </x:c>
      <x:c r="C1179" s="2" t="str">
        <x:v>Chile</x:v>
      </x:c>
      <x:c r="D1179" s="2" t="str">
        <x:v>Moda Infantil</x:v>
      </x:c>
      <x:c r="E1179" s="11" t="n">
        <x:v>31</x:v>
      </x:c>
      <x:c r="F1179" s="12" t="n">
        <x:v>42.54</x:v>
      </x:c>
      <x:c r="G1179" s="12" t="n">
        <x:v>1318.74</x:v>
      </x:c>
      <x:c r="H1179" s="13" t="n">
        <x:v>118</x:v>
      </x:c>
      <x:c r="I1179" s="13" t="n">
        <x:f>YEAR(B1179)</x:f>
        <x:v>2024</x:v>
      </x:c>
      <x:c r="J1179" s="13" t="n">
        <x:f>MONTH(B1179)</x:f>
        <x:v>9</x:v>
      </x:c>
      <x:c r="K1179" s="14" t="n">
        <x:f>ROUND(E1179*F1179-G1179,10)</x:f>
        <x:v>0</x:v>
      </x:c>
      <x:c r="L1179" s="2"/>
      <x:c r="M1179" s="2"/>
      <x:c r="N1179" s="2"/>
      <x:c r="O1179" s="2"/>
      <x:c r="P1179" s="2"/>
      <x:c r="Q1179" s="2"/>
      <x:c r="R1179" s="2"/>
    </x:row>
    <x:row r="1180" ht="22" customHeight="1">
      <x:c r="A1180" s="2" t="n">
        <x:v>101174</x:v>
      </x:c>
      <x:c r="B1180" s="10" t="n">
        <x:v>45122</x:v>
      </x:c>
      <x:c r="C1180" s="2" t="str">
        <x:v>Chile</x:v>
      </x:c>
      <x:c r="D1180" s="2" t="str">
        <x:v>Calçados</x:v>
      </x:c>
      <x:c r="E1180" s="11" t="n">
        <x:v>19</x:v>
      </x:c>
      <x:c r="F1180" s="12" t="n">
        <x:v>88.77</x:v>
      </x:c>
      <x:c r="G1180" s="12" t="n">
        <x:v>1686.63</x:v>
      </x:c>
      <x:c r="H1180" s="13" t="n">
        <x:v>130</x:v>
      </x:c>
      <x:c r="I1180" s="13" t="n">
        <x:f>YEAR(B1180)</x:f>
        <x:v>2023</x:v>
      </x:c>
      <x:c r="J1180" s="13" t="n">
        <x:f>MONTH(B1180)</x:f>
        <x:v>7</x:v>
      </x:c>
      <x:c r="K1180" s="14" t="n">
        <x:f>ROUND(E1180*F1180-G1180,10)</x:f>
        <x:v>0</x:v>
      </x:c>
      <x:c r="L1180" s="2"/>
      <x:c r="M1180" s="2"/>
      <x:c r="N1180" s="2"/>
      <x:c r="O1180" s="2"/>
      <x:c r="P1180" s="2"/>
      <x:c r="Q1180" s="2"/>
      <x:c r="R1180" s="2"/>
    </x:row>
    <x:row r="1181" ht="22" customHeight="1">
      <x:c r="A1181" s="2" t="n">
        <x:v>101175</x:v>
      </x:c>
      <x:c r="B1181" s="10" t="n">
        <x:v>45156</x:v>
      </x:c>
      <x:c r="C1181" s="2" t="str">
        <x:v>Chile</x:v>
      </x:c>
      <x:c r="D1181" s="2" t="str">
        <x:v>Acessórios</x:v>
      </x:c>
      <x:c r="E1181" s="11" t="n">
        <x:v>31</x:v>
      </x:c>
      <x:c r="F1181" s="12" t="n">
        <x:v>25.08</x:v>
      </x:c>
      <x:c r="G1181" s="12" t="n">
        <x:v>777.4799999999999</x:v>
      </x:c>
      <x:c r="H1181" s="13" t="n">
        <x:v>79</x:v>
      </x:c>
      <x:c r="I1181" s="13" t="n">
        <x:f>YEAR(B1181)</x:f>
        <x:v>2023</x:v>
      </x:c>
      <x:c r="J1181" s="13" t="n">
        <x:f>MONTH(B1181)</x:f>
        <x:v>8</x:v>
      </x:c>
      <x:c r="K1181" s="14" t="n">
        <x:f>ROUND(E1181*F1181-G1181,10)</x:f>
        <x:v>0</x:v>
      </x:c>
      <x:c r="L1181" s="2"/>
      <x:c r="M1181" s="2"/>
      <x:c r="N1181" s="2"/>
      <x:c r="O1181" s="2"/>
      <x:c r="P1181" s="2"/>
      <x:c r="Q1181" s="2"/>
      <x:c r="R1181" s="2"/>
    </x:row>
    <x:row r="1182" ht="22" customHeight="1">
      <x:c r="A1182" s="2" t="n">
        <x:v>101176</x:v>
      </x:c>
      <x:c r="B1182" s="10" t="n">
        <x:v>45123</x:v>
      </x:c>
      <x:c r="C1182" s="2" t="str">
        <x:v>Colômbia</x:v>
      </x:c>
      <x:c r="D1182" s="2" t="str">
        <x:v>Moda Masculina</x:v>
      </x:c>
      <x:c r="E1182" s="11" t="n">
        <x:v>32</x:v>
      </x:c>
      <x:c r="F1182" s="12" t="n">
        <x:v>173.93</x:v>
      </x:c>
      <x:c r="G1182" s="12" t="n">
        <x:v>5565.76</x:v>
      </x:c>
      <x:c r="H1182" s="13" t="n">
        <x:v>122</x:v>
      </x:c>
      <x:c r="I1182" s="13" t="n">
        <x:f>YEAR(B1182)</x:f>
        <x:v>2023</x:v>
      </x:c>
      <x:c r="J1182" s="13" t="n">
        <x:f>MONTH(B1182)</x:f>
        <x:v>7</x:v>
      </x:c>
      <x:c r="K1182" s="14" t="n">
        <x:f>ROUND(E1182*F1182-G1182,10)</x:f>
        <x:v>0</x:v>
      </x:c>
      <x:c r="L1182" s="2"/>
      <x:c r="M1182" s="2"/>
      <x:c r="N1182" s="2"/>
      <x:c r="O1182" s="2"/>
      <x:c r="P1182" s="2"/>
      <x:c r="Q1182" s="2"/>
      <x:c r="R1182" s="2"/>
    </x:row>
    <x:row r="1183" ht="22" customHeight="1">
      <x:c r="A1183" s="2" t="n">
        <x:v>101177</x:v>
      </x:c>
      <x:c r="B1183" s="10" t="n">
        <x:v>45540</x:v>
      </x:c>
      <x:c r="C1183" s="2" t="str">
        <x:v>Colômbia</x:v>
      </x:c>
      <x:c r="D1183" s="2" t="str">
        <x:v>Moda Infantil</x:v>
      </x:c>
      <x:c r="E1183" s="11" t="n">
        <x:v>2</x:v>
      </x:c>
      <x:c r="F1183" s="12" t="n">
        <x:v>84.58</x:v>
      </x:c>
      <x:c r="G1183" s="12" t="n">
        <x:v>169.16</x:v>
      </x:c>
      <x:c r="H1183" s="13" t="n">
        <x:v>311</x:v>
      </x:c>
      <x:c r="I1183" s="13" t="n">
        <x:f>YEAR(B1183)</x:f>
        <x:v>2024</x:v>
      </x:c>
      <x:c r="J1183" s="13" t="n">
        <x:f>MONTH(B1183)</x:f>
        <x:v>9</x:v>
      </x:c>
      <x:c r="K1183" s="14" t="n">
        <x:f>ROUND(E1183*F1183-G1183,10)</x:f>
        <x:v>0</x:v>
      </x:c>
      <x:c r="L1183" s="2"/>
      <x:c r="M1183" s="2"/>
      <x:c r="N1183" s="2"/>
      <x:c r="O1183" s="2"/>
      <x:c r="P1183" s="2"/>
      <x:c r="Q1183" s="2"/>
      <x:c r="R1183" s="2"/>
    </x:row>
    <x:row r="1184" ht="22" customHeight="1">
      <x:c r="A1184" s="2" t="n">
        <x:v>101178</x:v>
      </x:c>
      <x:c r="B1184" s="10" t="n">
        <x:v>45554</x:v>
      </x:c>
      <x:c r="C1184" s="2" t="str">
        <x:v>Argentina</x:v>
      </x:c>
      <x:c r="D1184" s="2" t="str">
        <x:v>Moda Infantil</x:v>
      </x:c>
      <x:c r="E1184" s="11" t="n">
        <x:v>10</x:v>
      </x:c>
      <x:c r="F1184" s="12" t="n">
        <x:v>133.6</x:v>
      </x:c>
      <x:c r="G1184" s="12" t="n">
        <x:v>1336</x:v>
      </x:c>
      <x:c r="H1184" s="13" t="n">
        <x:v>138</x:v>
      </x:c>
      <x:c r="I1184" s="13" t="n">
        <x:f>YEAR(B1184)</x:f>
        <x:v>2024</x:v>
      </x:c>
      <x:c r="J1184" s="13" t="n">
        <x:f>MONTH(B1184)</x:f>
        <x:v>9</x:v>
      </x:c>
      <x:c r="K1184" s="14" t="n">
        <x:f>ROUND(E1184*F1184-G1184,10)</x:f>
        <x:v>0</x:v>
      </x:c>
      <x:c r="L1184" s="2"/>
      <x:c r="M1184" s="2"/>
      <x:c r="N1184" s="2"/>
      <x:c r="O1184" s="2"/>
      <x:c r="P1184" s="2"/>
      <x:c r="Q1184" s="2"/>
      <x:c r="R1184" s="2"/>
    </x:row>
    <x:row r="1185" ht="22" customHeight="1">
      <x:c r="A1185" s="2" t="n">
        <x:v>101179</x:v>
      </x:c>
      <x:c r="B1185" s="10" t="n">
        <x:v>45124</x:v>
      </x:c>
      <x:c r="C1185" s="2" t="str">
        <x:v>Chile</x:v>
      </x:c>
      <x:c r="D1185" s="2" t="str">
        <x:v>Moda Infantil</x:v>
      </x:c>
      <x:c r="E1185" s="11" t="n">
        <x:v>2</x:v>
      </x:c>
      <x:c r="F1185" s="12" t="n">
        <x:v>148.68</x:v>
      </x:c>
      <x:c r="G1185" s="12" t="n">
        <x:v>297.36</x:v>
      </x:c>
      <x:c r="H1185" s="13" t="n">
        <x:v>452</x:v>
      </x:c>
      <x:c r="I1185" s="13" t="n">
        <x:f>YEAR(B1185)</x:f>
        <x:v>2023</x:v>
      </x:c>
      <x:c r="J1185" s="13" t="n">
        <x:f>MONTH(B1185)</x:f>
        <x:v>7</x:v>
      </x:c>
      <x:c r="K1185" s="14" t="n">
        <x:f>ROUND(E1185*F1185-G1185,10)</x:f>
        <x:v>0</x:v>
      </x:c>
      <x:c r="L1185" s="2"/>
      <x:c r="M1185" s="2"/>
      <x:c r="N1185" s="2"/>
      <x:c r="O1185" s="2"/>
      <x:c r="P1185" s="2"/>
      <x:c r="Q1185" s="2"/>
      <x:c r="R1185" s="2"/>
    </x:row>
    <x:row r="1186" ht="22" customHeight="1">
      <x:c r="A1186" s="2" t="n">
        <x:v>101180</x:v>
      </x:c>
      <x:c r="B1186" s="10" t="n">
        <x:v>45426</x:v>
      </x:c>
      <x:c r="C1186" s="2" t="str">
        <x:v>Chile</x:v>
      </x:c>
      <x:c r="D1186" s="2" t="str">
        <x:v>Moda Masculina</x:v>
      </x:c>
      <x:c r="E1186" s="11" t="n">
        <x:v>2</x:v>
      </x:c>
      <x:c r="F1186" s="12" t="n">
        <x:v>97.37</x:v>
      </x:c>
      <x:c r="G1186" s="12" t="n">
        <x:v>194.74</x:v>
      </x:c>
      <x:c r="H1186" s="13" t="n">
        <x:v>257</x:v>
      </x:c>
      <x:c r="I1186" s="13" t="n">
        <x:f>YEAR(B1186)</x:f>
        <x:v>2024</x:v>
      </x:c>
      <x:c r="J1186" s="13" t="n">
        <x:f>MONTH(B1186)</x:f>
        <x:v>5</x:v>
      </x:c>
      <x:c r="K1186" s="14" t="n">
        <x:f>ROUND(E1186*F1186-G1186,10)</x:f>
        <x:v>0</x:v>
      </x:c>
      <x:c r="L1186" s="2"/>
      <x:c r="M1186" s="2"/>
      <x:c r="N1186" s="2"/>
      <x:c r="O1186" s="2"/>
      <x:c r="P1186" s="2"/>
      <x:c r="Q1186" s="2"/>
      <x:c r="R1186" s="2"/>
    </x:row>
    <x:row r="1187" ht="22" customHeight="1">
      <x:c r="A1187" s="2" t="n">
        <x:v>101181</x:v>
      </x:c>
      <x:c r="B1187" s="10" t="n">
        <x:v>45295</x:v>
      </x:c>
      <x:c r="C1187" s="2" t="str">
        <x:v>México</x:v>
      </x:c>
      <x:c r="D1187" s="2" t="str">
        <x:v>Moda Infantil</x:v>
      </x:c>
      <x:c r="E1187" s="11" t="n">
        <x:v>24</x:v>
      </x:c>
      <x:c r="F1187" s="12" t="n">
        <x:v>75.16</x:v>
      </x:c>
      <x:c r="G1187" s="12" t="n">
        <x:v>1803.84</x:v>
      </x:c>
      <x:c r="H1187" s="13" t="n">
        <x:v>262</x:v>
      </x:c>
      <x:c r="I1187" s="13" t="n">
        <x:f>YEAR(B1187)</x:f>
        <x:v>2024</x:v>
      </x:c>
      <x:c r="J1187" s="13" t="n">
        <x:f>MONTH(B1187)</x:f>
        <x:v>1</x:v>
      </x:c>
      <x:c r="K1187" s="14" t="n">
        <x:f>ROUND(E1187*F1187-G1187,10)</x:f>
        <x:v>0</x:v>
      </x:c>
      <x:c r="L1187" s="2"/>
      <x:c r="M1187" s="2"/>
      <x:c r="N1187" s="2"/>
      <x:c r="O1187" s="2"/>
      <x:c r="P1187" s="2"/>
      <x:c r="Q1187" s="2"/>
      <x:c r="R1187" s="2"/>
    </x:row>
    <x:row r="1188" ht="22" customHeight="1">
      <x:c r="A1188" s="2" t="n">
        <x:v>101182</x:v>
      </x:c>
      <x:c r="B1188" s="10" t="n">
        <x:v>45030</x:v>
      </x:c>
      <x:c r="C1188" s="2" t="str">
        <x:v>Colômbia</x:v>
      </x:c>
      <x:c r="D1188" s="2" t="str">
        <x:v>Moda Masculina</x:v>
      </x:c>
      <x:c r="E1188" s="11" t="n">
        <x:v>17</x:v>
      </x:c>
      <x:c r="F1188" s="12" t="n">
        <x:v>193.2</x:v>
      </x:c>
      <x:c r="G1188" s="12" t="n">
        <x:v>3284.4</x:v>
      </x:c>
      <x:c r="H1188" s="13" t="n">
        <x:v>371</x:v>
      </x:c>
      <x:c r="I1188" s="13" t="n">
        <x:f>YEAR(B1188)</x:f>
        <x:v>2023</x:v>
      </x:c>
      <x:c r="J1188" s="13" t="n">
        <x:f>MONTH(B1188)</x:f>
        <x:v>4</x:v>
      </x:c>
      <x:c r="K1188" s="14" t="n">
        <x:f>ROUND(E1188*F1188-G1188,10)</x:f>
        <x:v>0</x:v>
      </x:c>
      <x:c r="L1188" s="2"/>
      <x:c r="M1188" s="2"/>
      <x:c r="N1188" s="2"/>
      <x:c r="O1188" s="2"/>
      <x:c r="P1188" s="2"/>
      <x:c r="Q1188" s="2"/>
      <x:c r="R1188" s="2"/>
    </x:row>
    <x:row r="1189" ht="22" customHeight="1">
      <x:c r="A1189" s="2" t="n">
        <x:v>101183</x:v>
      </x:c>
      <x:c r="B1189" s="10" t="n">
        <x:v>45313</x:v>
      </x:c>
      <x:c r="C1189" s="2" t="str">
        <x:v>Chile</x:v>
      </x:c>
      <x:c r="D1189" s="2" t="str">
        <x:v>Moda Infantil</x:v>
      </x:c>
      <x:c r="E1189" s="11" t="n">
        <x:v>32</x:v>
      </x:c>
      <x:c r="F1189" s="12" t="n">
        <x:v>193.61</x:v>
      </x:c>
      <x:c r="G1189" s="12" t="n">
        <x:v>6195.52</x:v>
      </x:c>
      <x:c r="H1189" s="13" t="n">
        <x:v>315</x:v>
      </x:c>
      <x:c r="I1189" s="13" t="n">
        <x:f>YEAR(B1189)</x:f>
        <x:v>2024</x:v>
      </x:c>
      <x:c r="J1189" s="13" t="n">
        <x:f>MONTH(B1189)</x:f>
        <x:v>1</x:v>
      </x:c>
      <x:c r="K1189" s="14" t="n">
        <x:f>ROUND(E1189*F1189-G1189,10)</x:f>
        <x:v>0</x:v>
      </x:c>
      <x:c r="L1189" s="2"/>
      <x:c r="M1189" s="2"/>
      <x:c r="N1189" s="2"/>
      <x:c r="O1189" s="2"/>
      <x:c r="P1189" s="2"/>
      <x:c r="Q1189" s="2"/>
      <x:c r="R1189" s="2"/>
    </x:row>
    <x:row r="1190" ht="22" customHeight="1">
      <x:c r="A1190" s="2" t="n">
        <x:v>101184</x:v>
      </x:c>
      <x:c r="B1190" s="10" t="n">
        <x:v>45544</x:v>
      </x:c>
      <x:c r="C1190" s="2" t="str">
        <x:v>Peru</x:v>
      </x:c>
      <x:c r="D1190" s="2" t="str">
        <x:v>Calçados</x:v>
      </x:c>
      <x:c r="E1190" s="11" t="n">
        <x:v>16</x:v>
      </x:c>
      <x:c r="F1190" s="12" t="n">
        <x:v>72.1</x:v>
      </x:c>
      <x:c r="G1190" s="12" t="n">
        <x:v>1153.6</x:v>
      </x:c>
      <x:c r="H1190" s="13" t="n">
        <x:v>449</x:v>
      </x:c>
      <x:c r="I1190" s="13" t="n">
        <x:f>YEAR(B1190)</x:f>
        <x:v>2024</x:v>
      </x:c>
      <x:c r="J1190" s="13" t="n">
        <x:f>MONTH(B1190)</x:f>
        <x:v>9</x:v>
      </x:c>
      <x:c r="K1190" s="14" t="n">
        <x:f>ROUND(E1190*F1190-G1190,10)</x:f>
        <x:v>0</x:v>
      </x:c>
      <x:c r="L1190" s="2"/>
      <x:c r="M1190" s="2"/>
      <x:c r="N1190" s="2"/>
      <x:c r="O1190" s="2"/>
      <x:c r="P1190" s="2"/>
      <x:c r="Q1190" s="2"/>
      <x:c r="R1190" s="2"/>
    </x:row>
    <x:row r="1191" ht="22" customHeight="1">
      <x:c r="A1191" s="2" t="n">
        <x:v>101185</x:v>
      </x:c>
      <x:c r="B1191" s="10" t="n">
        <x:v>45374</x:v>
      </x:c>
      <x:c r="C1191" s="2" t="str">
        <x:v>Argentina</x:v>
      </x:c>
      <x:c r="D1191" s="2" t="str">
        <x:v>Calçados</x:v>
      </x:c>
      <x:c r="E1191" s="11" t="n">
        <x:v>16</x:v>
      </x:c>
      <x:c r="F1191" s="12" t="n">
        <x:v>106.33</x:v>
      </x:c>
      <x:c r="G1191" s="12" t="n">
        <x:v>1701.28</x:v>
      </x:c>
      <x:c r="H1191" s="13" t="n">
        <x:v>342</x:v>
      </x:c>
      <x:c r="I1191" s="13" t="n">
        <x:f>YEAR(B1191)</x:f>
        <x:v>2024</x:v>
      </x:c>
      <x:c r="J1191" s="13" t="n">
        <x:f>MONTH(B1191)</x:f>
        <x:v>3</x:v>
      </x:c>
      <x:c r="K1191" s="14" t="n">
        <x:f>ROUND(E1191*F1191-G1191,10)</x:f>
        <x:v>0</x:v>
      </x:c>
      <x:c r="L1191" s="2"/>
      <x:c r="M1191" s="2"/>
      <x:c r="N1191" s="2"/>
      <x:c r="O1191" s="2"/>
      <x:c r="P1191" s="2"/>
      <x:c r="Q1191" s="2"/>
      <x:c r="R1191" s="2"/>
    </x:row>
    <x:row r="1192" ht="22" customHeight="1">
      <x:c r="A1192" s="2" t="n">
        <x:v>101186</x:v>
      </x:c>
      <x:c r="B1192" s="10" t="n">
        <x:v>45122</x:v>
      </x:c>
      <x:c r="C1192" s="2" t="str">
        <x:v>Peru</x:v>
      </x:c>
      <x:c r="D1192" s="2" t="str">
        <x:v>Moda Masculina</x:v>
      </x:c>
      <x:c r="E1192" s="11" t="n">
        <x:v>46</x:v>
      </x:c>
      <x:c r="F1192" s="12" t="n">
        <x:v>195.11</x:v>
      </x:c>
      <x:c r="G1192" s="12" t="n">
        <x:v>8975.060000000001</x:v>
      </x:c>
      <x:c r="H1192" s="13" t="n">
        <x:v>256</x:v>
      </x:c>
      <x:c r="I1192" s="13" t="n">
        <x:f>YEAR(B1192)</x:f>
        <x:v>2023</x:v>
      </x:c>
      <x:c r="J1192" s="13" t="n">
        <x:f>MONTH(B1192)</x:f>
        <x:v>7</x:v>
      </x:c>
      <x:c r="K1192" s="14" t="n">
        <x:f>ROUND(E1192*F1192-G1192,10)</x:f>
        <x:v>0</x:v>
      </x:c>
      <x:c r="L1192" s="2"/>
      <x:c r="M1192" s="2"/>
      <x:c r="N1192" s="2"/>
      <x:c r="O1192" s="2"/>
      <x:c r="P1192" s="2"/>
      <x:c r="Q1192" s="2"/>
      <x:c r="R1192" s="2"/>
    </x:row>
    <x:row r="1193" ht="22" customHeight="1">
      <x:c r="A1193" s="2" t="n">
        <x:v>101187</x:v>
      </x:c>
      <x:c r="B1193" s="10" t="n">
        <x:v>45394</x:v>
      </x:c>
      <x:c r="C1193" s="2" t="str">
        <x:v>Peru</x:v>
      </x:c>
      <x:c r="D1193" s="2" t="str">
        <x:v>Calçados</x:v>
      </x:c>
      <x:c r="E1193" s="11" t="n">
        <x:v>39</x:v>
      </x:c>
      <x:c r="F1193" s="12" t="n">
        <x:v>20.88</x:v>
      </x:c>
      <x:c r="G1193" s="12" t="n">
        <x:v>814.3199999999999</x:v>
      </x:c>
      <x:c r="H1193" s="13" t="n">
        <x:v>382</x:v>
      </x:c>
      <x:c r="I1193" s="13" t="n">
        <x:f>YEAR(B1193)</x:f>
        <x:v>2024</x:v>
      </x:c>
      <x:c r="J1193" s="13" t="n">
        <x:f>MONTH(B1193)</x:f>
        <x:v>4</x:v>
      </x:c>
      <x:c r="K1193" s="14" t="n">
        <x:f>ROUND(E1193*F1193-G1193,10)</x:f>
        <x:v>0</x:v>
      </x:c>
      <x:c r="L1193" s="2"/>
      <x:c r="M1193" s="2"/>
      <x:c r="N1193" s="2"/>
      <x:c r="O1193" s="2"/>
      <x:c r="P1193" s="2"/>
      <x:c r="Q1193" s="2"/>
      <x:c r="R1193" s="2"/>
    </x:row>
    <x:row r="1194" ht="22" customHeight="1">
      <x:c r="A1194" s="2" t="n">
        <x:v>101188</x:v>
      </x:c>
      <x:c r="B1194" s="10" t="n">
        <x:v>44995</x:v>
      </x:c>
      <x:c r="C1194" s="2" t="str">
        <x:v>Argentina</x:v>
      </x:c>
      <x:c r="D1194" s="2" t="str">
        <x:v>Moda Masculina</x:v>
      </x:c>
      <x:c r="E1194" s="11" t="n">
        <x:v>31</x:v>
      </x:c>
      <x:c r="F1194" s="12" t="n">
        <x:v>94.28</x:v>
      </x:c>
      <x:c r="G1194" s="12" t="n">
        <x:v>2922.68</x:v>
      </x:c>
      <x:c r="H1194" s="13" t="n">
        <x:v>126</x:v>
      </x:c>
      <x:c r="I1194" s="13" t="n">
        <x:f>YEAR(B1194)</x:f>
        <x:v>2023</x:v>
      </x:c>
      <x:c r="J1194" s="13" t="n">
        <x:f>MONTH(B1194)</x:f>
        <x:v>3</x:v>
      </x:c>
      <x:c r="K1194" s="14" t="n">
        <x:f>ROUND(E1194*F1194-G1194,10)</x:f>
        <x:v>0</x:v>
      </x:c>
      <x:c r="L1194" s="2"/>
      <x:c r="M1194" s="2"/>
      <x:c r="N1194" s="2"/>
      <x:c r="O1194" s="2"/>
      <x:c r="P1194" s="2"/>
      <x:c r="Q1194" s="2"/>
      <x:c r="R1194" s="2"/>
    </x:row>
    <x:row r="1195" ht="22" customHeight="1">
      <x:c r="A1195" s="2" t="n">
        <x:v>101189</x:v>
      </x:c>
      <x:c r="B1195" s="10" t="n">
        <x:v>45377</x:v>
      </x:c>
      <x:c r="C1195" s="2" t="str">
        <x:v>Peru</x:v>
      </x:c>
      <x:c r="D1195" s="2" t="str">
        <x:v>Calçados</x:v>
      </x:c>
      <x:c r="E1195" s="11" t="n">
        <x:v>43</x:v>
      </x:c>
      <x:c r="F1195" s="12" t="n">
        <x:v>38.08</x:v>
      </x:c>
      <x:c r="G1195" s="12" t="n">
        <x:v>1637.44</x:v>
      </x:c>
      <x:c r="H1195" s="13" t="n">
        <x:v>337</x:v>
      </x:c>
      <x:c r="I1195" s="13" t="n">
        <x:f>YEAR(B1195)</x:f>
        <x:v>2024</x:v>
      </x:c>
      <x:c r="J1195" s="13" t="n">
        <x:f>MONTH(B1195)</x:f>
        <x:v>3</x:v>
      </x:c>
      <x:c r="K1195" s="14" t="n">
        <x:f>ROUND(E1195*F1195-G1195,10)</x:f>
        <x:v>0</x:v>
      </x:c>
      <x:c r="L1195" s="2"/>
      <x:c r="M1195" s="2"/>
      <x:c r="N1195" s="2"/>
      <x:c r="O1195" s="2"/>
      <x:c r="P1195" s="2"/>
      <x:c r="Q1195" s="2"/>
      <x:c r="R1195" s="2"/>
    </x:row>
    <x:row r="1196" ht="22" customHeight="1">
      <x:c r="A1196" s="2" t="n">
        <x:v>101190</x:v>
      </x:c>
      <x:c r="B1196" s="10" t="n">
        <x:v>44947</x:v>
      </x:c>
      <x:c r="C1196" s="2" t="str">
        <x:v>Chile</x:v>
      </x:c>
      <x:c r="D1196" s="2" t="str">
        <x:v>Calçados</x:v>
      </x:c>
      <x:c r="E1196" s="11" t="n">
        <x:v>24</x:v>
      </x:c>
      <x:c r="F1196" s="12" t="n">
        <x:v>111.65</x:v>
      </x:c>
      <x:c r="G1196" s="12" t="n">
        <x:v>2679.6</x:v>
      </x:c>
      <x:c r="H1196" s="13" t="n">
        <x:v>96</x:v>
      </x:c>
      <x:c r="I1196" s="13" t="n">
        <x:f>YEAR(B1196)</x:f>
        <x:v>2023</x:v>
      </x:c>
      <x:c r="J1196" s="13" t="n">
        <x:f>MONTH(B1196)</x:f>
        <x:v>1</x:v>
      </x:c>
      <x:c r="K1196" s="14" t="n">
        <x:f>ROUND(E1196*F1196-G1196,10)</x:f>
        <x:v>0</x:v>
      </x:c>
      <x:c r="L1196" s="2"/>
      <x:c r="M1196" s="2"/>
      <x:c r="N1196" s="2"/>
      <x:c r="O1196" s="2"/>
      <x:c r="P1196" s="2"/>
      <x:c r="Q1196" s="2"/>
      <x:c r="R1196" s="2"/>
    </x:row>
    <x:row r="1197" ht="22" customHeight="1">
      <x:c r="A1197" s="2" t="n">
        <x:v>101191</x:v>
      </x:c>
      <x:c r="B1197" s="10" t="n">
        <x:v>45057</x:v>
      </x:c>
      <x:c r="C1197" s="2" t="str">
        <x:v>Colômbia</x:v>
      </x:c>
      <x:c r="D1197" s="2" t="str">
        <x:v>Moda Masculina</x:v>
      </x:c>
      <x:c r="E1197" s="11" t="n">
        <x:v>1</x:v>
      </x:c>
      <x:c r="F1197" s="12" t="n">
        <x:v>24.44</x:v>
      </x:c>
      <x:c r="G1197" s="12" t="n">
        <x:v>24.44</x:v>
      </x:c>
      <x:c r="H1197" s="13" t="n">
        <x:v>159</x:v>
      </x:c>
      <x:c r="I1197" s="13" t="n">
        <x:f>YEAR(B1197)</x:f>
        <x:v>2023</x:v>
      </x:c>
      <x:c r="J1197" s="13" t="n">
        <x:f>MONTH(B1197)</x:f>
        <x:v>5</x:v>
      </x:c>
      <x:c r="K1197" s="14" t="n">
        <x:f>ROUND(E1197*F1197-G1197,10)</x:f>
        <x:v>0</x:v>
      </x:c>
      <x:c r="L1197" s="2"/>
      <x:c r="M1197" s="2"/>
      <x:c r="N1197" s="2"/>
      <x:c r="O1197" s="2"/>
      <x:c r="P1197" s="2"/>
      <x:c r="Q1197" s="2"/>
      <x:c r="R1197" s="2"/>
    </x:row>
    <x:row r="1198" ht="22" customHeight="1">
      <x:c r="A1198" s="2" t="n">
        <x:v>101192</x:v>
      </x:c>
      <x:c r="B1198" s="10" t="n">
        <x:v>45445</x:v>
      </x:c>
      <x:c r="C1198" s="2" t="str">
        <x:v>Argentina</x:v>
      </x:c>
      <x:c r="D1198" s="2" t="str">
        <x:v>Acessórios</x:v>
      </x:c>
      <x:c r="E1198" s="11" t="n">
        <x:v>11</x:v>
      </x:c>
      <x:c r="F1198" s="12" t="n">
        <x:v>93.24</x:v>
      </x:c>
      <x:c r="G1198" s="12" t="n">
        <x:v>1025.64</x:v>
      </x:c>
      <x:c r="H1198" s="13" t="n">
        <x:v>249</x:v>
      </x:c>
      <x:c r="I1198" s="13" t="n">
        <x:f>YEAR(B1198)</x:f>
        <x:v>2024</x:v>
      </x:c>
      <x:c r="J1198" s="13" t="n">
        <x:f>MONTH(B1198)</x:f>
        <x:v>6</x:v>
      </x:c>
      <x:c r="K1198" s="14" t="n">
        <x:f>ROUND(E1198*F1198-G1198,10)</x:f>
        <x:v>0</x:v>
      </x:c>
      <x:c r="L1198" s="2"/>
      <x:c r="M1198" s="2"/>
      <x:c r="N1198" s="2"/>
      <x:c r="O1198" s="2"/>
      <x:c r="P1198" s="2"/>
      <x:c r="Q1198" s="2"/>
      <x:c r="R1198" s="2"/>
    </x:row>
    <x:row r="1199" ht="22" customHeight="1">
      <x:c r="A1199" s="2" t="n">
        <x:v>101193</x:v>
      </x:c>
      <x:c r="B1199" s="10" t="n">
        <x:v>45115</x:v>
      </x:c>
      <x:c r="C1199" s="2" t="str">
        <x:v>México</x:v>
      </x:c>
      <x:c r="D1199" s="2" t="str">
        <x:v>Calçados</x:v>
      </x:c>
      <x:c r="E1199" s="11" t="n">
        <x:v>21</x:v>
      </x:c>
      <x:c r="F1199" s="12" t="n">
        <x:v>59.73</x:v>
      </x:c>
      <x:c r="G1199" s="12" t="n">
        <x:v>1254.33</x:v>
      </x:c>
      <x:c r="H1199" s="13" t="n">
        <x:v>476</x:v>
      </x:c>
      <x:c r="I1199" s="13" t="n">
        <x:f>YEAR(B1199)</x:f>
        <x:v>2023</x:v>
      </x:c>
      <x:c r="J1199" s="13" t="n">
        <x:f>MONTH(B1199)</x:f>
        <x:v>7</x:v>
      </x:c>
      <x:c r="K1199" s="14" t="n">
        <x:f>ROUND(E1199*F1199-G1199,10)</x:f>
        <x:v>0</x:v>
      </x:c>
      <x:c r="L1199" s="2"/>
      <x:c r="M1199" s="2"/>
      <x:c r="N1199" s="2"/>
      <x:c r="O1199" s="2"/>
      <x:c r="P1199" s="2"/>
      <x:c r="Q1199" s="2"/>
      <x:c r="R1199" s="2"/>
    </x:row>
    <x:row r="1200" ht="22" customHeight="1">
      <x:c r="A1200" s="2" t="n">
        <x:v>101194</x:v>
      </x:c>
      <x:c r="B1200" s="10" t="n">
        <x:v>45226</x:v>
      </x:c>
      <x:c r="C1200" s="2" t="str">
        <x:v>Peru</x:v>
      </x:c>
      <x:c r="D1200" s="2" t="str">
        <x:v>Moda Infantil</x:v>
      </x:c>
      <x:c r="E1200" s="11" t="n">
        <x:v>4</x:v>
      </x:c>
      <x:c r="F1200" s="12" t="n">
        <x:v>116</x:v>
      </x:c>
      <x:c r="G1200" s="12" t="n">
        <x:v>464</x:v>
      </x:c>
      <x:c r="H1200" s="13" t="n">
        <x:v>259</x:v>
      </x:c>
      <x:c r="I1200" s="13" t="n">
        <x:f>YEAR(B1200)</x:f>
        <x:v>2023</x:v>
      </x:c>
      <x:c r="J1200" s="13" t="n">
        <x:f>MONTH(B1200)</x:f>
        <x:v>10</x:v>
      </x:c>
      <x:c r="K1200" s="14" t="n">
        <x:f>ROUND(E1200*F1200-G1200,10)</x:f>
        <x:v>0</x:v>
      </x:c>
      <x:c r="L1200" s="2"/>
      <x:c r="M1200" s="2"/>
      <x:c r="N1200" s="2"/>
      <x:c r="O1200" s="2"/>
      <x:c r="P1200" s="2"/>
      <x:c r="Q1200" s="2"/>
      <x:c r="R1200" s="2"/>
    </x:row>
    <x:row r="1201" ht="22" customHeight="1">
      <x:c r="A1201" s="2" t="n">
        <x:v>101195</x:v>
      </x:c>
      <x:c r="B1201" s="10" t="n">
        <x:v>45147</x:v>
      </x:c>
      <x:c r="C1201" s="2" t="str">
        <x:v>Argentina</x:v>
      </x:c>
      <x:c r="D1201" s="2" t="str">
        <x:v>Acessórios</x:v>
      </x:c>
      <x:c r="E1201" s="11" t="n">
        <x:v>7</x:v>
      </x:c>
      <x:c r="F1201" s="12" t="n">
        <x:v>199.28</x:v>
      </x:c>
      <x:c r="G1201" s="12" t="n">
        <x:v>1394.96</x:v>
      </x:c>
      <x:c r="H1201" s="13" t="n">
        <x:v>425</x:v>
      </x:c>
      <x:c r="I1201" s="13" t="n">
        <x:f>YEAR(B1201)</x:f>
        <x:v>2023</x:v>
      </x:c>
      <x:c r="J1201" s="13" t="n">
        <x:f>MONTH(B1201)</x:f>
        <x:v>8</x:v>
      </x:c>
      <x:c r="K1201" s="14" t="n">
        <x:f>ROUND(E1201*F1201-G1201,10)</x:f>
        <x:v>0</x:v>
      </x:c>
      <x:c r="L1201" s="2"/>
      <x:c r="M1201" s="2"/>
      <x:c r="N1201" s="2"/>
      <x:c r="O1201" s="2"/>
      <x:c r="P1201" s="2"/>
      <x:c r="Q1201" s="2"/>
      <x:c r="R1201" s="2"/>
    </x:row>
    <x:row r="1202" ht="22" customHeight="1">
      <x:c r="A1202" s="2" t="n">
        <x:v>101196</x:v>
      </x:c>
      <x:c r="B1202" s="10" t="n">
        <x:v>45251</x:v>
      </x:c>
      <x:c r="C1202" s="2" t="str">
        <x:v>Brasil</x:v>
      </x:c>
      <x:c r="D1202" s="2" t="str">
        <x:v>Moda Masculina</x:v>
      </x:c>
      <x:c r="E1202" s="11" t="n">
        <x:v>26</x:v>
      </x:c>
      <x:c r="F1202" s="12" t="n">
        <x:v>164.1</x:v>
      </x:c>
      <x:c r="G1202" s="12" t="n">
        <x:v>4266.599999999999</x:v>
      </x:c>
      <x:c r="H1202" s="13" t="n">
        <x:v>469</x:v>
      </x:c>
      <x:c r="I1202" s="13" t="n">
        <x:f>YEAR(B1202)</x:f>
        <x:v>2023</x:v>
      </x:c>
      <x:c r="J1202" s="13" t="n">
        <x:f>MONTH(B1202)</x:f>
        <x:v>11</x:v>
      </x:c>
      <x:c r="K1202" s="14" t="n">
        <x:f>ROUND(E1202*F1202-G1202,10)</x:f>
        <x:v>0</x:v>
      </x:c>
      <x:c r="L1202" s="2"/>
      <x:c r="M1202" s="2"/>
      <x:c r="N1202" s="2"/>
      <x:c r="O1202" s="2"/>
      <x:c r="P1202" s="2"/>
      <x:c r="Q1202" s="2"/>
      <x:c r="R1202" s="2"/>
    </x:row>
    <x:row r="1203" ht="22" customHeight="1">
      <x:c r="A1203" s="2" t="n">
        <x:v>101197</x:v>
      </x:c>
      <x:c r="B1203" s="10" t="n">
        <x:v>45523</x:v>
      </x:c>
      <x:c r="C1203" s="2" t="str">
        <x:v>Brasil</x:v>
      </x:c>
      <x:c r="D1203" s="2" t="str">
        <x:v>Acessórios</x:v>
      </x:c>
      <x:c r="E1203" s="11" t="n">
        <x:v>47</x:v>
      </x:c>
      <x:c r="F1203" s="12" t="n">
        <x:v>172.22</x:v>
      </x:c>
      <x:c r="G1203" s="12" t="n">
        <x:v>8094.34</x:v>
      </x:c>
      <x:c r="H1203" s="13" t="n">
        <x:v>203</x:v>
      </x:c>
      <x:c r="I1203" s="13" t="n">
        <x:f>YEAR(B1203)</x:f>
        <x:v>2024</x:v>
      </x:c>
      <x:c r="J1203" s="13" t="n">
        <x:f>MONTH(B1203)</x:f>
        <x:v>8</x:v>
      </x:c>
      <x:c r="K1203" s="14" t="n">
        <x:f>ROUND(E1203*F1203-G1203,10)</x:f>
        <x:v>0</x:v>
      </x:c>
      <x:c r="L1203" s="2"/>
      <x:c r="M1203" s="2"/>
      <x:c r="N1203" s="2"/>
      <x:c r="O1203" s="2"/>
      <x:c r="P1203" s="2"/>
      <x:c r="Q1203" s="2"/>
      <x:c r="R1203" s="2"/>
    </x:row>
    <x:row r="1204" ht="22" customHeight="1">
      <x:c r="A1204" s="2" t="n">
        <x:v>101198</x:v>
      </x:c>
      <x:c r="B1204" s="10" t="n">
        <x:v>45272</x:v>
      </x:c>
      <x:c r="C1204" s="2" t="str">
        <x:v>Colômbia</x:v>
      </x:c>
      <x:c r="D1204" s="2" t="str">
        <x:v>Moda Feminina</x:v>
      </x:c>
      <x:c r="E1204" s="11" t="n">
        <x:v>12</x:v>
      </x:c>
      <x:c r="F1204" s="12" t="n">
        <x:v>134.35</x:v>
      </x:c>
      <x:c r="G1204" s="12" t="n">
        <x:v>1612.2</x:v>
      </x:c>
      <x:c r="H1204" s="13" t="n">
        <x:v>59</x:v>
      </x:c>
      <x:c r="I1204" s="13" t="n">
        <x:f>YEAR(B1204)</x:f>
        <x:v>2023</x:v>
      </x:c>
      <x:c r="J1204" s="13" t="n">
        <x:f>MONTH(B1204)</x:f>
        <x:v>12</x:v>
      </x:c>
      <x:c r="K1204" s="14" t="n">
        <x:f>ROUND(E1204*F1204-G1204,10)</x:f>
        <x:v>0</x:v>
      </x:c>
      <x:c r="L1204" s="2"/>
      <x:c r="M1204" s="2"/>
      <x:c r="N1204" s="2"/>
      <x:c r="O1204" s="2"/>
      <x:c r="P1204" s="2"/>
      <x:c r="Q1204" s="2"/>
      <x:c r="R1204" s="2"/>
    </x:row>
    <x:row r="1205" ht="22" customHeight="1">
      <x:c r="A1205" s="2" t="n">
        <x:v>101199</x:v>
      </x:c>
      <x:c r="B1205" s="10" t="n">
        <x:v>45288</x:v>
      </x:c>
      <x:c r="C1205" s="2" t="str">
        <x:v>Chile</x:v>
      </x:c>
      <x:c r="D1205" s="2" t="str">
        <x:v>Moda Feminina</x:v>
      </x:c>
      <x:c r="E1205" s="11" t="n">
        <x:v>31</x:v>
      </x:c>
      <x:c r="F1205" s="12" t="n">
        <x:v>27.48</x:v>
      </x:c>
      <x:c r="G1205" s="12" t="n">
        <x:v>851.88</x:v>
      </x:c>
      <x:c r="H1205" s="13" t="n">
        <x:v>464</x:v>
      </x:c>
      <x:c r="I1205" s="13" t="n">
        <x:f>YEAR(B1205)</x:f>
        <x:v>2023</x:v>
      </x:c>
      <x:c r="J1205" s="13" t="n">
        <x:f>MONTH(B1205)</x:f>
        <x:v>12</x:v>
      </x:c>
      <x:c r="K1205" s="14" t="n">
        <x:f>ROUND(E1205*F1205-G1205,10)</x:f>
        <x:v>0</x:v>
      </x:c>
      <x:c r="L1205" s="2"/>
      <x:c r="M1205" s="2"/>
      <x:c r="N1205" s="2"/>
      <x:c r="O1205" s="2"/>
      <x:c r="P1205" s="2"/>
      <x:c r="Q1205" s="2"/>
      <x:c r="R1205" s="2"/>
    </x:row>
    <x:row r="1206" ht="22" customHeight="1">
      <x:c r="A1206" s="2" t="n">
        <x:v>101200</x:v>
      </x:c>
      <x:c r="B1206" s="10" t="n">
        <x:v>45629</x:v>
      </x:c>
      <x:c r="C1206" s="2" t="str">
        <x:v>Colômbia</x:v>
      </x:c>
      <x:c r="D1206" s="2" t="str">
        <x:v>Calçados</x:v>
      </x:c>
      <x:c r="E1206" s="11" t="n">
        <x:v>17</x:v>
      </x:c>
      <x:c r="F1206" s="12" t="n">
        <x:v>57.22</x:v>
      </x:c>
      <x:c r="G1206" s="12" t="n">
        <x:v>972.74</x:v>
      </x:c>
      <x:c r="H1206" s="13" t="n">
        <x:v>402</x:v>
      </x:c>
      <x:c r="I1206" s="13" t="n">
        <x:f>YEAR(B1206)</x:f>
        <x:v>2024</x:v>
      </x:c>
      <x:c r="J1206" s="13" t="n">
        <x:f>MONTH(B1206)</x:f>
        <x:v>12</x:v>
      </x:c>
      <x:c r="K1206" s="14" t="n">
        <x:f>ROUND(E1206*F1206-G1206,10)</x:f>
        <x:v>0</x:v>
      </x:c>
      <x:c r="L1206" s="2"/>
      <x:c r="M1206" s="2"/>
      <x:c r="N1206" s="2"/>
      <x:c r="O1206" s="2"/>
      <x:c r="P1206" s="2"/>
      <x:c r="Q1206" s="2"/>
      <x:c r="R1206" s="2"/>
    </x:row>
    <x:row r="1207" ht="22" customHeight="1">
      <x:c r="A1207" s="2" t="n">
        <x:v>101201</x:v>
      </x:c>
      <x:c r="B1207" s="10" t="n">
        <x:v>45005</x:v>
      </x:c>
      <x:c r="C1207" s="2" t="str">
        <x:v>Colômbia</x:v>
      </x:c>
      <x:c r="D1207" s="2" t="str">
        <x:v>Calçados</x:v>
      </x:c>
      <x:c r="E1207" s="11" t="n">
        <x:v>33</x:v>
      </x:c>
      <x:c r="F1207" s="12" t="n">
        <x:v>186.51</x:v>
      </x:c>
      <x:c r="G1207" s="12" t="n">
        <x:v>6154.83</x:v>
      </x:c>
      <x:c r="H1207" s="13" t="n">
        <x:v>206</x:v>
      </x:c>
      <x:c r="I1207" s="13" t="n">
        <x:f>YEAR(B1207)</x:f>
        <x:v>2023</x:v>
      </x:c>
      <x:c r="J1207" s="13" t="n">
        <x:f>MONTH(B1207)</x:f>
        <x:v>3</x:v>
      </x:c>
      <x:c r="K1207" s="14" t="n">
        <x:f>ROUND(E1207*F1207-G1207,10)</x:f>
        <x:v>0</x:v>
      </x:c>
      <x:c r="L1207" s="2"/>
      <x:c r="M1207" s="2"/>
      <x:c r="N1207" s="2"/>
      <x:c r="O1207" s="2"/>
      <x:c r="P1207" s="2"/>
      <x:c r="Q1207" s="2"/>
      <x:c r="R1207" s="2"/>
    </x:row>
    <x:row r="1208" ht="22" customHeight="1">
      <x:c r="A1208" s="2" t="n">
        <x:v>101202</x:v>
      </x:c>
      <x:c r="B1208" s="10" t="n">
        <x:v>45263</x:v>
      </x:c>
      <x:c r="C1208" s="2" t="str">
        <x:v>Colômbia</x:v>
      </x:c>
      <x:c r="D1208" s="2" t="str">
        <x:v>Moda Infantil</x:v>
      </x:c>
      <x:c r="E1208" s="11" t="n">
        <x:v>11</x:v>
      </x:c>
      <x:c r="F1208" s="12" t="n">
        <x:v>85.9</x:v>
      </x:c>
      <x:c r="G1208" s="12" t="n">
        <x:v>944.9000000000001</x:v>
      </x:c>
      <x:c r="H1208" s="13" t="n">
        <x:v>310</x:v>
      </x:c>
      <x:c r="I1208" s="13" t="n">
        <x:f>YEAR(B1208)</x:f>
        <x:v>2023</x:v>
      </x:c>
      <x:c r="J1208" s="13" t="n">
        <x:f>MONTH(B1208)</x:f>
        <x:v>12</x:v>
      </x:c>
      <x:c r="K1208" s="14" t="n">
        <x:f>ROUND(E1208*F1208-G1208,10)</x:f>
        <x:v>0</x:v>
      </x:c>
      <x:c r="L1208" s="2"/>
      <x:c r="M1208" s="2"/>
      <x:c r="N1208" s="2"/>
      <x:c r="O1208" s="2"/>
      <x:c r="P1208" s="2"/>
      <x:c r="Q1208" s="2"/>
      <x:c r="R1208" s="2"/>
    </x:row>
    <x:row r="1209" ht="22" customHeight="1">
      <x:c r="A1209" s="2" t="n">
        <x:v>101203</x:v>
      </x:c>
      <x:c r="B1209" s="10" t="n">
        <x:v>45508</x:v>
      </x:c>
      <x:c r="C1209" s="2" t="str">
        <x:v>Colômbia</x:v>
      </x:c>
      <x:c r="D1209" s="2" t="str">
        <x:v>Acessórios</x:v>
      </x:c>
      <x:c r="E1209" s="11" t="n">
        <x:v>28</x:v>
      </x:c>
      <x:c r="F1209" s="12" t="n">
        <x:v>38.65</x:v>
      </x:c>
      <x:c r="G1209" s="12" t="n">
        <x:v>1082.2</x:v>
      </x:c>
      <x:c r="H1209" s="13" t="n">
        <x:v>126</x:v>
      </x:c>
      <x:c r="I1209" s="13" t="n">
        <x:f>YEAR(B1209)</x:f>
        <x:v>2024</x:v>
      </x:c>
      <x:c r="J1209" s="13" t="n">
        <x:f>MONTH(B1209)</x:f>
        <x:v>8</x:v>
      </x:c>
      <x:c r="K1209" s="14" t="n">
        <x:f>ROUND(E1209*F1209-G1209,10)</x:f>
        <x:v>0</x:v>
      </x:c>
      <x:c r="L1209" s="2"/>
      <x:c r="M1209" s="2"/>
      <x:c r="N1209" s="2"/>
      <x:c r="O1209" s="2"/>
      <x:c r="P1209" s="2"/>
      <x:c r="Q1209" s="2"/>
      <x:c r="R1209" s="2"/>
    </x:row>
    <x:row r="1210" ht="22" customHeight="1">
      <x:c r="A1210" s="2" t="n">
        <x:v>101204</x:v>
      </x:c>
      <x:c r="B1210" s="10" t="n">
        <x:v>45570</x:v>
      </x:c>
      <x:c r="C1210" s="2" t="str">
        <x:v>México</x:v>
      </x:c>
      <x:c r="D1210" s="2" t="str">
        <x:v>Moda Feminina</x:v>
      </x:c>
      <x:c r="E1210" s="11" t="n">
        <x:v>32</x:v>
      </x:c>
      <x:c r="F1210" s="12" t="n">
        <x:v>146.43</x:v>
      </x:c>
      <x:c r="G1210" s="12" t="n">
        <x:v>4685.76</x:v>
      </x:c>
      <x:c r="H1210" s="13" t="n">
        <x:v>306</x:v>
      </x:c>
      <x:c r="I1210" s="13" t="n">
        <x:f>YEAR(B1210)</x:f>
        <x:v>2024</x:v>
      </x:c>
      <x:c r="J1210" s="13" t="n">
        <x:f>MONTH(B1210)</x:f>
        <x:v>10</x:v>
      </x:c>
      <x:c r="K1210" s="14" t="n">
        <x:f>ROUND(E1210*F1210-G1210,10)</x:f>
        <x:v>0</x:v>
      </x:c>
      <x:c r="L1210" s="2"/>
      <x:c r="M1210" s="2"/>
      <x:c r="N1210" s="2"/>
      <x:c r="O1210" s="2"/>
      <x:c r="P1210" s="2"/>
      <x:c r="Q1210" s="2"/>
      <x:c r="R1210" s="2"/>
    </x:row>
    <x:row r="1211" ht="22" customHeight="1">
      <x:c r="A1211" s="2" t="n">
        <x:v>101205</x:v>
      </x:c>
      <x:c r="B1211" s="10" t="n">
        <x:v>45647</x:v>
      </x:c>
      <x:c r="C1211" s="2" t="str">
        <x:v>México</x:v>
      </x:c>
      <x:c r="D1211" s="2" t="str">
        <x:v>Calçados</x:v>
      </x:c>
      <x:c r="E1211" s="11" t="n">
        <x:v>1</x:v>
      </x:c>
      <x:c r="F1211" s="12" t="n">
        <x:v>73.9</x:v>
      </x:c>
      <x:c r="G1211" s="12" t="n">
        <x:v>73.9</x:v>
      </x:c>
      <x:c r="H1211" s="13" t="n">
        <x:v>180</x:v>
      </x:c>
      <x:c r="I1211" s="13" t="n">
        <x:f>YEAR(B1211)</x:f>
        <x:v>2024</x:v>
      </x:c>
      <x:c r="J1211" s="13" t="n">
        <x:f>MONTH(B1211)</x:f>
        <x:v>12</x:v>
      </x:c>
      <x:c r="K1211" s="14" t="n">
        <x:f>ROUND(E1211*F1211-G1211,10)</x:f>
        <x:v>0</x:v>
      </x:c>
      <x:c r="L1211" s="2"/>
      <x:c r="M1211" s="2"/>
      <x:c r="N1211" s="2"/>
      <x:c r="O1211" s="2"/>
      <x:c r="P1211" s="2"/>
      <x:c r="Q1211" s="2"/>
      <x:c r="R1211" s="2"/>
    </x:row>
    <x:row r="1212" ht="22" customHeight="1">
      <x:c r="A1212" s="2" t="n">
        <x:v>101206</x:v>
      </x:c>
      <x:c r="B1212" s="10" t="n">
        <x:v>45353</x:v>
      </x:c>
      <x:c r="C1212" s="2" t="str">
        <x:v>Argentina</x:v>
      </x:c>
      <x:c r="D1212" s="2" t="str">
        <x:v>Acessórios</x:v>
      </x:c>
      <x:c r="E1212" s="11" t="n">
        <x:v>47</x:v>
      </x:c>
      <x:c r="F1212" s="12" t="n">
        <x:v>68.39</x:v>
      </x:c>
      <x:c r="G1212" s="12" t="n">
        <x:v>3214.33</x:v>
      </x:c>
      <x:c r="H1212" s="13" t="n">
        <x:v>116</x:v>
      </x:c>
      <x:c r="I1212" s="13" t="n">
        <x:f>YEAR(B1212)</x:f>
        <x:v>2024</x:v>
      </x:c>
      <x:c r="J1212" s="13" t="n">
        <x:f>MONTH(B1212)</x:f>
        <x:v>3</x:v>
      </x:c>
      <x:c r="K1212" s="14" t="n">
        <x:f>ROUND(E1212*F1212-G1212,10)</x:f>
        <x:v>0</x:v>
      </x:c>
      <x:c r="L1212" s="2"/>
      <x:c r="M1212" s="2"/>
      <x:c r="N1212" s="2"/>
      <x:c r="O1212" s="2"/>
      <x:c r="P1212" s="2"/>
      <x:c r="Q1212" s="2"/>
      <x:c r="R1212" s="2"/>
    </x:row>
    <x:row r="1213" ht="22" customHeight="1">
      <x:c r="A1213" s="2" t="n">
        <x:v>101207</x:v>
      </x:c>
      <x:c r="B1213" s="10" t="n">
        <x:v>45044</x:v>
      </x:c>
      <x:c r="C1213" s="2" t="str">
        <x:v>Brasil</x:v>
      </x:c>
      <x:c r="D1213" s="2" t="str">
        <x:v>Calçados</x:v>
      </x:c>
      <x:c r="E1213" s="11" t="n">
        <x:v>28</x:v>
      </x:c>
      <x:c r="F1213" s="12" t="n">
        <x:v>199.64</x:v>
      </x:c>
      <x:c r="G1213" s="12" t="n">
        <x:v>5589.92</x:v>
      </x:c>
      <x:c r="H1213" s="13" t="n">
        <x:v>277</x:v>
      </x:c>
      <x:c r="I1213" s="13" t="n">
        <x:f>YEAR(B1213)</x:f>
        <x:v>2023</x:v>
      </x:c>
      <x:c r="J1213" s="13" t="n">
        <x:f>MONTH(B1213)</x:f>
        <x:v>4</x:v>
      </x:c>
      <x:c r="K1213" s="14" t="n">
        <x:f>ROUND(E1213*F1213-G1213,10)</x:f>
        <x:v>0</x:v>
      </x:c>
      <x:c r="L1213" s="2"/>
      <x:c r="M1213" s="2"/>
      <x:c r="N1213" s="2"/>
      <x:c r="O1213" s="2"/>
      <x:c r="P1213" s="2"/>
      <x:c r="Q1213" s="2"/>
      <x:c r="R1213" s="2"/>
    </x:row>
    <x:row r="1214" ht="22" customHeight="1">
      <x:c r="A1214" s="2" t="n">
        <x:v>101208</x:v>
      </x:c>
      <x:c r="B1214" s="10" t="n">
        <x:v>45390</x:v>
      </x:c>
      <x:c r="C1214" s="2" t="str">
        <x:v>Colômbia</x:v>
      </x:c>
      <x:c r="D1214" s="2" t="str">
        <x:v>Calçados</x:v>
      </x:c>
      <x:c r="E1214" s="11" t="n">
        <x:v>42</x:v>
      </x:c>
      <x:c r="F1214" s="12" t="n">
        <x:v>174.47</x:v>
      </x:c>
      <x:c r="G1214" s="12" t="n">
        <x:v>7327.74</x:v>
      </x:c>
      <x:c r="H1214" s="13" t="n">
        <x:v>212</x:v>
      </x:c>
      <x:c r="I1214" s="13" t="n">
        <x:f>YEAR(B1214)</x:f>
        <x:v>2024</x:v>
      </x:c>
      <x:c r="J1214" s="13" t="n">
        <x:f>MONTH(B1214)</x:f>
        <x:v>4</x:v>
      </x:c>
      <x:c r="K1214" s="14" t="n">
        <x:f>ROUND(E1214*F1214-G1214,10)</x:f>
        <x:v>0</x:v>
      </x:c>
      <x:c r="L1214" s="2"/>
      <x:c r="M1214" s="2"/>
      <x:c r="N1214" s="2"/>
      <x:c r="O1214" s="2"/>
      <x:c r="P1214" s="2"/>
      <x:c r="Q1214" s="2"/>
      <x:c r="R1214" s="2"/>
    </x:row>
    <x:row r="1215" ht="22" customHeight="1">
      <x:c r="A1215" s="2" t="n">
        <x:v>101209</x:v>
      </x:c>
      <x:c r="B1215" s="10" t="n">
        <x:v>45543</x:v>
      </x:c>
      <x:c r="C1215" s="2" t="str">
        <x:v>Argentina</x:v>
      </x:c>
      <x:c r="D1215" s="2" t="str">
        <x:v>Moda Feminina</x:v>
      </x:c>
      <x:c r="E1215" s="11" t="n">
        <x:v>7</x:v>
      </x:c>
      <x:c r="F1215" s="12" t="n">
        <x:v>93.43</x:v>
      </x:c>
      <x:c r="G1215" s="12" t="n">
        <x:v>654.01</x:v>
      </x:c>
      <x:c r="H1215" s="13" t="n">
        <x:v>64</x:v>
      </x:c>
      <x:c r="I1215" s="13" t="n">
        <x:f>YEAR(B1215)</x:f>
        <x:v>2024</x:v>
      </x:c>
      <x:c r="J1215" s="13" t="n">
        <x:f>MONTH(B1215)</x:f>
        <x:v>9</x:v>
      </x:c>
      <x:c r="K1215" s="14" t="n">
        <x:f>ROUND(E1215*F1215-G1215,10)</x:f>
        <x:v>0</x:v>
      </x:c>
      <x:c r="L1215" s="2"/>
      <x:c r="M1215" s="2"/>
      <x:c r="N1215" s="2"/>
      <x:c r="O1215" s="2"/>
      <x:c r="P1215" s="2"/>
      <x:c r="Q1215" s="2"/>
      <x:c r="R1215" s="2"/>
    </x:row>
    <x:row r="1216" ht="22" customHeight="1">
      <x:c r="A1216" s="2" t="n">
        <x:v>101210</x:v>
      </x:c>
      <x:c r="B1216" s="10" t="n">
        <x:v>45097</x:v>
      </x:c>
      <x:c r="C1216" s="2" t="str">
        <x:v>Brasil</x:v>
      </x:c>
      <x:c r="D1216" s="2" t="str">
        <x:v>Moda Feminina</x:v>
      </x:c>
      <x:c r="E1216" s="11" t="n">
        <x:v>2</x:v>
      </x:c>
      <x:c r="F1216" s="12" t="n">
        <x:v>196.45</x:v>
      </x:c>
      <x:c r="G1216" s="12" t="n">
        <x:v>392.9</x:v>
      </x:c>
      <x:c r="H1216" s="13" t="n">
        <x:v>281</x:v>
      </x:c>
      <x:c r="I1216" s="13" t="n">
        <x:f>YEAR(B1216)</x:f>
        <x:v>2023</x:v>
      </x:c>
      <x:c r="J1216" s="13" t="n">
        <x:f>MONTH(B1216)</x:f>
        <x:v>6</x:v>
      </x:c>
      <x:c r="K1216" s="14" t="n">
        <x:f>ROUND(E1216*F1216-G1216,10)</x:f>
        <x:v>0</x:v>
      </x:c>
      <x:c r="L1216" s="2"/>
      <x:c r="M1216" s="2"/>
      <x:c r="N1216" s="2"/>
      <x:c r="O1216" s="2"/>
      <x:c r="P1216" s="2"/>
      <x:c r="Q1216" s="2"/>
      <x:c r="R1216" s="2"/>
    </x:row>
    <x:row r="1217" ht="22" customHeight="1">
      <x:c r="A1217" s="2" t="n">
        <x:v>101211</x:v>
      </x:c>
      <x:c r="B1217" s="10" t="n">
        <x:v>45163</x:v>
      </x:c>
      <x:c r="C1217" s="2" t="str">
        <x:v>Peru</x:v>
      </x:c>
      <x:c r="D1217" s="2" t="str">
        <x:v>Calçados</x:v>
      </x:c>
      <x:c r="E1217" s="11" t="n">
        <x:v>42</x:v>
      </x:c>
      <x:c r="F1217" s="12" t="n">
        <x:v>137.02</x:v>
      </x:c>
      <x:c r="G1217" s="12" t="n">
        <x:v>5754.84</x:v>
      </x:c>
      <x:c r="H1217" s="13" t="n">
        <x:v>244</x:v>
      </x:c>
      <x:c r="I1217" s="13" t="n">
        <x:f>YEAR(B1217)</x:f>
        <x:v>2023</x:v>
      </x:c>
      <x:c r="J1217" s="13" t="n">
        <x:f>MONTH(B1217)</x:f>
        <x:v>8</x:v>
      </x:c>
      <x:c r="K1217" s="14" t="n">
        <x:f>ROUND(E1217*F1217-G1217,10)</x:f>
        <x:v>0</x:v>
      </x:c>
      <x:c r="L1217" s="2"/>
      <x:c r="M1217" s="2"/>
      <x:c r="N1217" s="2"/>
      <x:c r="O1217" s="2"/>
      <x:c r="P1217" s="2"/>
      <x:c r="Q1217" s="2"/>
      <x:c r="R1217" s="2"/>
    </x:row>
    <x:row r="1218" ht="22" customHeight="1">
      <x:c r="A1218" s="2" t="n">
        <x:v>101212</x:v>
      </x:c>
      <x:c r="B1218" s="10" t="n">
        <x:v>45487</x:v>
      </x:c>
      <x:c r="C1218" s="2" t="str">
        <x:v>Chile</x:v>
      </x:c>
      <x:c r="D1218" s="2" t="str">
        <x:v>Moda Masculina</x:v>
      </x:c>
      <x:c r="E1218" s="11" t="n">
        <x:v>24</x:v>
      </x:c>
      <x:c r="F1218" s="12" t="n">
        <x:v>153.56</x:v>
      </x:c>
      <x:c r="G1218" s="12" t="n">
        <x:v>3685.44</x:v>
      </x:c>
      <x:c r="H1218" s="13" t="n">
        <x:v>398</x:v>
      </x:c>
      <x:c r="I1218" s="13" t="n">
        <x:f>YEAR(B1218)</x:f>
        <x:v>2024</x:v>
      </x:c>
      <x:c r="J1218" s="13" t="n">
        <x:f>MONTH(B1218)</x:f>
        <x:v>7</x:v>
      </x:c>
      <x:c r="K1218" s="14" t="n">
        <x:f>ROUND(E1218*F1218-G1218,10)</x:f>
        <x:v>0</x:v>
      </x:c>
      <x:c r="L1218" s="2"/>
      <x:c r="M1218" s="2"/>
      <x:c r="N1218" s="2"/>
      <x:c r="O1218" s="2"/>
      <x:c r="P1218" s="2"/>
      <x:c r="Q1218" s="2"/>
      <x:c r="R1218" s="2"/>
    </x:row>
    <x:row r="1219" ht="22" customHeight="1">
      <x:c r="A1219" s="2" t="n">
        <x:v>101213</x:v>
      </x:c>
      <x:c r="B1219" s="10" t="n">
        <x:v>45419</x:v>
      </x:c>
      <x:c r="C1219" s="2" t="str">
        <x:v>México</x:v>
      </x:c>
      <x:c r="D1219" s="2" t="str">
        <x:v>Calçados</x:v>
      </x:c>
      <x:c r="E1219" s="11" t="n">
        <x:v>4</x:v>
      </x:c>
      <x:c r="F1219" s="12" t="n">
        <x:v>25.67</x:v>
      </x:c>
      <x:c r="G1219" s="12" t="n">
        <x:v>102.68</x:v>
      </x:c>
      <x:c r="H1219" s="13" t="n">
        <x:v>79</x:v>
      </x:c>
      <x:c r="I1219" s="13" t="n">
        <x:f>YEAR(B1219)</x:f>
        <x:v>2024</x:v>
      </x:c>
      <x:c r="J1219" s="13" t="n">
        <x:f>MONTH(B1219)</x:f>
        <x:v>5</x:v>
      </x:c>
      <x:c r="K1219" s="14" t="n">
        <x:f>ROUND(E1219*F1219-G1219,10)</x:f>
        <x:v>0</x:v>
      </x:c>
      <x:c r="L1219" s="2"/>
      <x:c r="M1219" s="2"/>
      <x:c r="N1219" s="2"/>
      <x:c r="O1219" s="2"/>
      <x:c r="P1219" s="2"/>
      <x:c r="Q1219" s="2"/>
      <x:c r="R1219" s="2"/>
    </x:row>
    <x:row r="1220" ht="22" customHeight="1">
      <x:c r="A1220" s="2" t="n">
        <x:v>101214</x:v>
      </x:c>
      <x:c r="B1220" s="10" t="n">
        <x:v>45332</x:v>
      </x:c>
      <x:c r="C1220" s="2" t="str">
        <x:v>Peru</x:v>
      </x:c>
      <x:c r="D1220" s="2" t="str">
        <x:v>Calçados</x:v>
      </x:c>
      <x:c r="E1220" s="11" t="n">
        <x:v>44</x:v>
      </x:c>
      <x:c r="F1220" s="12" t="n">
        <x:v>41.89</x:v>
      </x:c>
      <x:c r="G1220" s="12" t="n">
        <x:v>1843.16</x:v>
      </x:c>
      <x:c r="H1220" s="13" t="n">
        <x:v>408</x:v>
      </x:c>
      <x:c r="I1220" s="13" t="n">
        <x:f>YEAR(B1220)</x:f>
        <x:v>2024</x:v>
      </x:c>
      <x:c r="J1220" s="13" t="n">
        <x:f>MONTH(B1220)</x:f>
        <x:v>2</x:v>
      </x:c>
      <x:c r="K1220" s="14" t="n">
        <x:f>ROUND(E1220*F1220-G1220,10)</x:f>
        <x:v>0</x:v>
      </x:c>
      <x:c r="L1220" s="2"/>
      <x:c r="M1220" s="2"/>
      <x:c r="N1220" s="2"/>
      <x:c r="O1220" s="2"/>
      <x:c r="P1220" s="2"/>
      <x:c r="Q1220" s="2"/>
      <x:c r="R1220" s="2"/>
    </x:row>
    <x:row r="1221" ht="22" customHeight="1">
      <x:c r="A1221" s="2" t="n">
        <x:v>101215</x:v>
      </x:c>
      <x:c r="B1221" s="10" t="n">
        <x:v>45214</x:v>
      </x:c>
      <x:c r="C1221" s="2" t="str">
        <x:v>Brasil</x:v>
      </x:c>
      <x:c r="D1221" s="2" t="str">
        <x:v>Moda Infantil</x:v>
      </x:c>
      <x:c r="E1221" s="11" t="n">
        <x:v>19</x:v>
      </x:c>
      <x:c r="F1221" s="12" t="n">
        <x:v>133.96</x:v>
      </x:c>
      <x:c r="G1221" s="12" t="n">
        <x:v>2545.24</x:v>
      </x:c>
      <x:c r="H1221" s="13" t="n">
        <x:v>387</x:v>
      </x:c>
      <x:c r="I1221" s="13" t="n">
        <x:f>YEAR(B1221)</x:f>
        <x:v>2023</x:v>
      </x:c>
      <x:c r="J1221" s="13" t="n">
        <x:f>MONTH(B1221)</x:f>
        <x:v>10</x:v>
      </x:c>
      <x:c r="K1221" s="14" t="n">
        <x:f>ROUND(E1221*F1221-G1221,10)</x:f>
        <x:v>0</x:v>
      </x:c>
      <x:c r="L1221" s="2"/>
      <x:c r="M1221" s="2"/>
      <x:c r="N1221" s="2"/>
      <x:c r="O1221" s="2"/>
      <x:c r="P1221" s="2"/>
      <x:c r="Q1221" s="2"/>
      <x:c r="R1221" s="2"/>
    </x:row>
    <x:row r="1222" ht="22" customHeight="1">
      <x:c r="A1222" s="2" t="n">
        <x:v>101216</x:v>
      </x:c>
      <x:c r="B1222" s="10" t="n">
        <x:v>45257</x:v>
      </x:c>
      <x:c r="C1222" s="2" t="str">
        <x:v>Peru</x:v>
      </x:c>
      <x:c r="D1222" s="2" t="str">
        <x:v>Moda Infantil</x:v>
      </x:c>
      <x:c r="E1222" s="11" t="n">
        <x:v>26</x:v>
      </x:c>
      <x:c r="F1222" s="12" t="n">
        <x:v>181.82</x:v>
      </x:c>
      <x:c r="G1222" s="12" t="n">
        <x:v>4727.32</x:v>
      </x:c>
      <x:c r="H1222" s="13" t="n">
        <x:v>380</x:v>
      </x:c>
      <x:c r="I1222" s="13" t="n">
        <x:f>YEAR(B1222)</x:f>
        <x:v>2023</x:v>
      </x:c>
      <x:c r="J1222" s="13" t="n">
        <x:f>MONTH(B1222)</x:f>
        <x:v>11</x:v>
      </x:c>
      <x:c r="K1222" s="14" t="n">
        <x:f>ROUND(E1222*F1222-G1222,10)</x:f>
        <x:v>0</x:v>
      </x:c>
      <x:c r="L1222" s="2"/>
      <x:c r="M1222" s="2"/>
      <x:c r="N1222" s="2"/>
      <x:c r="O1222" s="2"/>
      <x:c r="P1222" s="2"/>
      <x:c r="Q1222" s="2"/>
      <x:c r="R1222" s="2"/>
    </x:row>
    <x:row r="1223" ht="22" customHeight="1">
      <x:c r="A1223" s="2" t="n">
        <x:v>101217</x:v>
      </x:c>
      <x:c r="B1223" s="10" t="n">
        <x:v>45247</x:v>
      </x:c>
      <x:c r="C1223" s="2" t="str">
        <x:v>Chile</x:v>
      </x:c>
      <x:c r="D1223" s="2" t="str">
        <x:v>Moda Infantil</x:v>
      </x:c>
      <x:c r="E1223" s="11" t="n">
        <x:v>11</x:v>
      </x:c>
      <x:c r="F1223" s="12" t="n">
        <x:v>132.27</x:v>
      </x:c>
      <x:c r="G1223" s="12" t="n">
        <x:v>1454.97</x:v>
      </x:c>
      <x:c r="H1223" s="13" t="n">
        <x:v>476</x:v>
      </x:c>
      <x:c r="I1223" s="13" t="n">
        <x:f>YEAR(B1223)</x:f>
        <x:v>2023</x:v>
      </x:c>
      <x:c r="J1223" s="13" t="n">
        <x:f>MONTH(B1223)</x:f>
        <x:v>11</x:v>
      </x:c>
      <x:c r="K1223" s="14" t="n">
        <x:f>ROUND(E1223*F1223-G1223,10)</x:f>
        <x:v>0</x:v>
      </x:c>
      <x:c r="L1223" s="2"/>
      <x:c r="M1223" s="2"/>
      <x:c r="N1223" s="2"/>
      <x:c r="O1223" s="2"/>
      <x:c r="P1223" s="2"/>
      <x:c r="Q1223" s="2"/>
      <x:c r="R1223" s="2"/>
    </x:row>
    <x:row r="1224" ht="22" customHeight="1">
      <x:c r="A1224" s="2" t="n">
        <x:v>101218</x:v>
      </x:c>
      <x:c r="B1224" s="10" t="n">
        <x:v>45585</x:v>
      </x:c>
      <x:c r="C1224" s="2" t="str">
        <x:v>Brasil</x:v>
      </x:c>
      <x:c r="D1224" s="2" t="str">
        <x:v>Moda Masculina</x:v>
      </x:c>
      <x:c r="E1224" s="11" t="n">
        <x:v>40</x:v>
      </x:c>
      <x:c r="F1224" s="12" t="n">
        <x:v>44.12</x:v>
      </x:c>
      <x:c r="G1224" s="12" t="n">
        <x:v>1764.8</x:v>
      </x:c>
      <x:c r="H1224" s="13" t="n">
        <x:v>365</x:v>
      </x:c>
      <x:c r="I1224" s="13" t="n">
        <x:f>YEAR(B1224)</x:f>
        <x:v>2024</x:v>
      </x:c>
      <x:c r="J1224" s="13" t="n">
        <x:f>MONTH(B1224)</x:f>
        <x:v>10</x:v>
      </x:c>
      <x:c r="K1224" s="14" t="n">
        <x:f>ROUND(E1224*F1224-G1224,10)</x:f>
        <x:v>0</x:v>
      </x:c>
      <x:c r="L1224" s="2"/>
      <x:c r="M1224" s="2"/>
      <x:c r="N1224" s="2"/>
      <x:c r="O1224" s="2"/>
      <x:c r="P1224" s="2"/>
      <x:c r="Q1224" s="2"/>
      <x:c r="R1224" s="2"/>
    </x:row>
    <x:row r="1225" ht="22" customHeight="1">
      <x:c r="A1225" s="2" t="n">
        <x:v>101219</x:v>
      </x:c>
      <x:c r="B1225" s="10" t="n">
        <x:v>45333</x:v>
      </x:c>
      <x:c r="C1225" s="2" t="str">
        <x:v>Peru</x:v>
      </x:c>
      <x:c r="D1225" s="2" t="str">
        <x:v>Moda Masculina</x:v>
      </x:c>
      <x:c r="E1225" s="11" t="n">
        <x:v>43</x:v>
      </x:c>
      <x:c r="F1225" s="12" t="n">
        <x:v>40.84</x:v>
      </x:c>
      <x:c r="G1225" s="12" t="n">
        <x:v>1756.12</x:v>
      </x:c>
      <x:c r="H1225" s="13" t="n">
        <x:v>345</x:v>
      </x:c>
      <x:c r="I1225" s="13" t="n">
        <x:f>YEAR(B1225)</x:f>
        <x:v>2024</x:v>
      </x:c>
      <x:c r="J1225" s="13" t="n">
        <x:f>MONTH(B1225)</x:f>
        <x:v>2</x:v>
      </x:c>
      <x:c r="K1225" s="14" t="n">
        <x:f>ROUND(E1225*F1225-G1225,10)</x:f>
        <x:v>0</x:v>
      </x:c>
      <x:c r="L1225" s="2"/>
      <x:c r="M1225" s="2"/>
      <x:c r="N1225" s="2"/>
      <x:c r="O1225" s="2"/>
      <x:c r="P1225" s="2"/>
      <x:c r="Q1225" s="2"/>
      <x:c r="R1225" s="2"/>
    </x:row>
    <x:row r="1226" ht="22" customHeight="1">
      <x:c r="A1226" s="2" t="n">
        <x:v>101220</x:v>
      </x:c>
      <x:c r="B1226" s="10" t="n">
        <x:v>45140</x:v>
      </x:c>
      <x:c r="C1226" s="2" t="str">
        <x:v>México</x:v>
      </x:c>
      <x:c r="D1226" s="2" t="str">
        <x:v>Calçados</x:v>
      </x:c>
      <x:c r="E1226" s="11" t="n">
        <x:v>11</x:v>
      </x:c>
      <x:c r="F1226" s="12" t="n">
        <x:v>171.95</x:v>
      </x:c>
      <x:c r="G1226" s="12" t="n">
        <x:v>1891.45</x:v>
      </x:c>
      <x:c r="H1226" s="13" t="n">
        <x:v>498</x:v>
      </x:c>
      <x:c r="I1226" s="13" t="n">
        <x:f>YEAR(B1226)</x:f>
        <x:v>2023</x:v>
      </x:c>
      <x:c r="J1226" s="13" t="n">
        <x:f>MONTH(B1226)</x:f>
        <x:v>8</x:v>
      </x:c>
      <x:c r="K1226" s="14" t="n">
        <x:f>ROUND(E1226*F1226-G1226,10)</x:f>
        <x:v>0</x:v>
      </x:c>
      <x:c r="L1226" s="2"/>
      <x:c r="M1226" s="2"/>
      <x:c r="N1226" s="2"/>
      <x:c r="O1226" s="2"/>
      <x:c r="P1226" s="2"/>
      <x:c r="Q1226" s="2"/>
      <x:c r="R1226" s="2"/>
    </x:row>
    <x:row r="1227" ht="22" customHeight="1">
      <x:c r="A1227" s="2" t="n">
        <x:v>101221</x:v>
      </x:c>
      <x:c r="B1227" s="10" t="n">
        <x:v>45507</x:v>
      </x:c>
      <x:c r="C1227" s="2" t="str">
        <x:v>México</x:v>
      </x:c>
      <x:c r="D1227" s="2" t="str">
        <x:v>Moda Infantil</x:v>
      </x:c>
      <x:c r="E1227" s="11" t="n">
        <x:v>45</x:v>
      </x:c>
      <x:c r="F1227" s="12" t="n">
        <x:v>45.07</x:v>
      </x:c>
      <x:c r="G1227" s="12" t="n">
        <x:v>2028.15</x:v>
      </x:c>
      <x:c r="H1227" s="13" t="n">
        <x:v>462</x:v>
      </x:c>
      <x:c r="I1227" s="13" t="n">
        <x:f>YEAR(B1227)</x:f>
        <x:v>2024</x:v>
      </x:c>
      <x:c r="J1227" s="13" t="n">
        <x:f>MONTH(B1227)</x:f>
        <x:v>8</x:v>
      </x:c>
      <x:c r="K1227" s="14" t="n">
        <x:f>ROUND(E1227*F1227-G1227,10)</x:f>
        <x:v>0</x:v>
      </x:c>
      <x:c r="L1227" s="2"/>
      <x:c r="M1227" s="2"/>
      <x:c r="N1227" s="2"/>
      <x:c r="O1227" s="2"/>
      <x:c r="P1227" s="2"/>
      <x:c r="Q1227" s="2"/>
      <x:c r="R1227" s="2"/>
    </x:row>
    <x:row r="1228" ht="22" customHeight="1">
      <x:c r="A1228" s="2" t="n">
        <x:v>101222</x:v>
      </x:c>
      <x:c r="B1228" s="10" t="n">
        <x:v>45135</x:v>
      </x:c>
      <x:c r="C1228" s="2" t="str">
        <x:v>Argentina</x:v>
      </x:c>
      <x:c r="D1228" s="2" t="str">
        <x:v>Moda Masculina</x:v>
      </x:c>
      <x:c r="E1228" s="11" t="n">
        <x:v>3</x:v>
      </x:c>
      <x:c r="F1228" s="12" t="n">
        <x:v>113.64</x:v>
      </x:c>
      <x:c r="G1228" s="12" t="n">
        <x:v>340.92</x:v>
      </x:c>
      <x:c r="H1228" s="13" t="n">
        <x:v>379</x:v>
      </x:c>
      <x:c r="I1228" s="13" t="n">
        <x:f>YEAR(B1228)</x:f>
        <x:v>2023</x:v>
      </x:c>
      <x:c r="J1228" s="13" t="n">
        <x:f>MONTH(B1228)</x:f>
        <x:v>7</x:v>
      </x:c>
      <x:c r="K1228" s="14" t="n">
        <x:f>ROUND(E1228*F1228-G1228,10)</x:f>
        <x:v>0</x:v>
      </x:c>
      <x:c r="L1228" s="2"/>
      <x:c r="M1228" s="2"/>
      <x:c r="N1228" s="2"/>
      <x:c r="O1228" s="2"/>
      <x:c r="P1228" s="2"/>
      <x:c r="Q1228" s="2"/>
      <x:c r="R1228" s="2"/>
    </x:row>
    <x:row r="1229" ht="22" customHeight="1">
      <x:c r="A1229" s="2" t="n">
        <x:v>101223</x:v>
      </x:c>
      <x:c r="B1229" s="10" t="n">
        <x:v>45222</x:v>
      </x:c>
      <x:c r="C1229" s="2" t="str">
        <x:v>Peru</x:v>
      </x:c>
      <x:c r="D1229" s="2" t="str">
        <x:v>Moda Feminina</x:v>
      </x:c>
      <x:c r="E1229" s="11" t="n">
        <x:v>12</x:v>
      </x:c>
      <x:c r="F1229" s="12" t="n">
        <x:v>26.68</x:v>
      </x:c>
      <x:c r="G1229" s="12" t="n">
        <x:v>320.16</x:v>
      </x:c>
      <x:c r="H1229" s="13" t="n">
        <x:v>269</x:v>
      </x:c>
      <x:c r="I1229" s="13" t="n">
        <x:f>YEAR(B1229)</x:f>
        <x:v>2023</x:v>
      </x:c>
      <x:c r="J1229" s="13" t="n">
        <x:f>MONTH(B1229)</x:f>
        <x:v>10</x:v>
      </x:c>
      <x:c r="K1229" s="14" t="n">
        <x:f>ROUND(E1229*F1229-G1229,10)</x:f>
        <x:v>0</x:v>
      </x:c>
      <x:c r="L1229" s="2"/>
      <x:c r="M1229" s="2"/>
      <x:c r="N1229" s="2"/>
      <x:c r="O1229" s="2"/>
      <x:c r="P1229" s="2"/>
      <x:c r="Q1229" s="2"/>
      <x:c r="R1229" s="2"/>
    </x:row>
    <x:row r="1230" ht="22" customHeight="1">
      <x:c r="A1230" s="2" t="n">
        <x:v>101224</x:v>
      </x:c>
      <x:c r="B1230" s="10" t="n">
        <x:v>45550</x:v>
      </x:c>
      <x:c r="C1230" s="2" t="str">
        <x:v>Colômbia</x:v>
      </x:c>
      <x:c r="D1230" s="2" t="str">
        <x:v>Calçados</x:v>
      </x:c>
      <x:c r="E1230" s="11" t="n">
        <x:v>3</x:v>
      </x:c>
      <x:c r="F1230" s="12" t="n">
        <x:v>34.52</x:v>
      </x:c>
      <x:c r="G1230" s="12" t="n">
        <x:v>103.56</x:v>
      </x:c>
      <x:c r="H1230" s="13" t="n">
        <x:v>426</x:v>
      </x:c>
      <x:c r="I1230" s="13" t="n">
        <x:f>YEAR(B1230)</x:f>
        <x:v>2024</x:v>
      </x:c>
      <x:c r="J1230" s="13" t="n">
        <x:f>MONTH(B1230)</x:f>
        <x:v>9</x:v>
      </x:c>
      <x:c r="K1230" s="14" t="n">
        <x:f>ROUND(E1230*F1230-G1230,10)</x:f>
        <x:v>0</x:v>
      </x:c>
      <x:c r="L1230" s="2"/>
      <x:c r="M1230" s="2"/>
      <x:c r="N1230" s="2"/>
      <x:c r="O1230" s="2"/>
      <x:c r="P1230" s="2"/>
      <x:c r="Q1230" s="2"/>
      <x:c r="R1230" s="2"/>
    </x:row>
    <x:row r="1231" ht="22" customHeight="1">
      <x:c r="A1231" s="2" t="n">
        <x:v>101225</x:v>
      </x:c>
      <x:c r="B1231" s="10" t="n">
        <x:v>45117</x:v>
      </x:c>
      <x:c r="C1231" s="2" t="str">
        <x:v>Peru</x:v>
      </x:c>
      <x:c r="D1231" s="2" t="str">
        <x:v>Acessórios</x:v>
      </x:c>
      <x:c r="E1231" s="11" t="n">
        <x:v>42</x:v>
      </x:c>
      <x:c r="F1231" s="12" t="n">
        <x:v>141.02</x:v>
      </x:c>
      <x:c r="G1231" s="12" t="n">
        <x:v>5922.84</x:v>
      </x:c>
      <x:c r="H1231" s="13" t="n">
        <x:v>196</x:v>
      </x:c>
      <x:c r="I1231" s="13" t="n">
        <x:f>YEAR(B1231)</x:f>
        <x:v>2023</x:v>
      </x:c>
      <x:c r="J1231" s="13" t="n">
        <x:f>MONTH(B1231)</x:f>
        <x:v>7</x:v>
      </x:c>
      <x:c r="K1231" s="14" t="n">
        <x:f>ROUND(E1231*F1231-G1231,10)</x:f>
        <x:v>0</x:v>
      </x:c>
      <x:c r="L1231" s="2"/>
      <x:c r="M1231" s="2"/>
      <x:c r="N1231" s="2"/>
      <x:c r="O1231" s="2"/>
      <x:c r="P1231" s="2"/>
      <x:c r="Q1231" s="2"/>
      <x:c r="R1231" s="2"/>
    </x:row>
    <x:row r="1232" ht="22" customHeight="1">
      <x:c r="A1232" s="2" t="n">
        <x:v>101226</x:v>
      </x:c>
      <x:c r="B1232" s="10" t="n">
        <x:v>45395</x:v>
      </x:c>
      <x:c r="C1232" s="2" t="str">
        <x:v>Brasil</x:v>
      </x:c>
      <x:c r="D1232" s="2" t="str">
        <x:v>Calçados</x:v>
      </x:c>
      <x:c r="E1232" s="11" t="n">
        <x:v>27</x:v>
      </x:c>
      <x:c r="F1232" s="12" t="n">
        <x:v>144.05</x:v>
      </x:c>
      <x:c r="G1232" s="12" t="n">
        <x:v>3889.35</x:v>
      </x:c>
      <x:c r="H1232" s="13" t="n">
        <x:v>308</x:v>
      </x:c>
      <x:c r="I1232" s="13" t="n">
        <x:f>YEAR(B1232)</x:f>
        <x:v>2024</x:v>
      </x:c>
      <x:c r="J1232" s="13" t="n">
        <x:f>MONTH(B1232)</x:f>
        <x:v>4</x:v>
      </x:c>
      <x:c r="K1232" s="14" t="n">
        <x:f>ROUND(E1232*F1232-G1232,10)</x:f>
        <x:v>0</x:v>
      </x:c>
      <x:c r="L1232" s="2"/>
      <x:c r="M1232" s="2"/>
      <x:c r="N1232" s="2"/>
      <x:c r="O1232" s="2"/>
      <x:c r="P1232" s="2"/>
      <x:c r="Q1232" s="2"/>
      <x:c r="R1232" s="2"/>
    </x:row>
    <x:row r="1233" ht="22" customHeight="1">
      <x:c r="A1233" s="2" t="n">
        <x:v>101227</x:v>
      </x:c>
      <x:c r="B1233" s="10" t="n">
        <x:v>44953</x:v>
      </x:c>
      <x:c r="C1233" s="2" t="str">
        <x:v>Brasil</x:v>
      </x:c>
      <x:c r="D1233" s="2" t="str">
        <x:v>Acessórios</x:v>
      </x:c>
      <x:c r="E1233" s="11" t="n">
        <x:v>49</x:v>
      </x:c>
      <x:c r="F1233" s="12" t="n">
        <x:v>81.46</x:v>
      </x:c>
      <x:c r="G1233" s="12" t="n">
        <x:v>3991.54</x:v>
      </x:c>
      <x:c r="H1233" s="13" t="n">
        <x:v>341</x:v>
      </x:c>
      <x:c r="I1233" s="13" t="n">
        <x:f>YEAR(B1233)</x:f>
        <x:v>2023</x:v>
      </x:c>
      <x:c r="J1233" s="13" t="n">
        <x:f>MONTH(B1233)</x:f>
        <x:v>1</x:v>
      </x:c>
      <x:c r="K1233" s="14" t="n">
        <x:f>ROUND(E1233*F1233-G1233,10)</x:f>
        <x:v>0</x:v>
      </x:c>
      <x:c r="L1233" s="2"/>
      <x:c r="M1233" s="2"/>
      <x:c r="N1233" s="2"/>
      <x:c r="O1233" s="2"/>
      <x:c r="P1233" s="2"/>
      <x:c r="Q1233" s="2"/>
      <x:c r="R1233" s="2"/>
    </x:row>
    <x:row r="1234" ht="22" customHeight="1">
      <x:c r="A1234" s="2" t="n">
        <x:v>101228</x:v>
      </x:c>
      <x:c r="B1234" s="10" t="n">
        <x:v>45530</x:v>
      </x:c>
      <x:c r="C1234" s="2" t="str">
        <x:v>Peru</x:v>
      </x:c>
      <x:c r="D1234" s="2" t="str">
        <x:v>Moda Infantil</x:v>
      </x:c>
      <x:c r="E1234" s="11" t="n">
        <x:v>2</x:v>
      </x:c>
      <x:c r="F1234" s="12" t="n">
        <x:v>58.81</x:v>
      </x:c>
      <x:c r="G1234" s="12" t="n">
        <x:v>117.62</x:v>
      </x:c>
      <x:c r="H1234" s="13" t="n">
        <x:v>348</x:v>
      </x:c>
      <x:c r="I1234" s="13" t="n">
        <x:f>YEAR(B1234)</x:f>
        <x:v>2024</x:v>
      </x:c>
      <x:c r="J1234" s="13" t="n">
        <x:f>MONTH(B1234)</x:f>
        <x:v>8</x:v>
      </x:c>
      <x:c r="K1234" s="14" t="n">
        <x:f>ROUND(E1234*F1234-G1234,10)</x:f>
        <x:v>0</x:v>
      </x:c>
      <x:c r="L1234" s="2"/>
      <x:c r="M1234" s="2"/>
      <x:c r="N1234" s="2"/>
      <x:c r="O1234" s="2"/>
      <x:c r="P1234" s="2"/>
      <x:c r="Q1234" s="2"/>
      <x:c r="R1234" s="2"/>
    </x:row>
    <x:row r="1235" ht="22" customHeight="1">
      <x:c r="A1235" s="2" t="n">
        <x:v>101229</x:v>
      </x:c>
      <x:c r="B1235" s="10" t="n">
        <x:v>44963</x:v>
      </x:c>
      <x:c r="C1235" s="2" t="str">
        <x:v>Chile</x:v>
      </x:c>
      <x:c r="D1235" s="2" t="str">
        <x:v>Acessórios</x:v>
      </x:c>
      <x:c r="E1235" s="11" t="n">
        <x:v>49</x:v>
      </x:c>
      <x:c r="F1235" s="12" t="n">
        <x:v>166.47</x:v>
      </x:c>
      <x:c r="G1235" s="12" t="n">
        <x:v>8157.03</x:v>
      </x:c>
      <x:c r="H1235" s="13" t="n">
        <x:v>192</x:v>
      </x:c>
      <x:c r="I1235" s="13" t="n">
        <x:f>YEAR(B1235)</x:f>
        <x:v>2023</x:v>
      </x:c>
      <x:c r="J1235" s="13" t="n">
        <x:f>MONTH(B1235)</x:f>
        <x:v>2</x:v>
      </x:c>
      <x:c r="K1235" s="14" t="n">
        <x:f>ROUND(E1235*F1235-G1235,10)</x:f>
        <x:v>0</x:v>
      </x:c>
      <x:c r="L1235" s="2"/>
      <x:c r="M1235" s="2"/>
      <x:c r="N1235" s="2"/>
      <x:c r="O1235" s="2"/>
      <x:c r="P1235" s="2"/>
      <x:c r="Q1235" s="2"/>
      <x:c r="R1235" s="2"/>
    </x:row>
    <x:row r="1236" ht="22" customHeight="1">
      <x:c r="A1236" s="2" t="n">
        <x:v>101230</x:v>
      </x:c>
      <x:c r="B1236" s="10" t="n">
        <x:v>45211</x:v>
      </x:c>
      <x:c r="C1236" s="2" t="str">
        <x:v>México</x:v>
      </x:c>
      <x:c r="D1236" s="2" t="str">
        <x:v>Moda Infantil</x:v>
      </x:c>
      <x:c r="E1236" s="11" t="n">
        <x:v>16</x:v>
      </x:c>
      <x:c r="F1236" s="12" t="n">
        <x:v>59.08</x:v>
      </x:c>
      <x:c r="G1236" s="12" t="n">
        <x:v>945.28</x:v>
      </x:c>
      <x:c r="H1236" s="13" t="n">
        <x:v>474</x:v>
      </x:c>
      <x:c r="I1236" s="13" t="n">
        <x:f>YEAR(B1236)</x:f>
        <x:v>2023</x:v>
      </x:c>
      <x:c r="J1236" s="13" t="n">
        <x:f>MONTH(B1236)</x:f>
        <x:v>10</x:v>
      </x:c>
      <x:c r="K1236" s="14" t="n">
        <x:f>ROUND(E1236*F1236-G1236,10)</x:f>
        <x:v>0</x:v>
      </x:c>
      <x:c r="L1236" s="2"/>
      <x:c r="M1236" s="2"/>
      <x:c r="N1236" s="2"/>
      <x:c r="O1236" s="2"/>
      <x:c r="P1236" s="2"/>
      <x:c r="Q1236" s="2"/>
      <x:c r="R1236" s="2"/>
    </x:row>
    <x:row r="1237" ht="22" customHeight="1">
      <x:c r="A1237" s="2" t="n">
        <x:v>101231</x:v>
      </x:c>
      <x:c r="B1237" s="10" t="n">
        <x:v>45060</x:v>
      </x:c>
      <x:c r="C1237" s="2" t="str">
        <x:v>Brasil</x:v>
      </x:c>
      <x:c r="D1237" s="2" t="str">
        <x:v>Moda Feminina</x:v>
      </x:c>
      <x:c r="E1237" s="11" t="n">
        <x:v>2</x:v>
      </x:c>
      <x:c r="F1237" s="12" t="n">
        <x:v>117.56</x:v>
      </x:c>
      <x:c r="G1237" s="12" t="n">
        <x:v>235.12</x:v>
      </x:c>
      <x:c r="H1237" s="13" t="n">
        <x:v>284</x:v>
      </x:c>
      <x:c r="I1237" s="13" t="n">
        <x:f>YEAR(B1237)</x:f>
        <x:v>2023</x:v>
      </x:c>
      <x:c r="J1237" s="13" t="n">
        <x:f>MONTH(B1237)</x:f>
        <x:v>5</x:v>
      </x:c>
      <x:c r="K1237" s="14" t="n">
        <x:f>ROUND(E1237*F1237-G1237,10)</x:f>
        <x:v>0</x:v>
      </x:c>
      <x:c r="L1237" s="2"/>
      <x:c r="M1237" s="2"/>
      <x:c r="N1237" s="2"/>
      <x:c r="O1237" s="2"/>
      <x:c r="P1237" s="2"/>
      <x:c r="Q1237" s="2"/>
      <x:c r="R1237" s="2"/>
    </x:row>
    <x:row r="1238" ht="22" customHeight="1">
      <x:c r="A1238" s="2" t="n">
        <x:v>101232</x:v>
      </x:c>
      <x:c r="B1238" s="10" t="n">
        <x:v>45094</x:v>
      </x:c>
      <x:c r="C1238" s="2" t="str">
        <x:v>México</x:v>
      </x:c>
      <x:c r="D1238" s="2" t="str">
        <x:v>Acessórios</x:v>
      </x:c>
      <x:c r="E1238" s="11" t="n">
        <x:v>30</x:v>
      </x:c>
      <x:c r="F1238" s="12" t="n">
        <x:v>194.28</x:v>
      </x:c>
      <x:c r="G1238" s="12" t="n">
        <x:v>5828.4</x:v>
      </x:c>
      <x:c r="H1238" s="13" t="n">
        <x:v>164</x:v>
      </x:c>
      <x:c r="I1238" s="13" t="n">
        <x:f>YEAR(B1238)</x:f>
        <x:v>2023</x:v>
      </x:c>
      <x:c r="J1238" s="13" t="n">
        <x:f>MONTH(B1238)</x:f>
        <x:v>6</x:v>
      </x:c>
      <x:c r="K1238" s="14" t="n">
        <x:f>ROUND(E1238*F1238-G1238,10)</x:f>
        <x:v>0</x:v>
      </x:c>
      <x:c r="L1238" s="2"/>
      <x:c r="M1238" s="2"/>
      <x:c r="N1238" s="2"/>
      <x:c r="O1238" s="2"/>
      <x:c r="P1238" s="2"/>
      <x:c r="Q1238" s="2"/>
      <x:c r="R1238" s="2"/>
    </x:row>
    <x:row r="1239" ht="22" customHeight="1">
      <x:c r="A1239" s="2" t="n">
        <x:v>101233</x:v>
      </x:c>
      <x:c r="B1239" s="10" t="n">
        <x:v>45218</x:v>
      </x:c>
      <x:c r="C1239" s="2" t="str">
        <x:v>Brasil</x:v>
      </x:c>
      <x:c r="D1239" s="2" t="str">
        <x:v>Calçados</x:v>
      </x:c>
      <x:c r="E1239" s="11" t="n">
        <x:v>20</x:v>
      </x:c>
      <x:c r="F1239" s="12" t="n">
        <x:v>46.61</x:v>
      </x:c>
      <x:c r="G1239" s="12" t="n">
        <x:v>932.2</x:v>
      </x:c>
      <x:c r="H1239" s="13" t="n">
        <x:v>414</x:v>
      </x:c>
      <x:c r="I1239" s="13" t="n">
        <x:f>YEAR(B1239)</x:f>
        <x:v>2023</x:v>
      </x:c>
      <x:c r="J1239" s="13" t="n">
        <x:f>MONTH(B1239)</x:f>
        <x:v>10</x:v>
      </x:c>
      <x:c r="K1239" s="14" t="n">
        <x:f>ROUND(E1239*F1239-G1239,10)</x:f>
        <x:v>0</x:v>
      </x:c>
      <x:c r="L1239" s="2"/>
      <x:c r="M1239" s="2"/>
      <x:c r="N1239" s="2"/>
      <x:c r="O1239" s="2"/>
      <x:c r="P1239" s="2"/>
      <x:c r="Q1239" s="2"/>
      <x:c r="R1239" s="2"/>
    </x:row>
    <x:row r="1240" ht="22" customHeight="1">
      <x:c r="A1240" s="2" t="n">
        <x:v>101234</x:v>
      </x:c>
      <x:c r="B1240" s="10" t="n">
        <x:v>45070</x:v>
      </x:c>
      <x:c r="C1240" s="2" t="str">
        <x:v>Argentina</x:v>
      </x:c>
      <x:c r="D1240" s="2" t="str">
        <x:v>Moda Infantil</x:v>
      </x:c>
      <x:c r="E1240" s="11" t="n">
        <x:v>38</x:v>
      </x:c>
      <x:c r="F1240" s="12" t="n">
        <x:v>189.36</x:v>
      </x:c>
      <x:c r="G1240" s="12" t="n">
        <x:v>7195.68</x:v>
      </x:c>
      <x:c r="H1240" s="13" t="n">
        <x:v>139</x:v>
      </x:c>
      <x:c r="I1240" s="13" t="n">
        <x:f>YEAR(B1240)</x:f>
        <x:v>2023</x:v>
      </x:c>
      <x:c r="J1240" s="13" t="n">
        <x:f>MONTH(B1240)</x:f>
        <x:v>5</x:v>
      </x:c>
      <x:c r="K1240" s="14" t="n">
        <x:f>ROUND(E1240*F1240-G1240,10)</x:f>
        <x:v>0</x:v>
      </x:c>
      <x:c r="L1240" s="2"/>
      <x:c r="M1240" s="2"/>
      <x:c r="N1240" s="2"/>
      <x:c r="O1240" s="2"/>
      <x:c r="P1240" s="2"/>
      <x:c r="Q1240" s="2"/>
      <x:c r="R1240" s="2"/>
    </x:row>
    <x:row r="1241" ht="22" customHeight="1">
      <x:c r="A1241" s="2" t="n">
        <x:v>101235</x:v>
      </x:c>
      <x:c r="B1241" s="10" t="n">
        <x:v>44966</x:v>
      </x:c>
      <x:c r="C1241" s="2" t="str">
        <x:v>Colômbia</x:v>
      </x:c>
      <x:c r="D1241" s="2" t="str">
        <x:v>Calçados</x:v>
      </x:c>
      <x:c r="E1241" s="11" t="n">
        <x:v>28</x:v>
      </x:c>
      <x:c r="F1241" s="12" t="n">
        <x:v>52.92</x:v>
      </x:c>
      <x:c r="G1241" s="12" t="n">
        <x:v>1481.76</x:v>
      </x:c>
      <x:c r="H1241" s="13" t="n">
        <x:v>257</x:v>
      </x:c>
      <x:c r="I1241" s="13" t="n">
        <x:f>YEAR(B1241)</x:f>
        <x:v>2023</x:v>
      </x:c>
      <x:c r="J1241" s="13" t="n">
        <x:f>MONTH(B1241)</x:f>
        <x:v>2</x:v>
      </x:c>
      <x:c r="K1241" s="14" t="n">
        <x:f>ROUND(E1241*F1241-G1241,10)</x:f>
        <x:v>0</x:v>
      </x:c>
      <x:c r="L1241" s="2"/>
      <x:c r="M1241" s="2"/>
      <x:c r="N1241" s="2"/>
      <x:c r="O1241" s="2"/>
      <x:c r="P1241" s="2"/>
      <x:c r="Q1241" s="2"/>
      <x:c r="R1241" s="2"/>
    </x:row>
    <x:row r="1242" ht="22" customHeight="1">
      <x:c r="A1242" s="2" t="n">
        <x:v>101236</x:v>
      </x:c>
      <x:c r="B1242" s="10" t="n">
        <x:v>45190</x:v>
      </x:c>
      <x:c r="C1242" s="2" t="str">
        <x:v>Brasil</x:v>
      </x:c>
      <x:c r="D1242" s="2" t="str">
        <x:v>Moda Masculina</x:v>
      </x:c>
      <x:c r="E1242" s="11" t="n">
        <x:v>25</x:v>
      </x:c>
      <x:c r="F1242" s="12" t="n">
        <x:v>122.14</x:v>
      </x:c>
      <x:c r="G1242" s="12" t="n">
        <x:v>3053.5</x:v>
      </x:c>
      <x:c r="H1242" s="13" t="n">
        <x:v>213</x:v>
      </x:c>
      <x:c r="I1242" s="13" t="n">
        <x:f>YEAR(B1242)</x:f>
        <x:v>2023</x:v>
      </x:c>
      <x:c r="J1242" s="13" t="n">
        <x:f>MONTH(B1242)</x:f>
        <x:v>9</x:v>
      </x:c>
      <x:c r="K1242" s="14" t="n">
        <x:f>ROUND(E1242*F1242-G1242,10)</x:f>
        <x:v>0</x:v>
      </x:c>
      <x:c r="L1242" s="2"/>
      <x:c r="M1242" s="2"/>
      <x:c r="N1242" s="2"/>
      <x:c r="O1242" s="2"/>
      <x:c r="P1242" s="2"/>
      <x:c r="Q1242" s="2"/>
      <x:c r="R1242" s="2"/>
    </x:row>
    <x:row r="1243" ht="22" customHeight="1">
      <x:c r="A1243" s="2" t="n">
        <x:v>101237</x:v>
      </x:c>
      <x:c r="B1243" s="10" t="n">
        <x:v>45182</x:v>
      </x:c>
      <x:c r="C1243" s="2" t="str">
        <x:v>México</x:v>
      </x:c>
      <x:c r="D1243" s="2" t="str">
        <x:v>Moda Infantil</x:v>
      </x:c>
      <x:c r="E1243" s="11" t="n">
        <x:v>32</x:v>
      </x:c>
      <x:c r="F1243" s="12" t="n">
        <x:v>87.86</x:v>
      </x:c>
      <x:c r="G1243" s="12" t="n">
        <x:v>2811.52</x:v>
      </x:c>
      <x:c r="H1243" s="13" t="n">
        <x:v>133</x:v>
      </x:c>
      <x:c r="I1243" s="13" t="n">
        <x:f>YEAR(B1243)</x:f>
        <x:v>2023</x:v>
      </x:c>
      <x:c r="J1243" s="13" t="n">
        <x:f>MONTH(B1243)</x:f>
        <x:v>9</x:v>
      </x:c>
      <x:c r="K1243" s="14" t="n">
        <x:f>ROUND(E1243*F1243-G1243,10)</x:f>
        <x:v>0</x:v>
      </x:c>
      <x:c r="L1243" s="2"/>
      <x:c r="M1243" s="2"/>
      <x:c r="N1243" s="2"/>
      <x:c r="O1243" s="2"/>
      <x:c r="P1243" s="2"/>
      <x:c r="Q1243" s="2"/>
      <x:c r="R1243" s="2"/>
    </x:row>
    <x:row r="1244" ht="22" customHeight="1">
      <x:c r="A1244" s="2" t="n">
        <x:v>101238</x:v>
      </x:c>
      <x:c r="B1244" s="10" t="n">
        <x:v>45372</x:v>
      </x:c>
      <x:c r="C1244" s="2" t="str">
        <x:v>Argentina</x:v>
      </x:c>
      <x:c r="D1244" s="2" t="str">
        <x:v>Acessórios</x:v>
      </x:c>
      <x:c r="E1244" s="11" t="n">
        <x:v>10</x:v>
      </x:c>
      <x:c r="F1244" s="12" t="n">
        <x:v>193.69</x:v>
      </x:c>
      <x:c r="G1244" s="12" t="n">
        <x:v>1936.9</x:v>
      </x:c>
      <x:c r="H1244" s="13" t="n">
        <x:v>126</x:v>
      </x:c>
      <x:c r="I1244" s="13" t="n">
        <x:f>YEAR(B1244)</x:f>
        <x:v>2024</x:v>
      </x:c>
      <x:c r="J1244" s="13" t="n">
        <x:f>MONTH(B1244)</x:f>
        <x:v>3</x:v>
      </x:c>
      <x:c r="K1244" s="14" t="n">
        <x:f>ROUND(E1244*F1244-G1244,10)</x:f>
        <x:v>0</x:v>
      </x:c>
      <x:c r="L1244" s="2"/>
      <x:c r="M1244" s="2"/>
      <x:c r="N1244" s="2"/>
      <x:c r="O1244" s="2"/>
      <x:c r="P1244" s="2"/>
      <x:c r="Q1244" s="2"/>
      <x:c r="R1244" s="2"/>
    </x:row>
    <x:row r="1245" ht="22" customHeight="1">
      <x:c r="A1245" s="2" t="n">
        <x:v>101239</x:v>
      </x:c>
      <x:c r="B1245" s="10" t="n">
        <x:v>44985</x:v>
      </x:c>
      <x:c r="C1245" s="2" t="str">
        <x:v>Brasil</x:v>
      </x:c>
      <x:c r="D1245" s="2" t="str">
        <x:v>Moda Infantil</x:v>
      </x:c>
      <x:c r="E1245" s="11" t="n">
        <x:v>42</x:v>
      </x:c>
      <x:c r="F1245" s="12" t="n">
        <x:v>69.24</x:v>
      </x:c>
      <x:c r="G1245" s="12" t="n">
        <x:v>2908.08</x:v>
      </x:c>
      <x:c r="H1245" s="13" t="n">
        <x:v>210</x:v>
      </x:c>
      <x:c r="I1245" s="13" t="n">
        <x:f>YEAR(B1245)</x:f>
        <x:v>2023</x:v>
      </x:c>
      <x:c r="J1245" s="13" t="n">
        <x:f>MONTH(B1245)</x:f>
        <x:v>2</x:v>
      </x:c>
      <x:c r="K1245" s="14" t="n">
        <x:f>ROUND(E1245*F1245-G1245,10)</x:f>
        <x:v>0</x:v>
      </x:c>
      <x:c r="L1245" s="2"/>
      <x:c r="M1245" s="2"/>
      <x:c r="N1245" s="2"/>
      <x:c r="O1245" s="2"/>
      <x:c r="P1245" s="2"/>
      <x:c r="Q1245" s="2"/>
      <x:c r="R1245" s="2"/>
    </x:row>
    <x:row r="1246" ht="22" customHeight="1">
      <x:c r="A1246" s="2" t="n">
        <x:v>101240</x:v>
      </x:c>
      <x:c r="B1246" s="10" t="n">
        <x:v>45540</x:v>
      </x:c>
      <x:c r="C1246" s="2" t="str">
        <x:v>Chile</x:v>
      </x:c>
      <x:c r="D1246" s="2" t="str">
        <x:v>Calçados</x:v>
      </x:c>
      <x:c r="E1246" s="11" t="n">
        <x:v>40</x:v>
      </x:c>
      <x:c r="F1246" s="12" t="n">
        <x:v>91.94</x:v>
      </x:c>
      <x:c r="G1246" s="12" t="n">
        <x:v>3677.6</x:v>
      </x:c>
      <x:c r="H1246" s="13" t="n">
        <x:v>54</x:v>
      </x:c>
      <x:c r="I1246" s="13" t="n">
        <x:f>YEAR(B1246)</x:f>
        <x:v>2024</x:v>
      </x:c>
      <x:c r="J1246" s="13" t="n">
        <x:f>MONTH(B1246)</x:f>
        <x:v>9</x:v>
      </x:c>
      <x:c r="K1246" s="14" t="n">
        <x:f>ROUND(E1246*F1246-G1246,10)</x:f>
        <x:v>0</x:v>
      </x:c>
      <x:c r="L1246" s="2"/>
      <x:c r="M1246" s="2"/>
      <x:c r="N1246" s="2"/>
      <x:c r="O1246" s="2"/>
      <x:c r="P1246" s="2"/>
      <x:c r="Q1246" s="2"/>
      <x:c r="R1246" s="2"/>
    </x:row>
    <x:row r="1247" ht="22" customHeight="1">
      <x:c r="A1247" s="2" t="n">
        <x:v>101241</x:v>
      </x:c>
      <x:c r="B1247" s="10" t="n">
        <x:v>45423</x:v>
      </x:c>
      <x:c r="C1247" s="2" t="str">
        <x:v>Colômbia</x:v>
      </x:c>
      <x:c r="D1247" s="2" t="str">
        <x:v>Moda Feminina</x:v>
      </x:c>
      <x:c r="E1247" s="11" t="n">
        <x:v>33</x:v>
      </x:c>
      <x:c r="F1247" s="12" t="n">
        <x:v>196.91</x:v>
      </x:c>
      <x:c r="G1247" s="12" t="n">
        <x:v>6498.03</x:v>
      </x:c>
      <x:c r="H1247" s="13" t="n">
        <x:v>127</x:v>
      </x:c>
      <x:c r="I1247" s="13" t="n">
        <x:f>YEAR(B1247)</x:f>
        <x:v>2024</x:v>
      </x:c>
      <x:c r="J1247" s="13" t="n">
        <x:f>MONTH(B1247)</x:f>
        <x:v>5</x:v>
      </x:c>
      <x:c r="K1247" s="14" t="n">
        <x:f>ROUND(E1247*F1247-G1247,10)</x:f>
        <x:v>0</x:v>
      </x:c>
      <x:c r="L1247" s="2"/>
      <x:c r="M1247" s="2"/>
      <x:c r="N1247" s="2"/>
      <x:c r="O1247" s="2"/>
      <x:c r="P1247" s="2"/>
      <x:c r="Q1247" s="2"/>
      <x:c r="R1247" s="2"/>
    </x:row>
    <x:row r="1248" ht="22" customHeight="1">
      <x:c r="A1248" s="2" t="n">
        <x:v>101242</x:v>
      </x:c>
      <x:c r="B1248" s="10" t="n">
        <x:v>45134</x:v>
      </x:c>
      <x:c r="C1248" s="2" t="str">
        <x:v>Brasil</x:v>
      </x:c>
      <x:c r="D1248" s="2" t="str">
        <x:v>Moda Infantil</x:v>
      </x:c>
      <x:c r="E1248" s="11" t="n">
        <x:v>13</x:v>
      </x:c>
      <x:c r="F1248" s="12" t="n">
        <x:v>116.56</x:v>
      </x:c>
      <x:c r="G1248" s="12" t="n">
        <x:v>1515.28</x:v>
      </x:c>
      <x:c r="H1248" s="13" t="n">
        <x:v>140</x:v>
      </x:c>
      <x:c r="I1248" s="13" t="n">
        <x:f>YEAR(B1248)</x:f>
        <x:v>2023</x:v>
      </x:c>
      <x:c r="J1248" s="13" t="n">
        <x:f>MONTH(B1248)</x:f>
        <x:v>7</x:v>
      </x:c>
      <x:c r="K1248" s="14" t="n">
        <x:f>ROUND(E1248*F1248-G1248,10)</x:f>
        <x:v>0</x:v>
      </x:c>
      <x:c r="L1248" s="2"/>
      <x:c r="M1248" s="2"/>
      <x:c r="N1248" s="2"/>
      <x:c r="O1248" s="2"/>
      <x:c r="P1248" s="2"/>
      <x:c r="Q1248" s="2"/>
      <x:c r="R1248" s="2"/>
    </x:row>
    <x:row r="1249" ht="22" customHeight="1">
      <x:c r="A1249" s="2" t="n">
        <x:v>101243</x:v>
      </x:c>
      <x:c r="B1249" s="10" t="n">
        <x:v>45224</x:v>
      </x:c>
      <x:c r="C1249" s="2" t="str">
        <x:v>Argentina</x:v>
      </x:c>
      <x:c r="D1249" s="2" t="str">
        <x:v>Acessórios</x:v>
      </x:c>
      <x:c r="E1249" s="11" t="n">
        <x:v>41</x:v>
      </x:c>
      <x:c r="F1249" s="12" t="n">
        <x:v>110.47</x:v>
      </x:c>
      <x:c r="G1249" s="12" t="n">
        <x:v>4529.27</x:v>
      </x:c>
      <x:c r="H1249" s="13" t="n">
        <x:v>136</x:v>
      </x:c>
      <x:c r="I1249" s="13" t="n">
        <x:f>YEAR(B1249)</x:f>
        <x:v>2023</x:v>
      </x:c>
      <x:c r="J1249" s="13" t="n">
        <x:f>MONTH(B1249)</x:f>
        <x:v>10</x:v>
      </x:c>
      <x:c r="K1249" s="14" t="n">
        <x:f>ROUND(E1249*F1249-G1249,10)</x:f>
        <x:v>0</x:v>
      </x:c>
      <x:c r="L1249" s="2"/>
      <x:c r="M1249" s="2"/>
      <x:c r="N1249" s="2"/>
      <x:c r="O1249" s="2"/>
      <x:c r="P1249" s="2"/>
      <x:c r="Q1249" s="2"/>
      <x:c r="R1249" s="2"/>
    </x:row>
    <x:row r="1250" ht="22" customHeight="1">
      <x:c r="A1250" s="2" t="n">
        <x:v>101244</x:v>
      </x:c>
      <x:c r="B1250" s="10" t="n">
        <x:v>45163</x:v>
      </x:c>
      <x:c r="C1250" s="2" t="str">
        <x:v>Chile</x:v>
      </x:c>
      <x:c r="D1250" s="2" t="str">
        <x:v>Moda Masculina</x:v>
      </x:c>
      <x:c r="E1250" s="11" t="n">
        <x:v>42</x:v>
      </x:c>
      <x:c r="F1250" s="12" t="n">
        <x:v>66.4</x:v>
      </x:c>
      <x:c r="G1250" s="12" t="n">
        <x:v>2788.8</x:v>
      </x:c>
      <x:c r="H1250" s="13" t="n">
        <x:v>319</x:v>
      </x:c>
      <x:c r="I1250" s="13" t="n">
        <x:f>YEAR(B1250)</x:f>
        <x:v>2023</x:v>
      </x:c>
      <x:c r="J1250" s="13" t="n">
        <x:f>MONTH(B1250)</x:f>
        <x:v>8</x:v>
      </x:c>
      <x:c r="K1250" s="14" t="n">
        <x:f>ROUND(E1250*F1250-G1250,10)</x:f>
        <x:v>0</x:v>
      </x:c>
      <x:c r="L1250" s="2"/>
      <x:c r="M1250" s="2"/>
      <x:c r="N1250" s="2"/>
      <x:c r="O1250" s="2"/>
      <x:c r="P1250" s="2"/>
      <x:c r="Q1250" s="2"/>
      <x:c r="R1250" s="2"/>
    </x:row>
    <x:row r="1251" ht="22" customHeight="1">
      <x:c r="A1251" s="2" t="n">
        <x:v>101245</x:v>
      </x:c>
      <x:c r="B1251" s="10" t="n">
        <x:v>44973</x:v>
      </x:c>
      <x:c r="C1251" s="2" t="str">
        <x:v>Peru</x:v>
      </x:c>
      <x:c r="D1251" s="2" t="str">
        <x:v>Moda Feminina</x:v>
      </x:c>
      <x:c r="E1251" s="11" t="n">
        <x:v>47</x:v>
      </x:c>
      <x:c r="F1251" s="12" t="n">
        <x:v>146.25</x:v>
      </x:c>
      <x:c r="G1251" s="12" t="n">
        <x:v>6873.75</x:v>
      </x:c>
      <x:c r="H1251" s="13" t="n">
        <x:v>153</x:v>
      </x:c>
      <x:c r="I1251" s="13" t="n">
        <x:f>YEAR(B1251)</x:f>
        <x:v>2023</x:v>
      </x:c>
      <x:c r="J1251" s="13" t="n">
        <x:f>MONTH(B1251)</x:f>
        <x:v>2</x:v>
      </x:c>
      <x:c r="K1251" s="14" t="n">
        <x:f>ROUND(E1251*F1251-G1251,10)</x:f>
        <x:v>0</x:v>
      </x:c>
      <x:c r="L1251" s="2"/>
      <x:c r="M1251" s="2"/>
      <x:c r="N1251" s="2"/>
      <x:c r="O1251" s="2"/>
      <x:c r="P1251" s="2"/>
      <x:c r="Q1251" s="2"/>
      <x:c r="R1251" s="2"/>
    </x:row>
    <x:row r="1252" ht="22" customHeight="1">
      <x:c r="A1252" s="2" t="n">
        <x:v>101246</x:v>
      </x:c>
      <x:c r="B1252" s="10" t="n">
        <x:v>45334</x:v>
      </x:c>
      <x:c r="C1252" s="2" t="str">
        <x:v>Argentina</x:v>
      </x:c>
      <x:c r="D1252" s="2" t="str">
        <x:v>Moda Masculina</x:v>
      </x:c>
      <x:c r="E1252" s="11" t="n">
        <x:v>37</x:v>
      </x:c>
      <x:c r="F1252" s="12" t="n">
        <x:v>22.59</x:v>
      </x:c>
      <x:c r="G1252" s="12" t="n">
        <x:v>835.83</x:v>
      </x:c>
      <x:c r="H1252" s="13" t="n">
        <x:v>388</x:v>
      </x:c>
      <x:c r="I1252" s="13" t="n">
        <x:f>YEAR(B1252)</x:f>
        <x:v>2024</x:v>
      </x:c>
      <x:c r="J1252" s="13" t="n">
        <x:f>MONTH(B1252)</x:f>
        <x:v>2</x:v>
      </x:c>
      <x:c r="K1252" s="14" t="n">
        <x:f>ROUND(E1252*F1252-G1252,10)</x:f>
        <x:v>0</x:v>
      </x:c>
      <x:c r="L1252" s="2"/>
      <x:c r="M1252" s="2"/>
      <x:c r="N1252" s="2"/>
      <x:c r="O1252" s="2"/>
      <x:c r="P1252" s="2"/>
      <x:c r="Q1252" s="2"/>
      <x:c r="R1252" s="2"/>
    </x:row>
    <x:row r="1253" ht="22" customHeight="1">
      <x:c r="A1253" s="2" t="n">
        <x:v>101247</x:v>
      </x:c>
      <x:c r="B1253" s="10" t="n">
        <x:v>45211</x:v>
      </x:c>
      <x:c r="C1253" s="2" t="str">
        <x:v>Argentina</x:v>
      </x:c>
      <x:c r="D1253" s="2" t="str">
        <x:v>Moda Infantil</x:v>
      </x:c>
      <x:c r="E1253" s="11" t="n">
        <x:v>16</x:v>
      </x:c>
      <x:c r="F1253" s="12" t="n">
        <x:v>28.91</x:v>
      </x:c>
      <x:c r="G1253" s="12" t="n">
        <x:v>462.56</x:v>
      </x:c>
      <x:c r="H1253" s="13" t="n">
        <x:v>224</x:v>
      </x:c>
      <x:c r="I1253" s="13" t="n">
        <x:f>YEAR(B1253)</x:f>
        <x:v>2023</x:v>
      </x:c>
      <x:c r="J1253" s="13" t="n">
        <x:f>MONTH(B1253)</x:f>
        <x:v>10</x:v>
      </x:c>
      <x:c r="K1253" s="14" t="n">
        <x:f>ROUND(E1253*F1253-G1253,10)</x:f>
        <x:v>0</x:v>
      </x:c>
      <x:c r="L1253" s="2"/>
      <x:c r="M1253" s="2"/>
      <x:c r="N1253" s="2"/>
      <x:c r="O1253" s="2"/>
      <x:c r="P1253" s="2"/>
      <x:c r="Q1253" s="2"/>
      <x:c r="R1253" s="2"/>
    </x:row>
    <x:row r="1254" ht="22" customHeight="1">
      <x:c r="A1254" s="2" t="n">
        <x:v>101248</x:v>
      </x:c>
      <x:c r="B1254" s="10" t="n">
        <x:v>44986</x:v>
      </x:c>
      <x:c r="C1254" s="2" t="str">
        <x:v>Chile</x:v>
      </x:c>
      <x:c r="D1254" s="2" t="str">
        <x:v>Calçados</x:v>
      </x:c>
      <x:c r="E1254" s="11" t="n">
        <x:v>45</x:v>
      </x:c>
      <x:c r="F1254" s="12" t="n">
        <x:v>127.88</x:v>
      </x:c>
      <x:c r="G1254" s="12" t="n">
        <x:v>5754.599999999999</x:v>
      </x:c>
      <x:c r="H1254" s="13" t="n">
        <x:v>103</x:v>
      </x:c>
      <x:c r="I1254" s="13" t="n">
        <x:f>YEAR(B1254)</x:f>
        <x:v>2023</x:v>
      </x:c>
      <x:c r="J1254" s="13" t="n">
        <x:f>MONTH(B1254)</x:f>
        <x:v>3</x:v>
      </x:c>
      <x:c r="K1254" s="14" t="n">
        <x:f>ROUND(E1254*F1254-G1254,10)</x:f>
        <x:v>0</x:v>
      </x:c>
      <x:c r="L1254" s="2"/>
      <x:c r="M1254" s="2"/>
      <x:c r="N1254" s="2"/>
      <x:c r="O1254" s="2"/>
      <x:c r="P1254" s="2"/>
      <x:c r="Q1254" s="2"/>
      <x:c r="R1254" s="2"/>
    </x:row>
    <x:row r="1255" ht="22" customHeight="1">
      <x:c r="A1255" s="2" t="n">
        <x:v>101249</x:v>
      </x:c>
      <x:c r="B1255" s="10" t="n">
        <x:v>45334</x:v>
      </x:c>
      <x:c r="C1255" s="2" t="str">
        <x:v>Argentina</x:v>
      </x:c>
      <x:c r="D1255" s="2" t="str">
        <x:v>Calçados</x:v>
      </x:c>
      <x:c r="E1255" s="11" t="n">
        <x:v>22</x:v>
      </x:c>
      <x:c r="F1255" s="12" t="n">
        <x:v>81.5</x:v>
      </x:c>
      <x:c r="G1255" s="12" t="n">
        <x:v>1793</x:v>
      </x:c>
      <x:c r="H1255" s="13" t="n">
        <x:v>437</x:v>
      </x:c>
      <x:c r="I1255" s="13" t="n">
        <x:f>YEAR(B1255)</x:f>
        <x:v>2024</x:v>
      </x:c>
      <x:c r="J1255" s="13" t="n">
        <x:f>MONTH(B1255)</x:f>
        <x:v>2</x:v>
      </x:c>
      <x:c r="K1255" s="14" t="n">
        <x:f>ROUND(E1255*F1255-G1255,10)</x:f>
        <x:v>0</x:v>
      </x:c>
      <x:c r="L1255" s="2"/>
      <x:c r="M1255" s="2"/>
      <x:c r="N1255" s="2"/>
      <x:c r="O1255" s="2"/>
      <x:c r="P1255" s="2"/>
      <x:c r="Q1255" s="2"/>
      <x:c r="R1255" s="2"/>
    </x:row>
    <x:row r="1256" ht="22" customHeight="1">
      <x:c r="A1256" s="2" t="n">
        <x:v>101250</x:v>
      </x:c>
      <x:c r="B1256" s="10" t="n">
        <x:v>45051</x:v>
      </x:c>
      <x:c r="C1256" s="2" t="str">
        <x:v>Chile</x:v>
      </x:c>
      <x:c r="D1256" s="2" t="str">
        <x:v>Acessórios</x:v>
      </x:c>
      <x:c r="E1256" s="11" t="n">
        <x:v>20</x:v>
      </x:c>
      <x:c r="F1256" s="12" t="n">
        <x:v>191.6</x:v>
      </x:c>
      <x:c r="G1256" s="12" t="n">
        <x:v>3832</x:v>
      </x:c>
      <x:c r="H1256" s="13" t="n">
        <x:v>260</x:v>
      </x:c>
      <x:c r="I1256" s="13" t="n">
        <x:f>YEAR(B1256)</x:f>
        <x:v>2023</x:v>
      </x:c>
      <x:c r="J1256" s="13" t="n">
        <x:f>MONTH(B1256)</x:f>
        <x:v>5</x:v>
      </x:c>
      <x:c r="K1256" s="14" t="n">
        <x:f>ROUND(E1256*F1256-G1256,10)</x:f>
        <x:v>0</x:v>
      </x:c>
      <x:c r="L1256" s="2"/>
      <x:c r="M1256" s="2"/>
      <x:c r="N1256" s="2"/>
      <x:c r="O1256" s="2"/>
      <x:c r="P1256" s="2"/>
      <x:c r="Q1256" s="2"/>
      <x:c r="R1256" s="2"/>
    </x:row>
    <x:row r="1257" ht="22" customHeight="1">
      <x:c r="A1257" s="2" t="n">
        <x:v>101251</x:v>
      </x:c>
      <x:c r="B1257" s="10" t="n">
        <x:v>45379</x:v>
      </x:c>
      <x:c r="C1257" s="2" t="str">
        <x:v>Brasil</x:v>
      </x:c>
      <x:c r="D1257" s="2" t="str">
        <x:v>Calçados</x:v>
      </x:c>
      <x:c r="E1257" s="11" t="n">
        <x:v>43</x:v>
      </x:c>
      <x:c r="F1257" s="12" t="n">
        <x:v>182.57</x:v>
      </x:c>
      <x:c r="G1257" s="12" t="n">
        <x:v>7850.509999999999</x:v>
      </x:c>
      <x:c r="H1257" s="13" t="n">
        <x:v>144</x:v>
      </x:c>
      <x:c r="I1257" s="13" t="n">
        <x:f>YEAR(B1257)</x:f>
        <x:v>2024</x:v>
      </x:c>
      <x:c r="J1257" s="13" t="n">
        <x:f>MONTH(B1257)</x:f>
        <x:v>3</x:v>
      </x:c>
      <x:c r="K1257" s="14" t="n">
        <x:f>ROUND(E1257*F1257-G1257,10)</x:f>
        <x:v>0</x:v>
      </x:c>
      <x:c r="L1257" s="2"/>
      <x:c r="M1257" s="2"/>
      <x:c r="N1257" s="2"/>
      <x:c r="O1257" s="2"/>
      <x:c r="P1257" s="2"/>
      <x:c r="Q1257" s="2"/>
      <x:c r="R1257" s="2"/>
    </x:row>
    <x:row r="1258" ht="22" customHeight="1">
      <x:c r="A1258" s="2" t="n">
        <x:v>101252</x:v>
      </x:c>
      <x:c r="B1258" s="10" t="n">
        <x:v>45307</x:v>
      </x:c>
      <x:c r="C1258" s="2" t="str">
        <x:v>Chile</x:v>
      </x:c>
      <x:c r="D1258" s="2" t="str">
        <x:v>Moda Feminina</x:v>
      </x:c>
      <x:c r="E1258" s="11" t="n">
        <x:v>27</x:v>
      </x:c>
      <x:c r="F1258" s="12" t="n">
        <x:v>148.47</x:v>
      </x:c>
      <x:c r="G1258" s="12" t="n">
        <x:v>4008.69</x:v>
      </x:c>
      <x:c r="H1258" s="13" t="n">
        <x:v>272</x:v>
      </x:c>
      <x:c r="I1258" s="13" t="n">
        <x:f>YEAR(B1258)</x:f>
        <x:v>2024</x:v>
      </x:c>
      <x:c r="J1258" s="13" t="n">
        <x:f>MONTH(B1258)</x:f>
        <x:v>1</x:v>
      </x:c>
      <x:c r="K1258" s="14" t="n">
        <x:f>ROUND(E1258*F1258-G1258,10)</x:f>
        <x:v>0</x:v>
      </x:c>
      <x:c r="L1258" s="2"/>
      <x:c r="M1258" s="2"/>
      <x:c r="N1258" s="2"/>
      <x:c r="O1258" s="2"/>
      <x:c r="P1258" s="2"/>
      <x:c r="Q1258" s="2"/>
      <x:c r="R1258" s="2"/>
    </x:row>
    <x:row r="1259" ht="22" customHeight="1">
      <x:c r="A1259" s="2" t="n">
        <x:v>101253</x:v>
      </x:c>
      <x:c r="B1259" s="10" t="n">
        <x:v>45021</x:v>
      </x:c>
      <x:c r="C1259" s="2" t="str">
        <x:v>Chile</x:v>
      </x:c>
      <x:c r="D1259" s="2" t="str">
        <x:v>Calçados</x:v>
      </x:c>
      <x:c r="E1259" s="11" t="n">
        <x:v>41</x:v>
      </x:c>
      <x:c r="F1259" s="12" t="n">
        <x:v>167.27</x:v>
      </x:c>
      <x:c r="G1259" s="12" t="n">
        <x:v>6858.070000000001</x:v>
      </x:c>
      <x:c r="H1259" s="13" t="n">
        <x:v>58</x:v>
      </x:c>
      <x:c r="I1259" s="13" t="n">
        <x:f>YEAR(B1259)</x:f>
        <x:v>2023</x:v>
      </x:c>
      <x:c r="J1259" s="13" t="n">
        <x:f>MONTH(B1259)</x:f>
        <x:v>4</x:v>
      </x:c>
      <x:c r="K1259" s="14" t="n">
        <x:f>ROUND(E1259*F1259-G1259,10)</x:f>
        <x:v>0</x:v>
      </x:c>
      <x:c r="L1259" s="2"/>
      <x:c r="M1259" s="2"/>
      <x:c r="N1259" s="2"/>
      <x:c r="O1259" s="2"/>
      <x:c r="P1259" s="2"/>
      <x:c r="Q1259" s="2"/>
      <x:c r="R1259" s="2"/>
    </x:row>
    <x:row r="1260" ht="22" customHeight="1">
      <x:c r="A1260" s="2" t="n">
        <x:v>101254</x:v>
      </x:c>
      <x:c r="B1260" s="10" t="n">
        <x:v>45613</x:v>
      </x:c>
      <x:c r="C1260" s="2" t="str">
        <x:v>Colômbia</x:v>
      </x:c>
      <x:c r="D1260" s="2" t="str">
        <x:v>Acessórios</x:v>
      </x:c>
      <x:c r="E1260" s="11" t="n">
        <x:v>16</x:v>
      </x:c>
      <x:c r="F1260" s="12" t="n">
        <x:v>140.12</x:v>
      </x:c>
      <x:c r="G1260" s="12" t="n">
        <x:v>2241.92</x:v>
      </x:c>
      <x:c r="H1260" s="13" t="n">
        <x:v>102</x:v>
      </x:c>
      <x:c r="I1260" s="13" t="n">
        <x:f>YEAR(B1260)</x:f>
        <x:v>2024</x:v>
      </x:c>
      <x:c r="J1260" s="13" t="n">
        <x:f>MONTH(B1260)</x:f>
        <x:v>11</x:v>
      </x:c>
      <x:c r="K1260" s="14" t="n">
        <x:f>ROUND(E1260*F1260-G1260,10)</x:f>
        <x:v>0</x:v>
      </x:c>
      <x:c r="L1260" s="2"/>
      <x:c r="M1260" s="2"/>
      <x:c r="N1260" s="2"/>
      <x:c r="O1260" s="2"/>
      <x:c r="P1260" s="2"/>
      <x:c r="Q1260" s="2"/>
      <x:c r="R1260" s="2"/>
    </x:row>
    <x:row r="1261" ht="22" customHeight="1">
      <x:c r="A1261" s="2" t="n">
        <x:v>101255</x:v>
      </x:c>
      <x:c r="B1261" s="10" t="n">
        <x:v>45549</x:v>
      </x:c>
      <x:c r="C1261" s="2" t="str">
        <x:v>Chile</x:v>
      </x:c>
      <x:c r="D1261" s="2" t="str">
        <x:v>Moda Infantil</x:v>
      </x:c>
      <x:c r="E1261" s="11" t="n">
        <x:v>34</x:v>
      </x:c>
      <x:c r="F1261" s="12" t="n">
        <x:v>42.6</x:v>
      </x:c>
      <x:c r="G1261" s="12" t="n">
        <x:v>1448.4</x:v>
      </x:c>
      <x:c r="H1261" s="13" t="n">
        <x:v>126</x:v>
      </x:c>
      <x:c r="I1261" s="13" t="n">
        <x:f>YEAR(B1261)</x:f>
        <x:v>2024</x:v>
      </x:c>
      <x:c r="J1261" s="13" t="n">
        <x:f>MONTH(B1261)</x:f>
        <x:v>9</x:v>
      </x:c>
      <x:c r="K1261" s="14" t="n">
        <x:f>ROUND(E1261*F1261-G1261,10)</x:f>
        <x:v>0</x:v>
      </x:c>
      <x:c r="L1261" s="2"/>
      <x:c r="M1261" s="2"/>
      <x:c r="N1261" s="2"/>
      <x:c r="O1261" s="2"/>
      <x:c r="P1261" s="2"/>
      <x:c r="Q1261" s="2"/>
      <x:c r="R1261" s="2"/>
    </x:row>
    <x:row r="1262" ht="22" customHeight="1">
      <x:c r="A1262" s="2" t="n">
        <x:v>101256</x:v>
      </x:c>
      <x:c r="B1262" s="10" t="n">
        <x:v>45185</x:v>
      </x:c>
      <x:c r="C1262" s="2" t="str">
        <x:v>Chile</x:v>
      </x:c>
      <x:c r="D1262" s="2" t="str">
        <x:v>Moda Infantil</x:v>
      </x:c>
      <x:c r="E1262" s="11" t="n">
        <x:v>32</x:v>
      </x:c>
      <x:c r="F1262" s="12" t="n">
        <x:v>157.8</x:v>
      </x:c>
      <x:c r="G1262" s="12" t="n">
        <x:v>5049.6</x:v>
      </x:c>
      <x:c r="H1262" s="13" t="n">
        <x:v>255</x:v>
      </x:c>
      <x:c r="I1262" s="13" t="n">
        <x:f>YEAR(B1262)</x:f>
        <x:v>2023</x:v>
      </x:c>
      <x:c r="J1262" s="13" t="n">
        <x:f>MONTH(B1262)</x:f>
        <x:v>9</x:v>
      </x:c>
      <x:c r="K1262" s="14" t="n">
        <x:f>ROUND(E1262*F1262-G1262,10)</x:f>
        <x:v>0</x:v>
      </x:c>
      <x:c r="L1262" s="2"/>
      <x:c r="M1262" s="2"/>
      <x:c r="N1262" s="2"/>
      <x:c r="O1262" s="2"/>
      <x:c r="P1262" s="2"/>
      <x:c r="Q1262" s="2"/>
      <x:c r="R1262" s="2"/>
    </x:row>
    <x:row r="1263" ht="22" customHeight="1">
      <x:c r="A1263" s="2" t="n">
        <x:v>101257</x:v>
      </x:c>
      <x:c r="B1263" s="10" t="n">
        <x:v>45058</x:v>
      </x:c>
      <x:c r="C1263" s="2" t="str">
        <x:v>Peru</x:v>
      </x:c>
      <x:c r="D1263" s="2" t="str">
        <x:v>Calçados</x:v>
      </x:c>
      <x:c r="E1263" s="11" t="n">
        <x:v>26</x:v>
      </x:c>
      <x:c r="F1263" s="12" t="n">
        <x:v>57.83</x:v>
      </x:c>
      <x:c r="G1263" s="12" t="n">
        <x:v>1503.58</x:v>
      </x:c>
      <x:c r="H1263" s="13" t="n">
        <x:v>365</x:v>
      </x:c>
      <x:c r="I1263" s="13" t="n">
        <x:f>YEAR(B1263)</x:f>
        <x:v>2023</x:v>
      </x:c>
      <x:c r="J1263" s="13" t="n">
        <x:f>MONTH(B1263)</x:f>
        <x:v>5</x:v>
      </x:c>
      <x:c r="K1263" s="14" t="n">
        <x:f>ROUND(E1263*F1263-G1263,10)</x:f>
        <x:v>0</x:v>
      </x:c>
      <x:c r="L1263" s="2"/>
      <x:c r="M1263" s="2"/>
      <x:c r="N1263" s="2"/>
      <x:c r="O1263" s="2"/>
      <x:c r="P1263" s="2"/>
      <x:c r="Q1263" s="2"/>
      <x:c r="R1263" s="2"/>
    </x:row>
    <x:row r="1264" ht="22" customHeight="1">
      <x:c r="A1264" s="2" t="n">
        <x:v>101258</x:v>
      </x:c>
      <x:c r="B1264" s="10" t="n">
        <x:v>45264</x:v>
      </x:c>
      <x:c r="C1264" s="2" t="str">
        <x:v>Brasil</x:v>
      </x:c>
      <x:c r="D1264" s="2" t="str">
        <x:v>Moda Masculina</x:v>
      </x:c>
      <x:c r="E1264" s="11" t="n">
        <x:v>25</x:v>
      </x:c>
      <x:c r="F1264" s="12" t="n">
        <x:v>78.22</x:v>
      </x:c>
      <x:c r="G1264" s="12" t="n">
        <x:v>1955.5</x:v>
      </x:c>
      <x:c r="H1264" s="13" t="n">
        <x:v>351</x:v>
      </x:c>
      <x:c r="I1264" s="13" t="n">
        <x:f>YEAR(B1264)</x:f>
        <x:v>2023</x:v>
      </x:c>
      <x:c r="J1264" s="13" t="n">
        <x:f>MONTH(B1264)</x:f>
        <x:v>12</x:v>
      </x:c>
      <x:c r="K1264" s="14" t="n">
        <x:f>ROUND(E1264*F1264-G1264,10)</x:f>
        <x:v>0</x:v>
      </x:c>
      <x:c r="L1264" s="2"/>
      <x:c r="M1264" s="2"/>
      <x:c r="N1264" s="2"/>
      <x:c r="O1264" s="2"/>
      <x:c r="P1264" s="2"/>
      <x:c r="Q1264" s="2"/>
      <x:c r="R1264" s="2"/>
    </x:row>
    <x:row r="1265" ht="22" customHeight="1">
      <x:c r="A1265" s="2" t="n">
        <x:v>101259</x:v>
      </x:c>
      <x:c r="B1265" s="10" t="n">
        <x:v>45463</x:v>
      </x:c>
      <x:c r="C1265" s="2" t="str">
        <x:v>Colômbia</x:v>
      </x:c>
      <x:c r="D1265" s="2" t="str">
        <x:v>Moda Infantil</x:v>
      </x:c>
      <x:c r="E1265" s="11" t="n">
        <x:v>2</x:v>
      </x:c>
      <x:c r="F1265" s="12" t="n">
        <x:v>167.46</x:v>
      </x:c>
      <x:c r="G1265" s="12" t="n">
        <x:v>334.92</x:v>
      </x:c>
      <x:c r="H1265" s="13" t="n">
        <x:v>359</x:v>
      </x:c>
      <x:c r="I1265" s="13" t="n">
        <x:f>YEAR(B1265)</x:f>
        <x:v>2024</x:v>
      </x:c>
      <x:c r="J1265" s="13" t="n">
        <x:f>MONTH(B1265)</x:f>
        <x:v>6</x:v>
      </x:c>
      <x:c r="K1265" s="14" t="n">
        <x:f>ROUND(E1265*F1265-G1265,10)</x:f>
        <x:v>0</x:v>
      </x:c>
      <x:c r="L1265" s="2"/>
      <x:c r="M1265" s="2"/>
      <x:c r="N1265" s="2"/>
      <x:c r="O1265" s="2"/>
      <x:c r="P1265" s="2"/>
      <x:c r="Q1265" s="2"/>
      <x:c r="R1265" s="2"/>
    </x:row>
    <x:row r="1266" ht="22" customHeight="1">
      <x:c r="A1266" s="2" t="n">
        <x:v>101260</x:v>
      </x:c>
      <x:c r="B1266" s="10" t="n">
        <x:v>45220</x:v>
      </x:c>
      <x:c r="C1266" s="2" t="str">
        <x:v>Peru</x:v>
      </x:c>
      <x:c r="D1266" s="2" t="str">
        <x:v>Calçados</x:v>
      </x:c>
      <x:c r="E1266" s="11" t="n">
        <x:v>12</x:v>
      </x:c>
      <x:c r="F1266" s="12" t="n">
        <x:v>116.57</x:v>
      </x:c>
      <x:c r="G1266" s="12" t="n">
        <x:v>1398.84</x:v>
      </x:c>
      <x:c r="H1266" s="13" t="n">
        <x:v>379</x:v>
      </x:c>
      <x:c r="I1266" s="13" t="n">
        <x:f>YEAR(B1266)</x:f>
        <x:v>2023</x:v>
      </x:c>
      <x:c r="J1266" s="13" t="n">
        <x:f>MONTH(B1266)</x:f>
        <x:v>10</x:v>
      </x:c>
      <x:c r="K1266" s="14" t="n">
        <x:f>ROUND(E1266*F1266-G1266,10)</x:f>
        <x:v>0</x:v>
      </x:c>
      <x:c r="L1266" s="2"/>
      <x:c r="M1266" s="2"/>
      <x:c r="N1266" s="2"/>
      <x:c r="O1266" s="2"/>
      <x:c r="P1266" s="2"/>
      <x:c r="Q1266" s="2"/>
      <x:c r="R1266" s="2"/>
    </x:row>
    <x:row r="1267" ht="22" customHeight="1">
      <x:c r="A1267" s="2" t="n">
        <x:v>101261</x:v>
      </x:c>
      <x:c r="B1267" s="10" t="n">
        <x:v>45568</x:v>
      </x:c>
      <x:c r="C1267" s="2" t="str">
        <x:v>México</x:v>
      </x:c>
      <x:c r="D1267" s="2" t="str">
        <x:v>Acessórios</x:v>
      </x:c>
      <x:c r="E1267" s="11" t="n">
        <x:v>40</x:v>
      </x:c>
      <x:c r="F1267" s="12" t="n">
        <x:v>174.79</x:v>
      </x:c>
      <x:c r="G1267" s="12" t="n">
        <x:v>6991.599999999999</x:v>
      </x:c>
      <x:c r="H1267" s="13" t="n">
        <x:v>161</x:v>
      </x:c>
      <x:c r="I1267" s="13" t="n">
        <x:f>YEAR(B1267)</x:f>
        <x:v>2024</x:v>
      </x:c>
      <x:c r="J1267" s="13" t="n">
        <x:f>MONTH(B1267)</x:f>
        <x:v>10</x:v>
      </x:c>
      <x:c r="K1267" s="14" t="n">
        <x:f>ROUND(E1267*F1267-G1267,10)</x:f>
        <x:v>0</x:v>
      </x:c>
      <x:c r="L1267" s="2"/>
      <x:c r="M1267" s="2"/>
      <x:c r="N1267" s="2"/>
      <x:c r="O1267" s="2"/>
      <x:c r="P1267" s="2"/>
      <x:c r="Q1267" s="2"/>
      <x:c r="R1267" s="2"/>
    </x:row>
    <x:row r="1268" ht="22" customHeight="1">
      <x:c r="A1268" s="2" t="n">
        <x:v>101262</x:v>
      </x:c>
      <x:c r="B1268" s="10" t="n">
        <x:v>45271</x:v>
      </x:c>
      <x:c r="C1268" s="2" t="str">
        <x:v>Brasil</x:v>
      </x:c>
      <x:c r="D1268" s="2" t="str">
        <x:v>Calçados</x:v>
      </x:c>
      <x:c r="E1268" s="11" t="n">
        <x:v>9</x:v>
      </x:c>
      <x:c r="F1268" s="12" t="n">
        <x:v>58.35</x:v>
      </x:c>
      <x:c r="G1268" s="12" t="n">
        <x:v>525.15</x:v>
      </x:c>
      <x:c r="H1268" s="13" t="n">
        <x:v>400</x:v>
      </x:c>
      <x:c r="I1268" s="13" t="n">
        <x:f>YEAR(B1268)</x:f>
        <x:v>2023</x:v>
      </x:c>
      <x:c r="J1268" s="13" t="n">
        <x:f>MONTH(B1268)</x:f>
        <x:v>12</x:v>
      </x:c>
      <x:c r="K1268" s="14" t="n">
        <x:f>ROUND(E1268*F1268-G1268,10)</x:f>
        <x:v>0</x:v>
      </x:c>
      <x:c r="L1268" s="2"/>
      <x:c r="M1268" s="2"/>
      <x:c r="N1268" s="2"/>
      <x:c r="O1268" s="2"/>
      <x:c r="P1268" s="2"/>
      <x:c r="Q1268" s="2"/>
      <x:c r="R1268" s="2"/>
    </x:row>
    <x:row r="1269" ht="22" customHeight="1">
      <x:c r="A1269" s="2" t="n">
        <x:v>101263</x:v>
      </x:c>
      <x:c r="B1269" s="10" t="n">
        <x:v>45003</x:v>
      </x:c>
      <x:c r="C1269" s="2" t="str">
        <x:v>Brasil</x:v>
      </x:c>
      <x:c r="D1269" s="2" t="str">
        <x:v>Moda Infantil</x:v>
      </x:c>
      <x:c r="E1269" s="11" t="n">
        <x:v>12</x:v>
      </x:c>
      <x:c r="F1269" s="12" t="n">
        <x:v>129.4</x:v>
      </x:c>
      <x:c r="G1269" s="12" t="n">
        <x:v>1552.8</x:v>
      </x:c>
      <x:c r="H1269" s="13" t="n">
        <x:v>214</x:v>
      </x:c>
      <x:c r="I1269" s="13" t="n">
        <x:f>YEAR(B1269)</x:f>
        <x:v>2023</x:v>
      </x:c>
      <x:c r="J1269" s="13" t="n">
        <x:f>MONTH(B1269)</x:f>
        <x:v>3</x:v>
      </x:c>
      <x:c r="K1269" s="14" t="n">
        <x:f>ROUND(E1269*F1269-G1269,10)</x:f>
        <x:v>0</x:v>
      </x:c>
      <x:c r="L1269" s="2"/>
      <x:c r="M1269" s="2"/>
      <x:c r="N1269" s="2"/>
      <x:c r="O1269" s="2"/>
      <x:c r="P1269" s="2"/>
      <x:c r="Q1269" s="2"/>
      <x:c r="R1269" s="2"/>
    </x:row>
    <x:row r="1270" ht="22" customHeight="1">
      <x:c r="A1270" s="2" t="n">
        <x:v>101264</x:v>
      </x:c>
      <x:c r="B1270" s="10" t="n">
        <x:v>45593</x:v>
      </x:c>
      <x:c r="C1270" s="2" t="str">
        <x:v>México</x:v>
      </x:c>
      <x:c r="D1270" s="2" t="str">
        <x:v>Acessórios</x:v>
      </x:c>
      <x:c r="E1270" s="11" t="n">
        <x:v>26</x:v>
      </x:c>
      <x:c r="F1270" s="12" t="n">
        <x:v>35.08</x:v>
      </x:c>
      <x:c r="G1270" s="12" t="n">
        <x:v>912.0799999999999</x:v>
      </x:c>
      <x:c r="H1270" s="13" t="n">
        <x:v>328</x:v>
      </x:c>
      <x:c r="I1270" s="13" t="n">
        <x:f>YEAR(B1270)</x:f>
        <x:v>2024</x:v>
      </x:c>
      <x:c r="J1270" s="13" t="n">
        <x:f>MONTH(B1270)</x:f>
        <x:v>10</x:v>
      </x:c>
      <x:c r="K1270" s="14" t="n">
        <x:f>ROUND(E1270*F1270-G1270,10)</x:f>
        <x:v>0</x:v>
      </x:c>
      <x:c r="L1270" s="2"/>
      <x:c r="M1270" s="2"/>
      <x:c r="N1270" s="2"/>
      <x:c r="O1270" s="2"/>
      <x:c r="P1270" s="2"/>
      <x:c r="Q1270" s="2"/>
      <x:c r="R1270" s="2"/>
    </x:row>
    <x:row r="1271" ht="22" customHeight="1">
      <x:c r="A1271" s="2" t="n">
        <x:v>101265</x:v>
      </x:c>
      <x:c r="B1271" s="10" t="n">
        <x:v>45328</x:v>
      </x:c>
      <x:c r="C1271" s="2" t="str">
        <x:v>Chile</x:v>
      </x:c>
      <x:c r="D1271" s="2" t="str">
        <x:v>Calçados</x:v>
      </x:c>
      <x:c r="E1271" s="11" t="n">
        <x:v>9</x:v>
      </x:c>
      <x:c r="F1271" s="12" t="n">
        <x:v>135.75</x:v>
      </x:c>
      <x:c r="G1271" s="12" t="n">
        <x:v>1221.75</x:v>
      </x:c>
      <x:c r="H1271" s="13" t="n">
        <x:v>76</x:v>
      </x:c>
      <x:c r="I1271" s="13" t="n">
        <x:f>YEAR(B1271)</x:f>
        <x:v>2024</x:v>
      </x:c>
      <x:c r="J1271" s="13" t="n">
        <x:f>MONTH(B1271)</x:f>
        <x:v>2</x:v>
      </x:c>
      <x:c r="K1271" s="14" t="n">
        <x:f>ROUND(E1271*F1271-G1271,10)</x:f>
        <x:v>0</x:v>
      </x:c>
      <x:c r="L1271" s="2"/>
      <x:c r="M1271" s="2"/>
      <x:c r="N1271" s="2"/>
      <x:c r="O1271" s="2"/>
      <x:c r="P1271" s="2"/>
      <x:c r="Q1271" s="2"/>
      <x:c r="R1271" s="2"/>
    </x:row>
    <x:row r="1272" ht="22" customHeight="1">
      <x:c r="A1272" s="2" t="n">
        <x:v>101266</x:v>
      </x:c>
      <x:c r="B1272" s="10" t="n">
        <x:v>45336</x:v>
      </x:c>
      <x:c r="C1272" s="2" t="str">
        <x:v>Peru</x:v>
      </x:c>
      <x:c r="D1272" s="2" t="str">
        <x:v>Moda Feminina</x:v>
      </x:c>
      <x:c r="E1272" s="11" t="n">
        <x:v>10</x:v>
      </x:c>
      <x:c r="F1272" s="12" t="n">
        <x:v>157.26</x:v>
      </x:c>
      <x:c r="G1272" s="12" t="n">
        <x:v>1572.6</x:v>
      </x:c>
      <x:c r="H1272" s="13" t="n">
        <x:v>119</x:v>
      </x:c>
      <x:c r="I1272" s="13" t="n">
        <x:f>YEAR(B1272)</x:f>
        <x:v>2024</x:v>
      </x:c>
      <x:c r="J1272" s="13" t="n">
        <x:f>MONTH(B1272)</x:f>
        <x:v>2</x:v>
      </x:c>
      <x:c r="K1272" s="14" t="n">
        <x:f>ROUND(E1272*F1272-G1272,10)</x:f>
        <x:v>0</x:v>
      </x:c>
      <x:c r="L1272" s="2"/>
      <x:c r="M1272" s="2"/>
      <x:c r="N1272" s="2"/>
      <x:c r="O1272" s="2"/>
      <x:c r="P1272" s="2"/>
      <x:c r="Q1272" s="2"/>
      <x:c r="R1272" s="2"/>
    </x:row>
    <x:row r="1273" ht="22" customHeight="1">
      <x:c r="A1273" s="2" t="n">
        <x:v>101267</x:v>
      </x:c>
      <x:c r="B1273" s="10" t="n">
        <x:v>45566</x:v>
      </x:c>
      <x:c r="C1273" s="2" t="str">
        <x:v>Argentina</x:v>
      </x:c>
      <x:c r="D1273" s="2" t="str">
        <x:v>Acessórios</x:v>
      </x:c>
      <x:c r="E1273" s="11" t="n">
        <x:v>32</x:v>
      </x:c>
      <x:c r="F1273" s="12" t="n">
        <x:v>125.29</x:v>
      </x:c>
      <x:c r="G1273" s="12" t="n">
        <x:v>4009.28</x:v>
      </x:c>
      <x:c r="H1273" s="13" t="n">
        <x:v>267</x:v>
      </x:c>
      <x:c r="I1273" s="13" t="n">
        <x:f>YEAR(B1273)</x:f>
        <x:v>2024</x:v>
      </x:c>
      <x:c r="J1273" s="13" t="n">
        <x:f>MONTH(B1273)</x:f>
        <x:v>10</x:v>
      </x:c>
      <x:c r="K1273" s="14" t="n">
        <x:f>ROUND(E1273*F1273-G1273,10)</x:f>
        <x:v>0</x:v>
      </x:c>
      <x:c r="L1273" s="2"/>
      <x:c r="M1273" s="2"/>
      <x:c r="N1273" s="2"/>
      <x:c r="O1273" s="2"/>
      <x:c r="P1273" s="2"/>
      <x:c r="Q1273" s="2"/>
      <x:c r="R1273" s="2"/>
    </x:row>
    <x:row r="1274" ht="22" customHeight="1">
      <x:c r="A1274" s="2" t="n">
        <x:v>101268</x:v>
      </x:c>
      <x:c r="B1274" s="10" t="n">
        <x:v>45354</x:v>
      </x:c>
      <x:c r="C1274" s="2" t="str">
        <x:v>Colômbia</x:v>
      </x:c>
      <x:c r="D1274" s="2" t="str">
        <x:v>Moda Feminina</x:v>
      </x:c>
      <x:c r="E1274" s="11" t="n">
        <x:v>34</x:v>
      </x:c>
      <x:c r="F1274" s="12" t="n">
        <x:v>67.92</x:v>
      </x:c>
      <x:c r="G1274" s="12" t="n">
        <x:v>2309.28</x:v>
      </x:c>
      <x:c r="H1274" s="13" t="n">
        <x:v>499</x:v>
      </x:c>
      <x:c r="I1274" s="13" t="n">
        <x:f>YEAR(B1274)</x:f>
        <x:v>2024</x:v>
      </x:c>
      <x:c r="J1274" s="13" t="n">
        <x:f>MONTH(B1274)</x:f>
        <x:v>3</x:v>
      </x:c>
      <x:c r="K1274" s="14" t="n">
        <x:f>ROUND(E1274*F1274-G1274,10)</x:f>
        <x:v>0</x:v>
      </x:c>
      <x:c r="L1274" s="2"/>
      <x:c r="M1274" s="2"/>
      <x:c r="N1274" s="2"/>
      <x:c r="O1274" s="2"/>
      <x:c r="P1274" s="2"/>
      <x:c r="Q1274" s="2"/>
      <x:c r="R1274" s="2"/>
    </x:row>
    <x:row r="1275" ht="22" customHeight="1">
      <x:c r="A1275" s="2" t="n">
        <x:v>101269</x:v>
      </x:c>
      <x:c r="B1275" s="10" t="n">
        <x:v>45208</x:v>
      </x:c>
      <x:c r="C1275" s="2" t="str">
        <x:v>Argentina</x:v>
      </x:c>
      <x:c r="D1275" s="2" t="str">
        <x:v>Moda Masculina</x:v>
      </x:c>
      <x:c r="E1275" s="11" t="n">
        <x:v>48</x:v>
      </x:c>
      <x:c r="F1275" s="12" t="n">
        <x:v>25.64</x:v>
      </x:c>
      <x:c r="G1275" s="12" t="n">
        <x:v>1230.72</x:v>
      </x:c>
      <x:c r="H1275" s="13" t="n">
        <x:v>414</x:v>
      </x:c>
      <x:c r="I1275" s="13" t="n">
        <x:f>YEAR(B1275)</x:f>
        <x:v>2023</x:v>
      </x:c>
      <x:c r="J1275" s="13" t="n">
        <x:f>MONTH(B1275)</x:f>
        <x:v>10</x:v>
      </x:c>
      <x:c r="K1275" s="14" t="n">
        <x:f>ROUND(E1275*F1275-G1275,10)</x:f>
        <x:v>0</x:v>
      </x:c>
      <x:c r="L1275" s="2"/>
      <x:c r="M1275" s="2"/>
      <x:c r="N1275" s="2"/>
      <x:c r="O1275" s="2"/>
      <x:c r="P1275" s="2"/>
      <x:c r="Q1275" s="2"/>
      <x:c r="R1275" s="2"/>
    </x:row>
    <x:row r="1276" ht="22" customHeight="1">
      <x:c r="A1276" s="2" t="n">
        <x:v>101270</x:v>
      </x:c>
      <x:c r="B1276" s="10" t="n">
        <x:v>45010</x:v>
      </x:c>
      <x:c r="C1276" s="2" t="str">
        <x:v>México</x:v>
      </x:c>
      <x:c r="D1276" s="2" t="str">
        <x:v>Acessórios</x:v>
      </x:c>
      <x:c r="E1276" s="11" t="n">
        <x:v>20</x:v>
      </x:c>
      <x:c r="F1276" s="12" t="n">
        <x:v>41.5</x:v>
      </x:c>
      <x:c r="G1276" s="12" t="n">
        <x:v>830</x:v>
      </x:c>
      <x:c r="H1276" s="13" t="n">
        <x:v>238</x:v>
      </x:c>
      <x:c r="I1276" s="13" t="n">
        <x:f>YEAR(B1276)</x:f>
        <x:v>2023</x:v>
      </x:c>
      <x:c r="J1276" s="13" t="n">
        <x:f>MONTH(B1276)</x:f>
        <x:v>3</x:v>
      </x:c>
      <x:c r="K1276" s="14" t="n">
        <x:f>ROUND(E1276*F1276-G1276,10)</x:f>
        <x:v>0</x:v>
      </x:c>
      <x:c r="L1276" s="2"/>
      <x:c r="M1276" s="2"/>
      <x:c r="N1276" s="2"/>
      <x:c r="O1276" s="2"/>
      <x:c r="P1276" s="2"/>
      <x:c r="Q1276" s="2"/>
      <x:c r="R1276" s="2"/>
    </x:row>
    <x:row r="1277" ht="22" customHeight="1">
      <x:c r="A1277" s="2" t="n">
        <x:v>101271</x:v>
      </x:c>
      <x:c r="B1277" s="10" t="n">
        <x:v>45225</x:v>
      </x:c>
      <x:c r="C1277" s="2" t="str">
        <x:v>Brasil</x:v>
      </x:c>
      <x:c r="D1277" s="2" t="str">
        <x:v>Moda Feminina</x:v>
      </x:c>
      <x:c r="E1277" s="11" t="n">
        <x:v>39</x:v>
      </x:c>
      <x:c r="F1277" s="12" t="n">
        <x:v>132.01</x:v>
      </x:c>
      <x:c r="G1277" s="12" t="n">
        <x:v>5148.389999999999</x:v>
      </x:c>
      <x:c r="H1277" s="13" t="n">
        <x:v>382</x:v>
      </x:c>
      <x:c r="I1277" s="13" t="n">
        <x:f>YEAR(B1277)</x:f>
        <x:v>2023</x:v>
      </x:c>
      <x:c r="J1277" s="13" t="n">
        <x:f>MONTH(B1277)</x:f>
        <x:v>10</x:v>
      </x:c>
      <x:c r="K1277" s="14" t="n">
        <x:f>ROUND(E1277*F1277-G1277,10)</x:f>
        <x:v>0</x:v>
      </x:c>
      <x:c r="L1277" s="2"/>
      <x:c r="M1277" s="2"/>
      <x:c r="N1277" s="2"/>
      <x:c r="O1277" s="2"/>
      <x:c r="P1277" s="2"/>
      <x:c r="Q1277" s="2"/>
      <x:c r="R1277" s="2"/>
    </x:row>
    <x:row r="1278" ht="22" customHeight="1">
      <x:c r="A1278" s="2" t="n">
        <x:v>101272</x:v>
      </x:c>
      <x:c r="B1278" s="10" t="n">
        <x:v>45067</x:v>
      </x:c>
      <x:c r="C1278" s="2" t="str">
        <x:v>Brasil</x:v>
      </x:c>
      <x:c r="D1278" s="2" t="str">
        <x:v>Moda Infantil</x:v>
      </x:c>
      <x:c r="E1278" s="11" t="n">
        <x:v>2</x:v>
      </x:c>
      <x:c r="F1278" s="12" t="n">
        <x:v>188.2</x:v>
      </x:c>
      <x:c r="G1278" s="12" t="n">
        <x:v>376.4</x:v>
      </x:c>
      <x:c r="H1278" s="13" t="n">
        <x:v>484</x:v>
      </x:c>
      <x:c r="I1278" s="13" t="n">
        <x:f>YEAR(B1278)</x:f>
        <x:v>2023</x:v>
      </x:c>
      <x:c r="J1278" s="13" t="n">
        <x:f>MONTH(B1278)</x:f>
        <x:v>5</x:v>
      </x:c>
      <x:c r="K1278" s="14" t="n">
        <x:f>ROUND(E1278*F1278-G1278,10)</x:f>
        <x:v>0</x:v>
      </x:c>
      <x:c r="L1278" s="2"/>
      <x:c r="M1278" s="2"/>
      <x:c r="N1278" s="2"/>
      <x:c r="O1278" s="2"/>
      <x:c r="P1278" s="2"/>
      <x:c r="Q1278" s="2"/>
      <x:c r="R1278" s="2"/>
    </x:row>
    <x:row r="1279" ht="22" customHeight="1">
      <x:c r="A1279" s="2" t="n">
        <x:v>101273</x:v>
      </x:c>
      <x:c r="B1279" s="10" t="n">
        <x:v>45048</x:v>
      </x:c>
      <x:c r="C1279" s="2" t="str">
        <x:v>Colômbia</x:v>
      </x:c>
      <x:c r="D1279" s="2" t="str">
        <x:v>Moda Infantil</x:v>
      </x:c>
      <x:c r="E1279" s="11" t="n">
        <x:v>1</x:v>
      </x:c>
      <x:c r="F1279" s="12" t="n">
        <x:v>57.18</x:v>
      </x:c>
      <x:c r="G1279" s="12" t="n">
        <x:v>57.18</x:v>
      </x:c>
      <x:c r="H1279" s="13" t="n">
        <x:v>355</x:v>
      </x:c>
      <x:c r="I1279" s="13" t="n">
        <x:f>YEAR(B1279)</x:f>
        <x:v>2023</x:v>
      </x:c>
      <x:c r="J1279" s="13" t="n">
        <x:f>MONTH(B1279)</x:f>
        <x:v>5</x:v>
      </x:c>
      <x:c r="K1279" s="14" t="n">
        <x:f>ROUND(E1279*F1279-G1279,10)</x:f>
        <x:v>0</x:v>
      </x:c>
      <x:c r="L1279" s="2"/>
      <x:c r="M1279" s="2"/>
      <x:c r="N1279" s="2"/>
      <x:c r="O1279" s="2"/>
      <x:c r="P1279" s="2"/>
      <x:c r="Q1279" s="2"/>
      <x:c r="R1279" s="2"/>
    </x:row>
    <x:row r="1280" ht="22" customHeight="1">
      <x:c r="A1280" s="2" t="n">
        <x:v>101274</x:v>
      </x:c>
      <x:c r="B1280" s="10" t="n">
        <x:v>45040</x:v>
      </x:c>
      <x:c r="C1280" s="2" t="str">
        <x:v>Brasil</x:v>
      </x:c>
      <x:c r="D1280" s="2" t="str">
        <x:v>Moda Masculina</x:v>
      </x:c>
      <x:c r="E1280" s="11" t="n">
        <x:v>36</x:v>
      </x:c>
      <x:c r="F1280" s="12" t="n">
        <x:v>152.3</x:v>
      </x:c>
      <x:c r="G1280" s="12" t="n">
        <x:v>5482.8</x:v>
      </x:c>
      <x:c r="H1280" s="13" t="n">
        <x:v>173</x:v>
      </x:c>
      <x:c r="I1280" s="13" t="n">
        <x:f>YEAR(B1280)</x:f>
        <x:v>2023</x:v>
      </x:c>
      <x:c r="J1280" s="13" t="n">
        <x:f>MONTH(B1280)</x:f>
        <x:v>4</x:v>
      </x:c>
      <x:c r="K1280" s="14" t="n">
        <x:f>ROUND(E1280*F1280-G1280,10)</x:f>
        <x:v>0</x:v>
      </x:c>
      <x:c r="L1280" s="2"/>
      <x:c r="M1280" s="2"/>
      <x:c r="N1280" s="2"/>
      <x:c r="O1280" s="2"/>
      <x:c r="P1280" s="2"/>
      <x:c r="Q1280" s="2"/>
      <x:c r="R1280" s="2"/>
    </x:row>
    <x:row r="1281" ht="22" customHeight="1">
      <x:c r="A1281" s="2" t="n">
        <x:v>101275</x:v>
      </x:c>
      <x:c r="B1281" s="10" t="n">
        <x:v>45510</x:v>
      </x:c>
      <x:c r="C1281" s="2" t="str">
        <x:v>Brasil</x:v>
      </x:c>
      <x:c r="D1281" s="2" t="str">
        <x:v>Acessórios</x:v>
      </x:c>
      <x:c r="E1281" s="11" t="n">
        <x:v>24</x:v>
      </x:c>
      <x:c r="F1281" s="12" t="n">
        <x:v>175.96</x:v>
      </x:c>
      <x:c r="G1281" s="12" t="n">
        <x:v>4223.04</x:v>
      </x:c>
      <x:c r="H1281" s="13" t="n">
        <x:v>68</x:v>
      </x:c>
      <x:c r="I1281" s="13" t="n">
        <x:f>YEAR(B1281)</x:f>
        <x:v>2024</x:v>
      </x:c>
      <x:c r="J1281" s="13" t="n">
        <x:f>MONTH(B1281)</x:f>
        <x:v>8</x:v>
      </x:c>
      <x:c r="K1281" s="14" t="n">
        <x:f>ROUND(E1281*F1281-G1281,10)</x:f>
        <x:v>0</x:v>
      </x:c>
      <x:c r="L1281" s="2"/>
      <x:c r="M1281" s="2"/>
      <x:c r="N1281" s="2"/>
      <x:c r="O1281" s="2"/>
      <x:c r="P1281" s="2"/>
      <x:c r="Q1281" s="2"/>
      <x:c r="R1281" s="2"/>
    </x:row>
    <x:row r="1282" ht="22" customHeight="1">
      <x:c r="A1282" s="2" t="n">
        <x:v>101276</x:v>
      </x:c>
      <x:c r="B1282" s="10" t="n">
        <x:v>44935</x:v>
      </x:c>
      <x:c r="C1282" s="2" t="str">
        <x:v>Colômbia</x:v>
      </x:c>
      <x:c r="D1282" s="2" t="str">
        <x:v>Acessórios</x:v>
      </x:c>
      <x:c r="E1282" s="11" t="n">
        <x:v>27</x:v>
      </x:c>
      <x:c r="F1282" s="12" t="n">
        <x:v>113.76</x:v>
      </x:c>
      <x:c r="G1282" s="12" t="n">
        <x:v>3071.52</x:v>
      </x:c>
      <x:c r="H1282" s="13" t="n">
        <x:v>306</x:v>
      </x:c>
      <x:c r="I1282" s="13" t="n">
        <x:f>YEAR(B1282)</x:f>
        <x:v>2023</x:v>
      </x:c>
      <x:c r="J1282" s="13" t="n">
        <x:f>MONTH(B1282)</x:f>
        <x:v>1</x:v>
      </x:c>
      <x:c r="K1282" s="14" t="n">
        <x:f>ROUND(E1282*F1282-G1282,10)</x:f>
        <x:v>0</x:v>
      </x:c>
      <x:c r="L1282" s="2"/>
      <x:c r="M1282" s="2"/>
      <x:c r="N1282" s="2"/>
      <x:c r="O1282" s="2"/>
      <x:c r="P1282" s="2"/>
      <x:c r="Q1282" s="2"/>
      <x:c r="R1282" s="2"/>
    </x:row>
    <x:row r="1283" ht="22" customHeight="1">
      <x:c r="A1283" s="2" t="n">
        <x:v>101277</x:v>
      </x:c>
      <x:c r="B1283" s="10" t="n">
        <x:v>44958</x:v>
      </x:c>
      <x:c r="C1283" s="2" t="str">
        <x:v>Peru</x:v>
      </x:c>
      <x:c r="D1283" s="2" t="str">
        <x:v>Acessórios</x:v>
      </x:c>
      <x:c r="E1283" s="11" t="n">
        <x:v>2</x:v>
      </x:c>
      <x:c r="F1283" s="12" t="n">
        <x:v>140.47</x:v>
      </x:c>
      <x:c r="G1283" s="12" t="n">
        <x:v>280.94</x:v>
      </x:c>
      <x:c r="H1283" s="13" t="n">
        <x:v>345</x:v>
      </x:c>
      <x:c r="I1283" s="13" t="n">
        <x:f>YEAR(B1283)</x:f>
        <x:v>2023</x:v>
      </x:c>
      <x:c r="J1283" s="13" t="n">
        <x:f>MONTH(B1283)</x:f>
        <x:v>2</x:v>
      </x:c>
      <x:c r="K1283" s="14" t="n">
        <x:f>ROUND(E1283*F1283-G1283,10)</x:f>
        <x:v>0</x:v>
      </x:c>
      <x:c r="L1283" s="2"/>
      <x:c r="M1283" s="2"/>
      <x:c r="N1283" s="2"/>
      <x:c r="O1283" s="2"/>
      <x:c r="P1283" s="2"/>
      <x:c r="Q1283" s="2"/>
      <x:c r="R1283" s="2"/>
    </x:row>
    <x:row r="1284" ht="22" customHeight="1">
      <x:c r="A1284" s="2" t="n">
        <x:v>101278</x:v>
      </x:c>
      <x:c r="B1284" s="10" t="n">
        <x:v>45215</x:v>
      </x:c>
      <x:c r="C1284" s="2" t="str">
        <x:v>Peru</x:v>
      </x:c>
      <x:c r="D1284" s="2" t="str">
        <x:v>Moda Masculina</x:v>
      </x:c>
      <x:c r="E1284" s="11" t="n">
        <x:v>31</x:v>
      </x:c>
      <x:c r="F1284" s="12" t="n">
        <x:v>166.7</x:v>
      </x:c>
      <x:c r="G1284" s="12" t="n">
        <x:v>5167.7</x:v>
      </x:c>
      <x:c r="H1284" s="13" t="n">
        <x:v>465</x:v>
      </x:c>
      <x:c r="I1284" s="13" t="n">
        <x:f>YEAR(B1284)</x:f>
        <x:v>2023</x:v>
      </x:c>
      <x:c r="J1284" s="13" t="n">
        <x:f>MONTH(B1284)</x:f>
        <x:v>10</x:v>
      </x:c>
      <x:c r="K1284" s="14" t="n">
        <x:f>ROUND(E1284*F1284-G1284,10)</x:f>
        <x:v>0</x:v>
      </x:c>
      <x:c r="L1284" s="2"/>
      <x:c r="M1284" s="2"/>
      <x:c r="N1284" s="2"/>
      <x:c r="O1284" s="2"/>
      <x:c r="P1284" s="2"/>
      <x:c r="Q1284" s="2"/>
      <x:c r="R1284" s="2"/>
    </x:row>
    <x:row r="1285" ht="22" customHeight="1">
      <x:c r="A1285" s="2" t="n">
        <x:v>101279</x:v>
      </x:c>
      <x:c r="B1285" s="10" t="n">
        <x:v>45326</x:v>
      </x:c>
      <x:c r="C1285" s="2" t="str">
        <x:v>Colômbia</x:v>
      </x:c>
      <x:c r="D1285" s="2" t="str">
        <x:v>Acessórios</x:v>
      </x:c>
      <x:c r="E1285" s="11" t="n">
        <x:v>14</x:v>
      </x:c>
      <x:c r="F1285" s="12" t="n">
        <x:v>66.92</x:v>
      </x:c>
      <x:c r="G1285" s="12" t="n">
        <x:v>936.88</x:v>
      </x:c>
      <x:c r="H1285" s="13" t="n">
        <x:v>71</x:v>
      </x:c>
      <x:c r="I1285" s="13" t="n">
        <x:f>YEAR(B1285)</x:f>
        <x:v>2024</x:v>
      </x:c>
      <x:c r="J1285" s="13" t="n">
        <x:f>MONTH(B1285)</x:f>
        <x:v>2</x:v>
      </x:c>
      <x:c r="K1285" s="14" t="n">
        <x:f>ROUND(E1285*F1285-G1285,10)</x:f>
        <x:v>0</x:v>
      </x:c>
      <x:c r="L1285" s="2"/>
      <x:c r="M1285" s="2"/>
      <x:c r="N1285" s="2"/>
      <x:c r="O1285" s="2"/>
      <x:c r="P1285" s="2"/>
      <x:c r="Q1285" s="2"/>
      <x:c r="R1285" s="2"/>
    </x:row>
    <x:row r="1286" ht="22" customHeight="1">
      <x:c r="A1286" s="2" t="n">
        <x:v>101280</x:v>
      </x:c>
      <x:c r="B1286" s="10" t="n">
        <x:v>45433</x:v>
      </x:c>
      <x:c r="C1286" s="2" t="str">
        <x:v>México</x:v>
      </x:c>
      <x:c r="D1286" s="2" t="str">
        <x:v>Moda Infantil</x:v>
      </x:c>
      <x:c r="E1286" s="11" t="n">
        <x:v>2</x:v>
      </x:c>
      <x:c r="F1286" s="12" t="n">
        <x:v>73.44</x:v>
      </x:c>
      <x:c r="G1286" s="12" t="n">
        <x:v>146.88</x:v>
      </x:c>
      <x:c r="H1286" s="13" t="n">
        <x:v>417</x:v>
      </x:c>
      <x:c r="I1286" s="13" t="n">
        <x:f>YEAR(B1286)</x:f>
        <x:v>2024</x:v>
      </x:c>
      <x:c r="J1286" s="13" t="n">
        <x:f>MONTH(B1286)</x:f>
        <x:v>5</x:v>
      </x:c>
      <x:c r="K1286" s="14" t="n">
        <x:f>ROUND(E1286*F1286-G1286,10)</x:f>
        <x:v>0</x:v>
      </x:c>
      <x:c r="L1286" s="2"/>
      <x:c r="M1286" s="2"/>
      <x:c r="N1286" s="2"/>
      <x:c r="O1286" s="2"/>
      <x:c r="P1286" s="2"/>
      <x:c r="Q1286" s="2"/>
      <x:c r="R1286" s="2"/>
    </x:row>
    <x:row r="1287" ht="22" customHeight="1">
      <x:c r="A1287" s="2" t="n">
        <x:v>101281</x:v>
      </x:c>
      <x:c r="B1287" s="10" t="n">
        <x:v>45208</x:v>
      </x:c>
      <x:c r="C1287" s="2" t="str">
        <x:v>Brasil</x:v>
      </x:c>
      <x:c r="D1287" s="2" t="str">
        <x:v>Moda Feminina</x:v>
      </x:c>
      <x:c r="E1287" s="11" t="n">
        <x:v>29</x:v>
      </x:c>
      <x:c r="F1287" s="12" t="n">
        <x:v>20.11</x:v>
      </x:c>
      <x:c r="G1287" s="12" t="n">
        <x:v>583.1899999999999</x:v>
      </x:c>
      <x:c r="H1287" s="13" t="n">
        <x:v>499</x:v>
      </x:c>
      <x:c r="I1287" s="13" t="n">
        <x:f>YEAR(B1287)</x:f>
        <x:v>2023</x:v>
      </x:c>
      <x:c r="J1287" s="13" t="n">
        <x:f>MONTH(B1287)</x:f>
        <x:v>10</x:v>
      </x:c>
      <x:c r="K1287" s="14" t="n">
        <x:f>ROUND(E1287*F1287-G1287,10)</x:f>
        <x:v>0</x:v>
      </x:c>
      <x:c r="L1287" s="2"/>
      <x:c r="M1287" s="2"/>
      <x:c r="N1287" s="2"/>
      <x:c r="O1287" s="2"/>
      <x:c r="P1287" s="2"/>
      <x:c r="Q1287" s="2"/>
      <x:c r="R1287" s="2"/>
    </x:row>
    <x:row r="1288" ht="22" customHeight="1">
      <x:c r="A1288" s="2" t="n">
        <x:v>101282</x:v>
      </x:c>
      <x:c r="B1288" s="10" t="n">
        <x:v>45268</x:v>
      </x:c>
      <x:c r="C1288" s="2" t="str">
        <x:v>Brasil</x:v>
      </x:c>
      <x:c r="D1288" s="2" t="str">
        <x:v>Moda Infantil</x:v>
      </x:c>
      <x:c r="E1288" s="11" t="n">
        <x:v>15</x:v>
      </x:c>
      <x:c r="F1288" s="12" t="n">
        <x:v>193.36</x:v>
      </x:c>
      <x:c r="G1288" s="12" t="n">
        <x:v>2900.4</x:v>
      </x:c>
      <x:c r="H1288" s="13" t="n">
        <x:v>89</x:v>
      </x:c>
      <x:c r="I1288" s="13" t="n">
        <x:f>YEAR(B1288)</x:f>
        <x:v>2023</x:v>
      </x:c>
      <x:c r="J1288" s="13" t="n">
        <x:f>MONTH(B1288)</x:f>
        <x:v>12</x:v>
      </x:c>
      <x:c r="K1288" s="14" t="n">
        <x:f>ROUND(E1288*F1288-G1288,10)</x:f>
        <x:v>0</x:v>
      </x:c>
      <x:c r="L1288" s="2"/>
      <x:c r="M1288" s="2"/>
      <x:c r="N1288" s="2"/>
      <x:c r="O1288" s="2"/>
      <x:c r="P1288" s="2"/>
      <x:c r="Q1288" s="2"/>
      <x:c r="R1288" s="2"/>
    </x:row>
    <x:row r="1289" ht="22" customHeight="1">
      <x:c r="A1289" s="2" t="n">
        <x:v>101283</x:v>
      </x:c>
      <x:c r="B1289" s="10" t="n">
        <x:v>45590</x:v>
      </x:c>
      <x:c r="C1289" s="2" t="str">
        <x:v>México</x:v>
      </x:c>
      <x:c r="D1289" s="2" t="str">
        <x:v>Moda Infantil</x:v>
      </x:c>
      <x:c r="E1289" s="11" t="n">
        <x:v>12</x:v>
      </x:c>
      <x:c r="F1289" s="12" t="n">
        <x:v>185.16</x:v>
      </x:c>
      <x:c r="G1289" s="12" t="n">
        <x:v>2221.92</x:v>
      </x:c>
      <x:c r="H1289" s="13" t="n">
        <x:v>87</x:v>
      </x:c>
      <x:c r="I1289" s="13" t="n">
        <x:f>YEAR(B1289)</x:f>
        <x:v>2024</x:v>
      </x:c>
      <x:c r="J1289" s="13" t="n">
        <x:f>MONTH(B1289)</x:f>
        <x:v>10</x:v>
      </x:c>
      <x:c r="K1289" s="14" t="n">
        <x:f>ROUND(E1289*F1289-G1289,10)</x:f>
        <x:v>0</x:v>
      </x:c>
      <x:c r="L1289" s="2"/>
      <x:c r="M1289" s="2"/>
      <x:c r="N1289" s="2"/>
      <x:c r="O1289" s="2"/>
      <x:c r="P1289" s="2"/>
      <x:c r="Q1289" s="2"/>
      <x:c r="R1289" s="2"/>
    </x:row>
    <x:row r="1290" ht="22" customHeight="1">
      <x:c r="A1290" s="2" t="n">
        <x:v>101284</x:v>
      </x:c>
      <x:c r="B1290" s="10" t="n">
        <x:v>45316</x:v>
      </x:c>
      <x:c r="C1290" s="2" t="str">
        <x:v>Peru</x:v>
      </x:c>
      <x:c r="D1290" s="2" t="str">
        <x:v>Moda Feminina</x:v>
      </x:c>
      <x:c r="E1290" s="11" t="n">
        <x:v>37</x:v>
      </x:c>
      <x:c r="F1290" s="12" t="n">
        <x:v>157.62</x:v>
      </x:c>
      <x:c r="G1290" s="12" t="n">
        <x:v>5831.940000000001</x:v>
      </x:c>
      <x:c r="H1290" s="13" t="n">
        <x:v>97</x:v>
      </x:c>
      <x:c r="I1290" s="13" t="n">
        <x:f>YEAR(B1290)</x:f>
        <x:v>2024</x:v>
      </x:c>
      <x:c r="J1290" s="13" t="n">
        <x:f>MONTH(B1290)</x:f>
        <x:v>1</x:v>
      </x:c>
      <x:c r="K1290" s="14" t="n">
        <x:f>ROUND(E1290*F1290-G1290,10)</x:f>
        <x:v>0</x:v>
      </x:c>
      <x:c r="L1290" s="2"/>
      <x:c r="M1290" s="2"/>
      <x:c r="N1290" s="2"/>
      <x:c r="O1290" s="2"/>
      <x:c r="P1290" s="2"/>
      <x:c r="Q1290" s="2"/>
      <x:c r="R1290" s="2"/>
    </x:row>
    <x:row r="1291" ht="22" customHeight="1">
      <x:c r="A1291" s="2" t="n">
        <x:v>101285</x:v>
      </x:c>
      <x:c r="B1291" s="10" t="n">
        <x:v>45245</x:v>
      </x:c>
      <x:c r="C1291" s="2" t="str">
        <x:v>Chile</x:v>
      </x:c>
      <x:c r="D1291" s="2" t="str">
        <x:v>Moda Infantil</x:v>
      </x:c>
      <x:c r="E1291" s="11" t="n">
        <x:v>28</x:v>
      </x:c>
      <x:c r="F1291" s="12" t="n">
        <x:v>34.23</x:v>
      </x:c>
      <x:c r="G1291" s="12" t="n">
        <x:v>958.4399999999999</x:v>
      </x:c>
      <x:c r="H1291" s="13" t="n">
        <x:v>232</x:v>
      </x:c>
      <x:c r="I1291" s="13" t="n">
        <x:f>YEAR(B1291)</x:f>
        <x:v>2023</x:v>
      </x:c>
      <x:c r="J1291" s="13" t="n">
        <x:f>MONTH(B1291)</x:f>
        <x:v>11</x:v>
      </x:c>
      <x:c r="K1291" s="14" t="n">
        <x:f>ROUND(E1291*F1291-G1291,10)</x:f>
        <x:v>0</x:v>
      </x:c>
      <x:c r="L1291" s="2"/>
      <x:c r="M1291" s="2"/>
      <x:c r="N1291" s="2"/>
      <x:c r="O1291" s="2"/>
      <x:c r="P1291" s="2"/>
      <x:c r="Q1291" s="2"/>
      <x:c r="R1291" s="2"/>
    </x:row>
    <x:row r="1292" ht="22" customHeight="1">
      <x:c r="A1292" s="2" t="n">
        <x:v>101286</x:v>
      </x:c>
      <x:c r="B1292" s="10" t="n">
        <x:v>45451</x:v>
      </x:c>
      <x:c r="C1292" s="2" t="str">
        <x:v>Chile</x:v>
      </x:c>
      <x:c r="D1292" s="2" t="str">
        <x:v>Moda Masculina</x:v>
      </x:c>
      <x:c r="E1292" s="11" t="n">
        <x:v>20</x:v>
      </x:c>
      <x:c r="F1292" s="12" t="n">
        <x:v>100.55</x:v>
      </x:c>
      <x:c r="G1292" s="12" t="n">
        <x:v>2011</x:v>
      </x:c>
      <x:c r="H1292" s="13" t="n">
        <x:v>124</x:v>
      </x:c>
      <x:c r="I1292" s="13" t="n">
        <x:f>YEAR(B1292)</x:f>
        <x:v>2024</x:v>
      </x:c>
      <x:c r="J1292" s="13" t="n">
        <x:f>MONTH(B1292)</x:f>
        <x:v>6</x:v>
      </x:c>
      <x:c r="K1292" s="14" t="n">
        <x:f>ROUND(E1292*F1292-G1292,10)</x:f>
        <x:v>0</x:v>
      </x:c>
      <x:c r="L1292" s="2"/>
      <x:c r="M1292" s="2"/>
      <x:c r="N1292" s="2"/>
      <x:c r="O1292" s="2"/>
      <x:c r="P1292" s="2"/>
      <x:c r="Q1292" s="2"/>
      <x:c r="R1292" s="2"/>
    </x:row>
    <x:row r="1293" ht="22" customHeight="1">
      <x:c r="A1293" s="2" t="n">
        <x:v>101287</x:v>
      </x:c>
      <x:c r="B1293" s="10" t="n">
        <x:v>45330</x:v>
      </x:c>
      <x:c r="C1293" s="2" t="str">
        <x:v>Chile</x:v>
      </x:c>
      <x:c r="D1293" s="2" t="str">
        <x:v>Moda Feminina</x:v>
      </x:c>
      <x:c r="E1293" s="11" t="n">
        <x:v>39</x:v>
      </x:c>
      <x:c r="F1293" s="12" t="n">
        <x:v>38.34</x:v>
      </x:c>
      <x:c r="G1293" s="12" t="n">
        <x:v>1495.26</x:v>
      </x:c>
      <x:c r="H1293" s="13" t="n">
        <x:v>258</x:v>
      </x:c>
      <x:c r="I1293" s="13" t="n">
        <x:f>YEAR(B1293)</x:f>
        <x:v>2024</x:v>
      </x:c>
      <x:c r="J1293" s="13" t="n">
        <x:f>MONTH(B1293)</x:f>
        <x:v>2</x:v>
      </x:c>
      <x:c r="K1293" s="14" t="n">
        <x:f>ROUND(E1293*F1293-G1293,10)</x:f>
        <x:v>0</x:v>
      </x:c>
      <x:c r="L1293" s="2"/>
      <x:c r="M1293" s="2"/>
      <x:c r="N1293" s="2"/>
      <x:c r="O1293" s="2"/>
      <x:c r="P1293" s="2"/>
      <x:c r="Q1293" s="2"/>
      <x:c r="R1293" s="2"/>
    </x:row>
    <x:row r="1294" ht="22" customHeight="1">
      <x:c r="A1294" s="2" t="n">
        <x:v>101288</x:v>
      </x:c>
      <x:c r="B1294" s="10" t="n">
        <x:v>45604</x:v>
      </x:c>
      <x:c r="C1294" s="2" t="str">
        <x:v>Peru</x:v>
      </x:c>
      <x:c r="D1294" s="2" t="str">
        <x:v>Moda Infantil</x:v>
      </x:c>
      <x:c r="E1294" s="11" t="n">
        <x:v>24</x:v>
      </x:c>
      <x:c r="F1294" s="12" t="n">
        <x:v>22.87</x:v>
      </x:c>
      <x:c r="G1294" s="12" t="n">
        <x:v>548.88</x:v>
      </x:c>
      <x:c r="H1294" s="13" t="n">
        <x:v>232</x:v>
      </x:c>
      <x:c r="I1294" s="13" t="n">
        <x:f>YEAR(B1294)</x:f>
        <x:v>2024</x:v>
      </x:c>
      <x:c r="J1294" s="13" t="n">
        <x:f>MONTH(B1294)</x:f>
        <x:v>11</x:v>
      </x:c>
      <x:c r="K1294" s="14" t="n">
        <x:f>ROUND(E1294*F1294-G1294,10)</x:f>
        <x:v>0</x:v>
      </x:c>
      <x:c r="L1294" s="2"/>
      <x:c r="M1294" s="2"/>
      <x:c r="N1294" s="2"/>
      <x:c r="O1294" s="2"/>
      <x:c r="P1294" s="2"/>
      <x:c r="Q1294" s="2"/>
      <x:c r="R1294" s="2"/>
    </x:row>
    <x:row r="1295" ht="22" customHeight="1">
      <x:c r="A1295" s="2" t="n">
        <x:v>101289</x:v>
      </x:c>
      <x:c r="B1295" s="10" t="n">
        <x:v>45361</x:v>
      </x:c>
      <x:c r="C1295" s="2" t="str">
        <x:v>Peru</x:v>
      </x:c>
      <x:c r="D1295" s="2" t="str">
        <x:v>Calçados</x:v>
      </x:c>
      <x:c r="E1295" s="11" t="n">
        <x:v>21</x:v>
      </x:c>
      <x:c r="F1295" s="12" t="n">
        <x:v>130.91</x:v>
      </x:c>
      <x:c r="G1295" s="12" t="n">
        <x:v>2749.11</x:v>
      </x:c>
      <x:c r="H1295" s="13" t="n">
        <x:v>484</x:v>
      </x:c>
      <x:c r="I1295" s="13" t="n">
        <x:f>YEAR(B1295)</x:f>
        <x:v>2024</x:v>
      </x:c>
      <x:c r="J1295" s="13" t="n">
        <x:f>MONTH(B1295)</x:f>
        <x:v>3</x:v>
      </x:c>
      <x:c r="K1295" s="14" t="n">
        <x:f>ROUND(E1295*F1295-G1295,10)</x:f>
        <x:v>0</x:v>
      </x:c>
      <x:c r="L1295" s="2"/>
      <x:c r="M1295" s="2"/>
      <x:c r="N1295" s="2"/>
      <x:c r="O1295" s="2"/>
      <x:c r="P1295" s="2"/>
      <x:c r="Q1295" s="2"/>
      <x:c r="R1295" s="2"/>
    </x:row>
    <x:row r="1296" ht="22" customHeight="1">
      <x:c r="A1296" s="2" t="n">
        <x:v>101290</x:v>
      </x:c>
      <x:c r="B1296" s="10" t="n">
        <x:v>45304</x:v>
      </x:c>
      <x:c r="C1296" s="2" t="str">
        <x:v>México</x:v>
      </x:c>
      <x:c r="D1296" s="2" t="str">
        <x:v>Moda Infantil</x:v>
      </x:c>
      <x:c r="E1296" s="11" t="n">
        <x:v>10</x:v>
      </x:c>
      <x:c r="F1296" s="12" t="n">
        <x:v>192.95</x:v>
      </x:c>
      <x:c r="G1296" s="12" t="n">
        <x:v>1929.5</x:v>
      </x:c>
      <x:c r="H1296" s="13" t="n">
        <x:v>156</x:v>
      </x:c>
      <x:c r="I1296" s="13" t="n">
        <x:f>YEAR(B1296)</x:f>
        <x:v>2024</x:v>
      </x:c>
      <x:c r="J1296" s="13" t="n">
        <x:f>MONTH(B1296)</x:f>
        <x:v>1</x:v>
      </x:c>
      <x:c r="K1296" s="14" t="n">
        <x:f>ROUND(E1296*F1296-G1296,10)</x:f>
        <x:v>0</x:v>
      </x:c>
      <x:c r="L1296" s="2"/>
      <x:c r="M1296" s="2"/>
      <x:c r="N1296" s="2"/>
      <x:c r="O1296" s="2"/>
      <x:c r="P1296" s="2"/>
      <x:c r="Q1296" s="2"/>
      <x:c r="R1296" s="2"/>
    </x:row>
    <x:row r="1297" ht="22" customHeight="1">
      <x:c r="A1297" s="2" t="n">
        <x:v>101291</x:v>
      </x:c>
      <x:c r="B1297" s="10" t="n">
        <x:v>45247</x:v>
      </x:c>
      <x:c r="C1297" s="2" t="str">
        <x:v>Brasil</x:v>
      </x:c>
      <x:c r="D1297" s="2" t="str">
        <x:v>Moda Masculina</x:v>
      </x:c>
      <x:c r="E1297" s="11" t="n">
        <x:v>46</x:v>
      </x:c>
      <x:c r="F1297" s="12" t="n">
        <x:v>182.52</x:v>
      </x:c>
      <x:c r="G1297" s="12" t="n">
        <x:v>8395.92</x:v>
      </x:c>
      <x:c r="H1297" s="13" t="n">
        <x:v>237</x:v>
      </x:c>
      <x:c r="I1297" s="13" t="n">
        <x:f>YEAR(B1297)</x:f>
        <x:v>2023</x:v>
      </x:c>
      <x:c r="J1297" s="13" t="n">
        <x:f>MONTH(B1297)</x:f>
        <x:v>11</x:v>
      </x:c>
      <x:c r="K1297" s="14" t="n">
        <x:f>ROUND(E1297*F1297-G1297,10)</x:f>
        <x:v>0</x:v>
      </x:c>
      <x:c r="L1297" s="2"/>
      <x:c r="M1297" s="2"/>
      <x:c r="N1297" s="2"/>
      <x:c r="O1297" s="2"/>
      <x:c r="P1297" s="2"/>
      <x:c r="Q1297" s="2"/>
      <x:c r="R1297" s="2"/>
    </x:row>
    <x:row r="1298" ht="22" customHeight="1">
      <x:c r="A1298" s="2" t="n">
        <x:v>101292</x:v>
      </x:c>
      <x:c r="B1298" s="10" t="n">
        <x:v>45651</x:v>
      </x:c>
      <x:c r="C1298" s="2" t="str">
        <x:v>México</x:v>
      </x:c>
      <x:c r="D1298" s="2" t="str">
        <x:v>Acessórios</x:v>
      </x:c>
      <x:c r="E1298" s="11" t="n">
        <x:v>14</x:v>
      </x:c>
      <x:c r="F1298" s="12" t="n">
        <x:v>145.42</x:v>
      </x:c>
      <x:c r="G1298" s="12" t="n">
        <x:v>2035.88</x:v>
      </x:c>
      <x:c r="H1298" s="13" t="n">
        <x:v>313</x:v>
      </x:c>
      <x:c r="I1298" s="13" t="n">
        <x:f>YEAR(B1298)</x:f>
        <x:v>2024</x:v>
      </x:c>
      <x:c r="J1298" s="13" t="n">
        <x:f>MONTH(B1298)</x:f>
        <x:v>12</x:v>
      </x:c>
      <x:c r="K1298" s="14" t="n">
        <x:f>ROUND(E1298*F1298-G1298,10)</x:f>
        <x:v>0</x:v>
      </x:c>
      <x:c r="L1298" s="2"/>
      <x:c r="M1298" s="2"/>
      <x:c r="N1298" s="2"/>
      <x:c r="O1298" s="2"/>
      <x:c r="P1298" s="2"/>
      <x:c r="Q1298" s="2"/>
      <x:c r="R1298" s="2"/>
    </x:row>
    <x:row r="1299" ht="22" customHeight="1">
      <x:c r="A1299" s="2" t="n">
        <x:v>101293</x:v>
      </x:c>
      <x:c r="B1299" s="10" t="n">
        <x:v>45402</x:v>
      </x:c>
      <x:c r="C1299" s="2" t="str">
        <x:v>México</x:v>
      </x:c>
      <x:c r="D1299" s="2" t="str">
        <x:v>Moda Infantil</x:v>
      </x:c>
      <x:c r="E1299" s="11" t="n">
        <x:v>37</x:v>
      </x:c>
      <x:c r="F1299" s="12" t="n">
        <x:v>37.4</x:v>
      </x:c>
      <x:c r="G1299" s="12" t="n">
        <x:v>1383.8</x:v>
      </x:c>
      <x:c r="H1299" s="13" t="n">
        <x:v>135</x:v>
      </x:c>
      <x:c r="I1299" s="13" t="n">
        <x:f>YEAR(B1299)</x:f>
        <x:v>2024</x:v>
      </x:c>
      <x:c r="J1299" s="13" t="n">
        <x:f>MONTH(B1299)</x:f>
        <x:v>4</x:v>
      </x:c>
      <x:c r="K1299" s="14" t="n">
        <x:f>ROUND(E1299*F1299-G1299,10)</x:f>
        <x:v>0</x:v>
      </x:c>
      <x:c r="L1299" s="2"/>
      <x:c r="M1299" s="2"/>
      <x:c r="N1299" s="2"/>
      <x:c r="O1299" s="2"/>
      <x:c r="P1299" s="2"/>
      <x:c r="Q1299" s="2"/>
      <x:c r="R1299" s="2"/>
    </x:row>
    <x:row r="1300" ht="22" customHeight="1">
      <x:c r="A1300" s="2" t="n">
        <x:v>101294</x:v>
      </x:c>
      <x:c r="B1300" s="10" t="n">
        <x:v>45148</x:v>
      </x:c>
      <x:c r="C1300" s="2" t="str">
        <x:v>Peru</x:v>
      </x:c>
      <x:c r="D1300" s="2" t="str">
        <x:v>Acessórios</x:v>
      </x:c>
      <x:c r="E1300" s="11" t="n">
        <x:v>18</x:v>
      </x:c>
      <x:c r="F1300" s="12" t="n">
        <x:v>69.35</x:v>
      </x:c>
      <x:c r="G1300" s="12" t="n">
        <x:v>1248.3</x:v>
      </x:c>
      <x:c r="H1300" s="13" t="n">
        <x:v>373</x:v>
      </x:c>
      <x:c r="I1300" s="13" t="n">
        <x:f>YEAR(B1300)</x:f>
        <x:v>2023</x:v>
      </x:c>
      <x:c r="J1300" s="13" t="n">
        <x:f>MONTH(B1300)</x:f>
        <x:v>8</x:v>
      </x:c>
      <x:c r="K1300" s="14" t="n">
        <x:f>ROUND(E1300*F1300-G1300,10)</x:f>
        <x:v>0</x:v>
      </x:c>
      <x:c r="L1300" s="2"/>
      <x:c r="M1300" s="2"/>
      <x:c r="N1300" s="2"/>
      <x:c r="O1300" s="2"/>
      <x:c r="P1300" s="2"/>
      <x:c r="Q1300" s="2"/>
      <x:c r="R1300" s="2"/>
    </x:row>
    <x:row r="1301" ht="22" customHeight="1">
      <x:c r="A1301" s="2" t="n">
        <x:v>101295</x:v>
      </x:c>
      <x:c r="B1301" s="10" t="n">
        <x:v>45284</x:v>
      </x:c>
      <x:c r="C1301" s="2" t="str">
        <x:v>Chile</x:v>
      </x:c>
      <x:c r="D1301" s="2" t="str">
        <x:v>Calçados</x:v>
      </x:c>
      <x:c r="E1301" s="11" t="n">
        <x:v>24</x:v>
      </x:c>
      <x:c r="F1301" s="12" t="n">
        <x:v>77.61</x:v>
      </x:c>
      <x:c r="G1301" s="12" t="n">
        <x:v>1862.64</x:v>
      </x:c>
      <x:c r="H1301" s="13" t="n">
        <x:v>380</x:v>
      </x:c>
      <x:c r="I1301" s="13" t="n">
        <x:f>YEAR(B1301)</x:f>
        <x:v>2023</x:v>
      </x:c>
      <x:c r="J1301" s="13" t="n">
        <x:f>MONTH(B1301)</x:f>
        <x:v>12</x:v>
      </x:c>
      <x:c r="K1301" s="14" t="n">
        <x:f>ROUND(E1301*F1301-G1301,10)</x:f>
        <x:v>0</x:v>
      </x:c>
      <x:c r="L1301" s="2"/>
      <x:c r="M1301" s="2"/>
      <x:c r="N1301" s="2"/>
      <x:c r="O1301" s="2"/>
      <x:c r="P1301" s="2"/>
      <x:c r="Q1301" s="2"/>
      <x:c r="R1301" s="2"/>
    </x:row>
    <x:row r="1302" ht="22" customHeight="1">
      <x:c r="A1302" s="2" t="n">
        <x:v>101296</x:v>
      </x:c>
      <x:c r="B1302" s="10" t="n">
        <x:v>44977</x:v>
      </x:c>
      <x:c r="C1302" s="2" t="str">
        <x:v>Argentina</x:v>
      </x:c>
      <x:c r="D1302" s="2" t="str">
        <x:v>Moda Infantil</x:v>
      </x:c>
      <x:c r="E1302" s="11" t="n">
        <x:v>14</x:v>
      </x:c>
      <x:c r="F1302" s="12" t="n">
        <x:v>157.37</x:v>
      </x:c>
      <x:c r="G1302" s="12" t="n">
        <x:v>2203.18</x:v>
      </x:c>
      <x:c r="H1302" s="13" t="n">
        <x:v>186</x:v>
      </x:c>
      <x:c r="I1302" s="13" t="n">
        <x:f>YEAR(B1302)</x:f>
        <x:v>2023</x:v>
      </x:c>
      <x:c r="J1302" s="13" t="n">
        <x:f>MONTH(B1302)</x:f>
        <x:v>2</x:v>
      </x:c>
      <x:c r="K1302" s="14" t="n">
        <x:f>ROUND(E1302*F1302-G1302,10)</x:f>
        <x:v>0</x:v>
      </x:c>
      <x:c r="L1302" s="2"/>
      <x:c r="M1302" s="2"/>
      <x:c r="N1302" s="2"/>
      <x:c r="O1302" s="2"/>
      <x:c r="P1302" s="2"/>
      <x:c r="Q1302" s="2"/>
      <x:c r="R1302" s="2"/>
    </x:row>
    <x:row r="1303" ht="22" customHeight="1">
      <x:c r="A1303" s="2" t="n">
        <x:v>101297</x:v>
      </x:c>
      <x:c r="B1303" s="10" t="n">
        <x:v>45009</x:v>
      </x:c>
      <x:c r="C1303" s="2" t="str">
        <x:v>Brasil</x:v>
      </x:c>
      <x:c r="D1303" s="2" t="str">
        <x:v>Moda Feminina</x:v>
      </x:c>
      <x:c r="E1303" s="11" t="n">
        <x:v>34</x:v>
      </x:c>
      <x:c r="F1303" s="12" t="n">
        <x:v>164.4</x:v>
      </x:c>
      <x:c r="G1303" s="12" t="n">
        <x:v>5589.6</x:v>
      </x:c>
      <x:c r="H1303" s="13" t="n">
        <x:v>395</x:v>
      </x:c>
      <x:c r="I1303" s="13" t="n">
        <x:f>YEAR(B1303)</x:f>
        <x:v>2023</x:v>
      </x:c>
      <x:c r="J1303" s="13" t="n">
        <x:f>MONTH(B1303)</x:f>
        <x:v>3</x:v>
      </x:c>
      <x:c r="K1303" s="14" t="n">
        <x:f>ROUND(E1303*F1303-G1303,10)</x:f>
        <x:v>0</x:v>
      </x:c>
      <x:c r="L1303" s="2"/>
      <x:c r="M1303" s="2"/>
      <x:c r="N1303" s="2"/>
      <x:c r="O1303" s="2"/>
      <x:c r="P1303" s="2"/>
      <x:c r="Q1303" s="2"/>
      <x:c r="R1303" s="2"/>
    </x:row>
    <x:row r="1304" ht="22" customHeight="1">
      <x:c r="A1304" s="2" t="n">
        <x:v>101298</x:v>
      </x:c>
      <x:c r="B1304" s="10" t="n">
        <x:v>45097</x:v>
      </x:c>
      <x:c r="C1304" s="2" t="str">
        <x:v>Peru</x:v>
      </x:c>
      <x:c r="D1304" s="2" t="str">
        <x:v>Acessórios</x:v>
      </x:c>
      <x:c r="E1304" s="11" t="n">
        <x:v>12</x:v>
      </x:c>
      <x:c r="F1304" s="12" t="n">
        <x:v>89.32</x:v>
      </x:c>
      <x:c r="G1304" s="12" t="n">
        <x:v>1071.84</x:v>
      </x:c>
      <x:c r="H1304" s="13" t="n">
        <x:v>435</x:v>
      </x:c>
      <x:c r="I1304" s="13" t="n">
        <x:f>YEAR(B1304)</x:f>
        <x:v>2023</x:v>
      </x:c>
      <x:c r="J1304" s="13" t="n">
        <x:f>MONTH(B1304)</x:f>
        <x:v>6</x:v>
      </x:c>
      <x:c r="K1304" s="14" t="n">
        <x:f>ROUND(E1304*F1304-G1304,10)</x:f>
        <x:v>0</x:v>
      </x:c>
      <x:c r="L1304" s="2"/>
      <x:c r="M1304" s="2"/>
      <x:c r="N1304" s="2"/>
      <x:c r="O1304" s="2"/>
      <x:c r="P1304" s="2"/>
      <x:c r="Q1304" s="2"/>
      <x:c r="R1304" s="2"/>
    </x:row>
    <x:row r="1305" ht="22" customHeight="1">
      <x:c r="A1305" s="2" t="n">
        <x:v>101299</x:v>
      </x:c>
      <x:c r="B1305" s="10" t="n">
        <x:v>45347</x:v>
      </x:c>
      <x:c r="C1305" s="2" t="str">
        <x:v>Chile</x:v>
      </x:c>
      <x:c r="D1305" s="2" t="str">
        <x:v>Calçados</x:v>
      </x:c>
      <x:c r="E1305" s="11" t="n">
        <x:v>22</x:v>
      </x:c>
      <x:c r="F1305" s="12" t="n">
        <x:v>95.22</x:v>
      </x:c>
      <x:c r="G1305" s="12" t="n">
        <x:v>2094.84</x:v>
      </x:c>
      <x:c r="H1305" s="13" t="n">
        <x:v>385</x:v>
      </x:c>
      <x:c r="I1305" s="13" t="n">
        <x:f>YEAR(B1305)</x:f>
        <x:v>2024</x:v>
      </x:c>
      <x:c r="J1305" s="13" t="n">
        <x:f>MONTH(B1305)</x:f>
        <x:v>2</x:v>
      </x:c>
      <x:c r="K1305" s="14" t="n">
        <x:f>ROUND(E1305*F1305-G1305,10)</x:f>
        <x:v>0</x:v>
      </x:c>
      <x:c r="L1305" s="2"/>
      <x:c r="M1305" s="2"/>
      <x:c r="N1305" s="2"/>
      <x:c r="O1305" s="2"/>
      <x:c r="P1305" s="2"/>
      <x:c r="Q1305" s="2"/>
      <x:c r="R1305" s="2"/>
    </x:row>
    <x:row r="1306" ht="22" customHeight="1">
      <x:c r="A1306" s="2" t="n">
        <x:v>101300</x:v>
      </x:c>
      <x:c r="B1306" s="10" t="n">
        <x:v>45455</x:v>
      </x:c>
      <x:c r="C1306" s="2" t="str">
        <x:v>Argentina</x:v>
      </x:c>
      <x:c r="D1306" s="2" t="str">
        <x:v>Moda Feminina</x:v>
      </x:c>
      <x:c r="E1306" s="11" t="n">
        <x:v>6</x:v>
      </x:c>
      <x:c r="F1306" s="12" t="n">
        <x:v>28.01</x:v>
      </x:c>
      <x:c r="G1306" s="12" t="n">
        <x:v>168.06</x:v>
      </x:c>
      <x:c r="H1306" s="13" t="n">
        <x:v>144</x:v>
      </x:c>
      <x:c r="I1306" s="13" t="n">
        <x:f>YEAR(B1306)</x:f>
        <x:v>2024</x:v>
      </x:c>
      <x:c r="J1306" s="13" t="n">
        <x:f>MONTH(B1306)</x:f>
        <x:v>6</x:v>
      </x:c>
      <x:c r="K1306" s="14" t="n">
        <x:f>ROUND(E1306*F1306-G1306,10)</x:f>
        <x:v>0</x:v>
      </x:c>
      <x:c r="L1306" s="2"/>
      <x:c r="M1306" s="2"/>
      <x:c r="N1306" s="2"/>
      <x:c r="O1306" s="2"/>
      <x:c r="P1306" s="2"/>
      <x:c r="Q1306" s="2"/>
      <x:c r="R1306" s="2"/>
    </x:row>
    <x:row r="1307" ht="22" customHeight="1">
      <x:c r="A1307" s="2" t="n">
        <x:v>101301</x:v>
      </x:c>
      <x:c r="B1307" s="10" t="n">
        <x:v>45124</x:v>
      </x:c>
      <x:c r="C1307" s="2" t="str">
        <x:v>Argentina</x:v>
      </x:c>
      <x:c r="D1307" s="2" t="str">
        <x:v>Moda Feminina</x:v>
      </x:c>
      <x:c r="E1307" s="11" t="n">
        <x:v>36</x:v>
      </x:c>
      <x:c r="F1307" s="12" t="n">
        <x:v>72.04</x:v>
      </x:c>
      <x:c r="G1307" s="12" t="n">
        <x:v>2593.44</x:v>
      </x:c>
      <x:c r="H1307" s="13" t="n">
        <x:v>375</x:v>
      </x:c>
      <x:c r="I1307" s="13" t="n">
        <x:f>YEAR(B1307)</x:f>
        <x:v>2023</x:v>
      </x:c>
      <x:c r="J1307" s="13" t="n">
        <x:f>MONTH(B1307)</x:f>
        <x:v>7</x:v>
      </x:c>
      <x:c r="K1307" s="14" t="n">
        <x:f>ROUND(E1307*F1307-G1307,10)</x:f>
        <x:v>0</x:v>
      </x:c>
      <x:c r="L1307" s="2"/>
      <x:c r="M1307" s="2"/>
      <x:c r="N1307" s="2"/>
      <x:c r="O1307" s="2"/>
      <x:c r="P1307" s="2"/>
      <x:c r="Q1307" s="2"/>
      <x:c r="R1307" s="2"/>
    </x:row>
    <x:row r="1308" ht="22" customHeight="1">
      <x:c r="A1308" s="2" t="n">
        <x:v>101302</x:v>
      </x:c>
      <x:c r="B1308" s="10" t="n">
        <x:v>45425</x:v>
      </x:c>
      <x:c r="C1308" s="2" t="str">
        <x:v>Peru</x:v>
      </x:c>
      <x:c r="D1308" s="2" t="str">
        <x:v>Moda Feminina</x:v>
      </x:c>
      <x:c r="E1308" s="11" t="n">
        <x:v>45</x:v>
      </x:c>
      <x:c r="F1308" s="12" t="n">
        <x:v>101.23</x:v>
      </x:c>
      <x:c r="G1308" s="12" t="n">
        <x:v>4555.35</x:v>
      </x:c>
      <x:c r="H1308" s="13" t="n">
        <x:v>294</x:v>
      </x:c>
      <x:c r="I1308" s="13" t="n">
        <x:f>YEAR(B1308)</x:f>
        <x:v>2024</x:v>
      </x:c>
      <x:c r="J1308" s="13" t="n">
        <x:f>MONTH(B1308)</x:f>
        <x:v>5</x:v>
      </x:c>
      <x:c r="K1308" s="14" t="n">
        <x:f>ROUND(E1308*F1308-G1308,10)</x:f>
        <x:v>0</x:v>
      </x:c>
      <x:c r="L1308" s="2"/>
      <x:c r="M1308" s="2"/>
      <x:c r="N1308" s="2"/>
      <x:c r="O1308" s="2"/>
      <x:c r="P1308" s="2"/>
      <x:c r="Q1308" s="2"/>
      <x:c r="R1308" s="2"/>
    </x:row>
    <x:row r="1309" ht="22" customHeight="1">
      <x:c r="A1309" s="2" t="n">
        <x:v>101303</x:v>
      </x:c>
      <x:c r="B1309" s="10" t="n">
        <x:v>45186</x:v>
      </x:c>
      <x:c r="C1309" s="2" t="str">
        <x:v>Colômbia</x:v>
      </x:c>
      <x:c r="D1309" s="2" t="str">
        <x:v>Moda Feminina</x:v>
      </x:c>
      <x:c r="E1309" s="11" t="n">
        <x:v>36</x:v>
      </x:c>
      <x:c r="F1309" s="12" t="n">
        <x:v>41.06</x:v>
      </x:c>
      <x:c r="G1309" s="12" t="n">
        <x:v>1478.16</x:v>
      </x:c>
      <x:c r="H1309" s="13" t="n">
        <x:v>139</x:v>
      </x:c>
      <x:c r="I1309" s="13" t="n">
        <x:f>YEAR(B1309)</x:f>
        <x:v>2023</x:v>
      </x:c>
      <x:c r="J1309" s="13" t="n">
        <x:f>MONTH(B1309)</x:f>
        <x:v>9</x:v>
      </x:c>
      <x:c r="K1309" s="14" t="n">
        <x:f>ROUND(E1309*F1309-G1309,10)</x:f>
        <x:v>0</x:v>
      </x:c>
      <x:c r="L1309" s="2"/>
      <x:c r="M1309" s="2"/>
      <x:c r="N1309" s="2"/>
      <x:c r="O1309" s="2"/>
      <x:c r="P1309" s="2"/>
      <x:c r="Q1309" s="2"/>
      <x:c r="R1309" s="2"/>
    </x:row>
    <x:row r="1310" ht="22" customHeight="1">
      <x:c r="A1310" s="2" t="n">
        <x:v>101304</x:v>
      </x:c>
      <x:c r="B1310" s="10" t="n">
        <x:v>45023</x:v>
      </x:c>
      <x:c r="C1310" s="2" t="str">
        <x:v>Brasil</x:v>
      </x:c>
      <x:c r="D1310" s="2" t="str">
        <x:v>Moda Infantil</x:v>
      </x:c>
      <x:c r="E1310" s="11" t="n">
        <x:v>22</x:v>
      </x:c>
      <x:c r="F1310" s="12" t="n">
        <x:v>101.59</x:v>
      </x:c>
      <x:c r="G1310" s="12" t="n">
        <x:v>2234.98</x:v>
      </x:c>
      <x:c r="H1310" s="13" t="n">
        <x:v>108</x:v>
      </x:c>
      <x:c r="I1310" s="13" t="n">
        <x:f>YEAR(B1310)</x:f>
        <x:v>2023</x:v>
      </x:c>
      <x:c r="J1310" s="13" t="n">
        <x:f>MONTH(B1310)</x:f>
        <x:v>4</x:v>
      </x:c>
      <x:c r="K1310" s="14" t="n">
        <x:f>ROUND(E1310*F1310-G1310,10)</x:f>
        <x:v>0</x:v>
      </x:c>
      <x:c r="L1310" s="2"/>
      <x:c r="M1310" s="2"/>
      <x:c r="N1310" s="2"/>
      <x:c r="O1310" s="2"/>
      <x:c r="P1310" s="2"/>
      <x:c r="Q1310" s="2"/>
      <x:c r="R1310" s="2"/>
    </x:row>
    <x:row r="1311" ht="22" customHeight="1">
      <x:c r="A1311" s="2" t="n">
        <x:v>101305</x:v>
      </x:c>
      <x:c r="B1311" s="10" t="n">
        <x:v>45311</x:v>
      </x:c>
      <x:c r="C1311" s="2" t="str">
        <x:v>Argentina</x:v>
      </x:c>
      <x:c r="D1311" s="2" t="str">
        <x:v>Moda Infantil</x:v>
      </x:c>
      <x:c r="E1311" s="11" t="n">
        <x:v>14</x:v>
      </x:c>
      <x:c r="F1311" s="12" t="n">
        <x:v>173.57</x:v>
      </x:c>
      <x:c r="G1311" s="12" t="n">
        <x:v>2429.98</x:v>
      </x:c>
      <x:c r="H1311" s="13" t="n">
        <x:v>452</x:v>
      </x:c>
      <x:c r="I1311" s="13" t="n">
        <x:f>YEAR(B1311)</x:f>
        <x:v>2024</x:v>
      </x:c>
      <x:c r="J1311" s="13" t="n">
        <x:f>MONTH(B1311)</x:f>
        <x:v>1</x:v>
      </x:c>
      <x:c r="K1311" s="14" t="n">
        <x:f>ROUND(E1311*F1311-G1311,10)</x:f>
        <x:v>0</x:v>
      </x:c>
      <x:c r="L1311" s="2"/>
      <x:c r="M1311" s="2"/>
      <x:c r="N1311" s="2"/>
      <x:c r="O1311" s="2"/>
      <x:c r="P1311" s="2"/>
      <x:c r="Q1311" s="2"/>
      <x:c r="R1311" s="2"/>
    </x:row>
    <x:row r="1312" ht="22" customHeight="1">
      <x:c r="A1312" s="2" t="n">
        <x:v>101306</x:v>
      </x:c>
      <x:c r="B1312" s="10" t="n">
        <x:v>45438</x:v>
      </x:c>
      <x:c r="C1312" s="2" t="str">
        <x:v>Peru</x:v>
      </x:c>
      <x:c r="D1312" s="2" t="str">
        <x:v>Moda Infantil</x:v>
      </x:c>
      <x:c r="E1312" s="11" t="n">
        <x:v>16</x:v>
      </x:c>
      <x:c r="F1312" s="12" t="n">
        <x:v>124.64</x:v>
      </x:c>
      <x:c r="G1312" s="12" t="n">
        <x:v>1994.24</x:v>
      </x:c>
      <x:c r="H1312" s="13" t="n">
        <x:v>77</x:v>
      </x:c>
      <x:c r="I1312" s="13" t="n">
        <x:f>YEAR(B1312)</x:f>
        <x:v>2024</x:v>
      </x:c>
      <x:c r="J1312" s="13" t="n">
        <x:f>MONTH(B1312)</x:f>
        <x:v>5</x:v>
      </x:c>
      <x:c r="K1312" s="14" t="n">
        <x:f>ROUND(E1312*F1312-G1312,10)</x:f>
        <x:v>0</x:v>
      </x:c>
      <x:c r="L1312" s="2"/>
      <x:c r="M1312" s="2"/>
      <x:c r="N1312" s="2"/>
      <x:c r="O1312" s="2"/>
      <x:c r="P1312" s="2"/>
      <x:c r="Q1312" s="2"/>
      <x:c r="R1312" s="2"/>
    </x:row>
    <x:row r="1313" ht="22" customHeight="1">
      <x:c r="A1313" s="2" t="n">
        <x:v>101307</x:v>
      </x:c>
      <x:c r="B1313" s="10" t="n">
        <x:v>45202</x:v>
      </x:c>
      <x:c r="C1313" s="2" t="str">
        <x:v>Peru</x:v>
      </x:c>
      <x:c r="D1313" s="2" t="str">
        <x:v>Calçados</x:v>
      </x:c>
      <x:c r="E1313" s="11" t="n">
        <x:v>36</x:v>
      </x:c>
      <x:c r="F1313" s="12" t="n">
        <x:v>34.21</x:v>
      </x:c>
      <x:c r="G1313" s="12" t="n">
        <x:v>1231.56</x:v>
      </x:c>
      <x:c r="H1313" s="13" t="n">
        <x:v>121</x:v>
      </x:c>
      <x:c r="I1313" s="13" t="n">
        <x:f>YEAR(B1313)</x:f>
        <x:v>2023</x:v>
      </x:c>
      <x:c r="J1313" s="13" t="n">
        <x:f>MONTH(B1313)</x:f>
        <x:v>10</x:v>
      </x:c>
      <x:c r="K1313" s="14" t="n">
        <x:f>ROUND(E1313*F1313-G1313,10)</x:f>
        <x:v>0</x:v>
      </x:c>
      <x:c r="L1313" s="2"/>
      <x:c r="M1313" s="2"/>
      <x:c r="N1313" s="2"/>
      <x:c r="O1313" s="2"/>
      <x:c r="P1313" s="2"/>
      <x:c r="Q1313" s="2"/>
      <x:c r="R1313" s="2"/>
    </x:row>
    <x:row r="1314" ht="22" customHeight="1">
      <x:c r="A1314" s="2" t="n">
        <x:v>101308</x:v>
      </x:c>
      <x:c r="B1314" s="10" t="n">
        <x:v>45282</x:v>
      </x:c>
      <x:c r="C1314" s="2" t="str">
        <x:v>Chile</x:v>
      </x:c>
      <x:c r="D1314" s="2" t="str">
        <x:v>Calçados</x:v>
      </x:c>
      <x:c r="E1314" s="11" t="n">
        <x:v>25</x:v>
      </x:c>
      <x:c r="F1314" s="12" t="n">
        <x:v>54.5</x:v>
      </x:c>
      <x:c r="G1314" s="12" t="n">
        <x:v>1362.5</x:v>
      </x:c>
      <x:c r="H1314" s="13" t="n">
        <x:v>319</x:v>
      </x:c>
      <x:c r="I1314" s="13" t="n">
        <x:f>YEAR(B1314)</x:f>
        <x:v>2023</x:v>
      </x:c>
      <x:c r="J1314" s="13" t="n">
        <x:f>MONTH(B1314)</x:f>
        <x:v>12</x:v>
      </x:c>
      <x:c r="K1314" s="14" t="n">
        <x:f>ROUND(E1314*F1314-G1314,10)</x:f>
        <x:v>0</x:v>
      </x:c>
      <x:c r="L1314" s="2"/>
      <x:c r="M1314" s="2"/>
      <x:c r="N1314" s="2"/>
      <x:c r="O1314" s="2"/>
      <x:c r="P1314" s="2"/>
      <x:c r="Q1314" s="2"/>
      <x:c r="R1314" s="2"/>
    </x:row>
    <x:row r="1315" ht="22" customHeight="1">
      <x:c r="A1315" s="2" t="n">
        <x:v>101309</x:v>
      </x:c>
      <x:c r="B1315" s="10" t="n">
        <x:v>45209</x:v>
      </x:c>
      <x:c r="C1315" s="2" t="str">
        <x:v>Colômbia</x:v>
      </x:c>
      <x:c r="D1315" s="2" t="str">
        <x:v>Calçados</x:v>
      </x:c>
      <x:c r="E1315" s="11" t="n">
        <x:v>32</x:v>
      </x:c>
      <x:c r="F1315" s="12" t="n">
        <x:v>105.42</x:v>
      </x:c>
      <x:c r="G1315" s="12" t="n">
        <x:v>3373.44</x:v>
      </x:c>
      <x:c r="H1315" s="13" t="n">
        <x:v>73</x:v>
      </x:c>
      <x:c r="I1315" s="13" t="n">
        <x:f>YEAR(B1315)</x:f>
        <x:v>2023</x:v>
      </x:c>
      <x:c r="J1315" s="13" t="n">
        <x:f>MONTH(B1315)</x:f>
        <x:v>10</x:v>
      </x:c>
      <x:c r="K1315" s="14" t="n">
        <x:f>ROUND(E1315*F1315-G1315,10)</x:f>
        <x:v>0</x:v>
      </x:c>
      <x:c r="L1315" s="2"/>
      <x:c r="M1315" s="2"/>
      <x:c r="N1315" s="2"/>
      <x:c r="O1315" s="2"/>
      <x:c r="P1315" s="2"/>
      <x:c r="Q1315" s="2"/>
      <x:c r="R1315" s="2"/>
    </x:row>
    <x:row r="1316" ht="22" customHeight="1">
      <x:c r="A1316" s="2" t="n">
        <x:v>101310</x:v>
      </x:c>
      <x:c r="B1316" s="10" t="n">
        <x:v>45166</x:v>
      </x:c>
      <x:c r="C1316" s="2" t="str">
        <x:v>Brasil</x:v>
      </x:c>
      <x:c r="D1316" s="2" t="str">
        <x:v>Moda Masculina</x:v>
      </x:c>
      <x:c r="E1316" s="11" t="n">
        <x:v>33</x:v>
      </x:c>
      <x:c r="F1316" s="12" t="n">
        <x:v>85.07</x:v>
      </x:c>
      <x:c r="G1316" s="12" t="n">
        <x:v>2807.31</x:v>
      </x:c>
      <x:c r="H1316" s="13" t="n">
        <x:v>161</x:v>
      </x:c>
      <x:c r="I1316" s="13" t="n">
        <x:f>YEAR(B1316)</x:f>
        <x:v>2023</x:v>
      </x:c>
      <x:c r="J1316" s="13" t="n">
        <x:f>MONTH(B1316)</x:f>
        <x:v>8</x:v>
      </x:c>
      <x:c r="K1316" s="14" t="n">
        <x:f>ROUND(E1316*F1316-G1316,10)</x:f>
        <x:v>0</x:v>
      </x:c>
      <x:c r="L1316" s="2"/>
      <x:c r="M1316" s="2"/>
      <x:c r="N1316" s="2"/>
      <x:c r="O1316" s="2"/>
      <x:c r="P1316" s="2"/>
      <x:c r="Q1316" s="2"/>
      <x:c r="R1316" s="2"/>
    </x:row>
    <x:row r="1317" ht="22" customHeight="1">
      <x:c r="A1317" s="2" t="n">
        <x:v>101311</x:v>
      </x:c>
      <x:c r="B1317" s="10" t="n">
        <x:v>45025</x:v>
      </x:c>
      <x:c r="C1317" s="2" t="str">
        <x:v>México</x:v>
      </x:c>
      <x:c r="D1317" s="2" t="str">
        <x:v>Calçados</x:v>
      </x:c>
      <x:c r="E1317" s="11" t="n">
        <x:v>45</x:v>
      </x:c>
      <x:c r="F1317" s="12" t="n">
        <x:v>84.57</x:v>
      </x:c>
      <x:c r="G1317" s="12" t="n">
        <x:v>3805.65</x:v>
      </x:c>
      <x:c r="H1317" s="13" t="n">
        <x:v>349</x:v>
      </x:c>
      <x:c r="I1317" s="13" t="n">
        <x:f>YEAR(B1317)</x:f>
        <x:v>2023</x:v>
      </x:c>
      <x:c r="J1317" s="13" t="n">
        <x:f>MONTH(B1317)</x:f>
        <x:v>4</x:v>
      </x:c>
      <x:c r="K1317" s="14" t="n">
        <x:f>ROUND(E1317*F1317-G1317,10)</x:f>
        <x:v>0</x:v>
      </x:c>
      <x:c r="L1317" s="2"/>
      <x:c r="M1317" s="2"/>
      <x:c r="N1317" s="2"/>
      <x:c r="O1317" s="2"/>
      <x:c r="P1317" s="2"/>
      <x:c r="Q1317" s="2"/>
      <x:c r="R1317" s="2"/>
    </x:row>
    <x:row r="1318" ht="22" customHeight="1">
      <x:c r="A1318" s="2" t="n">
        <x:v>101312</x:v>
      </x:c>
      <x:c r="B1318" s="10" t="n">
        <x:v>45642</x:v>
      </x:c>
      <x:c r="C1318" s="2" t="str">
        <x:v>Chile</x:v>
      </x:c>
      <x:c r="D1318" s="2" t="str">
        <x:v>Moda Infantil</x:v>
      </x:c>
      <x:c r="E1318" s="11" t="n">
        <x:v>36</x:v>
      </x:c>
      <x:c r="F1318" s="12" t="n">
        <x:v>115.27</x:v>
      </x:c>
      <x:c r="G1318" s="12" t="n">
        <x:v>4149.72</x:v>
      </x:c>
      <x:c r="H1318" s="13" t="n">
        <x:v>105</x:v>
      </x:c>
      <x:c r="I1318" s="13" t="n">
        <x:f>YEAR(B1318)</x:f>
        <x:v>2024</x:v>
      </x:c>
      <x:c r="J1318" s="13" t="n">
        <x:f>MONTH(B1318)</x:f>
        <x:v>12</x:v>
      </x:c>
      <x:c r="K1318" s="14" t="n">
        <x:f>ROUND(E1318*F1318-G1318,10)</x:f>
        <x:v>0</x:v>
      </x:c>
      <x:c r="L1318" s="2"/>
      <x:c r="M1318" s="2"/>
      <x:c r="N1318" s="2"/>
      <x:c r="O1318" s="2"/>
      <x:c r="P1318" s="2"/>
      <x:c r="Q1318" s="2"/>
      <x:c r="R1318" s="2"/>
    </x:row>
    <x:row r="1319" ht="22" customHeight="1">
      <x:c r="A1319" s="2" t="n">
        <x:v>101313</x:v>
      </x:c>
      <x:c r="B1319" s="10" t="n">
        <x:v>45071</x:v>
      </x:c>
      <x:c r="C1319" s="2" t="str">
        <x:v>Argentina</x:v>
      </x:c>
      <x:c r="D1319" s="2" t="str">
        <x:v>Moda Infantil</x:v>
      </x:c>
      <x:c r="E1319" s="11" t="n">
        <x:v>20</x:v>
      </x:c>
      <x:c r="F1319" s="12" t="n">
        <x:v>125.19</x:v>
      </x:c>
      <x:c r="G1319" s="12" t="n">
        <x:v>2503.8</x:v>
      </x:c>
      <x:c r="H1319" s="13" t="n">
        <x:v>272</x:v>
      </x:c>
      <x:c r="I1319" s="13" t="n">
        <x:f>YEAR(B1319)</x:f>
        <x:v>2023</x:v>
      </x:c>
      <x:c r="J1319" s="13" t="n">
        <x:f>MONTH(B1319)</x:f>
        <x:v>5</x:v>
      </x:c>
      <x:c r="K1319" s="14" t="n">
        <x:f>ROUND(E1319*F1319-G1319,10)</x:f>
        <x:v>0</x:v>
      </x:c>
      <x:c r="L1319" s="2"/>
      <x:c r="M1319" s="2"/>
      <x:c r="N1319" s="2"/>
      <x:c r="O1319" s="2"/>
      <x:c r="P1319" s="2"/>
      <x:c r="Q1319" s="2"/>
      <x:c r="R1319" s="2"/>
    </x:row>
    <x:row r="1320" ht="22" customHeight="1">
      <x:c r="A1320" s="2" t="n">
        <x:v>101314</x:v>
      </x:c>
      <x:c r="B1320" s="10" t="n">
        <x:v>45288</x:v>
      </x:c>
      <x:c r="C1320" s="2" t="str">
        <x:v>Argentina</x:v>
      </x:c>
      <x:c r="D1320" s="2" t="str">
        <x:v>Moda Masculina</x:v>
      </x:c>
      <x:c r="E1320" s="11" t="n">
        <x:v>18</x:v>
      </x:c>
      <x:c r="F1320" s="12" t="n">
        <x:v>163.44</x:v>
      </x:c>
      <x:c r="G1320" s="12" t="n">
        <x:v>2941.92</x:v>
      </x:c>
      <x:c r="H1320" s="13" t="n">
        <x:v>169</x:v>
      </x:c>
      <x:c r="I1320" s="13" t="n">
        <x:f>YEAR(B1320)</x:f>
        <x:v>2023</x:v>
      </x:c>
      <x:c r="J1320" s="13" t="n">
        <x:f>MONTH(B1320)</x:f>
        <x:v>12</x:v>
      </x:c>
      <x:c r="K1320" s="14" t="n">
        <x:f>ROUND(E1320*F1320-G1320,10)</x:f>
        <x:v>0</x:v>
      </x:c>
      <x:c r="L1320" s="2"/>
      <x:c r="M1320" s="2"/>
      <x:c r="N1320" s="2"/>
      <x:c r="O1320" s="2"/>
      <x:c r="P1320" s="2"/>
      <x:c r="Q1320" s="2"/>
      <x:c r="R1320" s="2"/>
    </x:row>
    <x:row r="1321" ht="22" customHeight="1">
      <x:c r="A1321" s="2" t="n">
        <x:v>101315</x:v>
      </x:c>
      <x:c r="B1321" s="10" t="n">
        <x:v>44971</x:v>
      </x:c>
      <x:c r="C1321" s="2" t="str">
        <x:v>Chile</x:v>
      </x:c>
      <x:c r="D1321" s="2" t="str">
        <x:v>Moda Masculina</x:v>
      </x:c>
      <x:c r="E1321" s="11" t="n">
        <x:v>38</x:v>
      </x:c>
      <x:c r="F1321" s="12" t="n">
        <x:v>81.37</x:v>
      </x:c>
      <x:c r="G1321" s="12" t="n">
        <x:v>3092.06</x:v>
      </x:c>
      <x:c r="H1321" s="13" t="n">
        <x:v>228</x:v>
      </x:c>
      <x:c r="I1321" s="13" t="n">
        <x:f>YEAR(B1321)</x:f>
        <x:v>2023</x:v>
      </x:c>
      <x:c r="J1321" s="13" t="n">
        <x:f>MONTH(B1321)</x:f>
        <x:v>2</x:v>
      </x:c>
      <x:c r="K1321" s="14" t="n">
        <x:f>ROUND(E1321*F1321-G1321,10)</x:f>
        <x:v>0</x:v>
      </x:c>
      <x:c r="L1321" s="2"/>
      <x:c r="M1321" s="2"/>
      <x:c r="N1321" s="2"/>
      <x:c r="O1321" s="2"/>
      <x:c r="P1321" s="2"/>
      <x:c r="Q1321" s="2"/>
      <x:c r="R1321" s="2"/>
    </x:row>
    <x:row r="1322" ht="22" customHeight="1">
      <x:c r="A1322" s="2" t="n">
        <x:v>101316</x:v>
      </x:c>
      <x:c r="B1322" s="10" t="n">
        <x:v>45347</x:v>
      </x:c>
      <x:c r="C1322" s="2" t="str">
        <x:v>Peru</x:v>
      </x:c>
      <x:c r="D1322" s="2" t="str">
        <x:v>Calçados</x:v>
      </x:c>
      <x:c r="E1322" s="11" t="n">
        <x:v>3</x:v>
      </x:c>
      <x:c r="F1322" s="12" t="n">
        <x:v>164.98</x:v>
      </x:c>
      <x:c r="G1322" s="12" t="n">
        <x:v>494.9399999999999</x:v>
      </x:c>
      <x:c r="H1322" s="13" t="n">
        <x:v>337</x:v>
      </x:c>
      <x:c r="I1322" s="13" t="n">
        <x:f>YEAR(B1322)</x:f>
        <x:v>2024</x:v>
      </x:c>
      <x:c r="J1322" s="13" t="n">
        <x:f>MONTH(B1322)</x:f>
        <x:v>2</x:v>
      </x:c>
      <x:c r="K1322" s="14" t="n">
        <x:f>ROUND(E1322*F1322-G1322,10)</x:f>
        <x:v>0</x:v>
      </x:c>
      <x:c r="L1322" s="2"/>
      <x:c r="M1322" s="2"/>
      <x:c r="N1322" s="2"/>
      <x:c r="O1322" s="2"/>
      <x:c r="P1322" s="2"/>
      <x:c r="Q1322" s="2"/>
      <x:c r="R1322" s="2"/>
    </x:row>
    <x:row r="1323" ht="22" customHeight="1">
      <x:c r="A1323" s="2" t="n">
        <x:v>101317</x:v>
      </x:c>
      <x:c r="B1323" s="10" t="n">
        <x:v>45020</x:v>
      </x:c>
      <x:c r="C1323" s="2" t="str">
        <x:v>Argentina</x:v>
      </x:c>
      <x:c r="D1323" s="2" t="str">
        <x:v>Acessórios</x:v>
      </x:c>
      <x:c r="E1323" s="11" t="n">
        <x:v>23</x:v>
      </x:c>
      <x:c r="F1323" s="12" t="n">
        <x:v>80.95</x:v>
      </x:c>
      <x:c r="G1323" s="12" t="n">
        <x:v>1861.85</x:v>
      </x:c>
      <x:c r="H1323" s="13" t="n">
        <x:v>483</x:v>
      </x:c>
      <x:c r="I1323" s="13" t="n">
        <x:f>YEAR(B1323)</x:f>
        <x:v>2023</x:v>
      </x:c>
      <x:c r="J1323" s="13" t="n">
        <x:f>MONTH(B1323)</x:f>
        <x:v>4</x:v>
      </x:c>
      <x:c r="K1323" s="14" t="n">
        <x:f>ROUND(E1323*F1323-G1323,10)</x:f>
        <x:v>0</x:v>
      </x:c>
      <x:c r="L1323" s="2"/>
      <x:c r="M1323" s="2"/>
      <x:c r="N1323" s="2"/>
      <x:c r="O1323" s="2"/>
      <x:c r="P1323" s="2"/>
      <x:c r="Q1323" s="2"/>
      <x:c r="R1323" s="2"/>
    </x:row>
    <x:row r="1324" ht="22" customHeight="1">
      <x:c r="A1324" s="2" t="n">
        <x:v>101318</x:v>
      </x:c>
      <x:c r="B1324" s="10" t="n">
        <x:v>45224</x:v>
      </x:c>
      <x:c r="C1324" s="2" t="str">
        <x:v>Colômbia</x:v>
      </x:c>
      <x:c r="D1324" s="2" t="str">
        <x:v>Moda Masculina</x:v>
      </x:c>
      <x:c r="E1324" s="11" t="n">
        <x:v>32</x:v>
      </x:c>
      <x:c r="F1324" s="12" t="n">
        <x:v>29.98</x:v>
      </x:c>
      <x:c r="G1324" s="12" t="n">
        <x:v>959.36</x:v>
      </x:c>
      <x:c r="H1324" s="13" t="n">
        <x:v>474</x:v>
      </x:c>
      <x:c r="I1324" s="13" t="n">
        <x:f>YEAR(B1324)</x:f>
        <x:v>2023</x:v>
      </x:c>
      <x:c r="J1324" s="13" t="n">
        <x:f>MONTH(B1324)</x:f>
        <x:v>10</x:v>
      </x:c>
      <x:c r="K1324" s="14" t="n">
        <x:f>ROUND(E1324*F1324-G1324,10)</x:f>
        <x:v>0</x:v>
      </x:c>
      <x:c r="L1324" s="2"/>
      <x:c r="M1324" s="2"/>
      <x:c r="N1324" s="2"/>
      <x:c r="O1324" s="2"/>
      <x:c r="P1324" s="2"/>
      <x:c r="Q1324" s="2"/>
      <x:c r="R1324" s="2"/>
    </x:row>
    <x:row r="1325" ht="22" customHeight="1">
      <x:c r="A1325" s="2" t="n">
        <x:v>101319</x:v>
      </x:c>
      <x:c r="B1325" s="10" t="n">
        <x:v>45545</x:v>
      </x:c>
      <x:c r="C1325" s="2" t="str">
        <x:v>Brasil</x:v>
      </x:c>
      <x:c r="D1325" s="2" t="str">
        <x:v>Moda Feminina</x:v>
      </x:c>
      <x:c r="E1325" s="11" t="n">
        <x:v>45</x:v>
      </x:c>
      <x:c r="F1325" s="12" t="n">
        <x:v>119.75</x:v>
      </x:c>
      <x:c r="G1325" s="12" t="n">
        <x:v>5388.75</x:v>
      </x:c>
      <x:c r="H1325" s="13" t="n">
        <x:v>499</x:v>
      </x:c>
      <x:c r="I1325" s="13" t="n">
        <x:f>YEAR(B1325)</x:f>
        <x:v>2024</x:v>
      </x:c>
      <x:c r="J1325" s="13" t="n">
        <x:f>MONTH(B1325)</x:f>
        <x:v>9</x:v>
      </x:c>
      <x:c r="K1325" s="14" t="n">
        <x:f>ROUND(E1325*F1325-G1325,10)</x:f>
        <x:v>0</x:v>
      </x:c>
      <x:c r="L1325" s="2"/>
      <x:c r="M1325" s="2"/>
      <x:c r="N1325" s="2"/>
      <x:c r="O1325" s="2"/>
      <x:c r="P1325" s="2"/>
      <x:c r="Q1325" s="2"/>
      <x:c r="R1325" s="2"/>
    </x:row>
    <x:row r="1326" ht="22" customHeight="1">
      <x:c r="A1326" s="2" t="n">
        <x:v>101320</x:v>
      </x:c>
      <x:c r="B1326" s="10" t="n">
        <x:v>45127</x:v>
      </x:c>
      <x:c r="C1326" s="2" t="str">
        <x:v>Colômbia</x:v>
      </x:c>
      <x:c r="D1326" s="2" t="str">
        <x:v>Moda Infantil</x:v>
      </x:c>
      <x:c r="E1326" s="11" t="n">
        <x:v>16</x:v>
      </x:c>
      <x:c r="F1326" s="12" t="n">
        <x:v>125.82</x:v>
      </x:c>
      <x:c r="G1326" s="12" t="n">
        <x:v>2013.12</x:v>
      </x:c>
      <x:c r="H1326" s="13" t="n">
        <x:v>330</x:v>
      </x:c>
      <x:c r="I1326" s="13" t="n">
        <x:f>YEAR(B1326)</x:f>
        <x:v>2023</x:v>
      </x:c>
      <x:c r="J1326" s="13" t="n">
        <x:f>MONTH(B1326)</x:f>
        <x:v>7</x:v>
      </x:c>
      <x:c r="K1326" s="14" t="n">
        <x:f>ROUND(E1326*F1326-G1326,10)</x:f>
        <x:v>0</x:v>
      </x:c>
      <x:c r="L1326" s="2"/>
      <x:c r="M1326" s="2"/>
      <x:c r="N1326" s="2"/>
      <x:c r="O1326" s="2"/>
      <x:c r="P1326" s="2"/>
      <x:c r="Q1326" s="2"/>
      <x:c r="R1326" s="2"/>
    </x:row>
    <x:row r="1327" ht="22" customHeight="1">
      <x:c r="A1327" s="2" t="n">
        <x:v>101321</x:v>
      </x:c>
      <x:c r="B1327" s="10" t="n">
        <x:v>44962</x:v>
      </x:c>
      <x:c r="C1327" s="2" t="str">
        <x:v>Argentina</x:v>
      </x:c>
      <x:c r="D1327" s="2" t="str">
        <x:v>Moda Feminina</x:v>
      </x:c>
      <x:c r="E1327" s="11" t="n">
        <x:v>5</x:v>
      </x:c>
      <x:c r="F1327" s="12" t="n">
        <x:v>188.22</x:v>
      </x:c>
      <x:c r="G1327" s="12" t="n">
        <x:v>941.1</x:v>
      </x:c>
      <x:c r="H1327" s="13" t="n">
        <x:v>421</x:v>
      </x:c>
      <x:c r="I1327" s="13" t="n">
        <x:f>YEAR(B1327)</x:f>
        <x:v>2023</x:v>
      </x:c>
      <x:c r="J1327" s="13" t="n">
        <x:f>MONTH(B1327)</x:f>
        <x:v>2</x:v>
      </x:c>
      <x:c r="K1327" s="14" t="n">
        <x:f>ROUND(E1327*F1327-G1327,10)</x:f>
        <x:v>0</x:v>
      </x:c>
      <x:c r="L1327" s="2"/>
      <x:c r="M1327" s="2"/>
      <x:c r="N1327" s="2"/>
      <x:c r="O1327" s="2"/>
      <x:c r="P1327" s="2"/>
      <x:c r="Q1327" s="2"/>
      <x:c r="R1327" s="2"/>
    </x:row>
    <x:row r="1328" ht="22" customHeight="1">
      <x:c r="A1328" s="2" t="n">
        <x:v>101322</x:v>
      </x:c>
      <x:c r="B1328" s="10" t="n">
        <x:v>45060</x:v>
      </x:c>
      <x:c r="C1328" s="2" t="str">
        <x:v>México</x:v>
      </x:c>
      <x:c r="D1328" s="2" t="str">
        <x:v>Moda Infantil</x:v>
      </x:c>
      <x:c r="E1328" s="11" t="n">
        <x:v>4</x:v>
      </x:c>
      <x:c r="F1328" s="12" t="n">
        <x:v>150.69</x:v>
      </x:c>
      <x:c r="G1328" s="12" t="n">
        <x:v>602.76</x:v>
      </x:c>
      <x:c r="H1328" s="13" t="n">
        <x:v>238</x:v>
      </x:c>
      <x:c r="I1328" s="13" t="n">
        <x:f>YEAR(B1328)</x:f>
        <x:v>2023</x:v>
      </x:c>
      <x:c r="J1328" s="13" t="n">
        <x:f>MONTH(B1328)</x:f>
        <x:v>5</x:v>
      </x:c>
      <x:c r="K1328" s="14" t="n">
        <x:f>ROUND(E1328*F1328-G1328,10)</x:f>
        <x:v>0</x:v>
      </x:c>
      <x:c r="L1328" s="2"/>
      <x:c r="M1328" s="2"/>
      <x:c r="N1328" s="2"/>
      <x:c r="O1328" s="2"/>
      <x:c r="P1328" s="2"/>
      <x:c r="Q1328" s="2"/>
      <x:c r="R1328" s="2"/>
    </x:row>
    <x:row r="1329" ht="22" customHeight="1">
      <x:c r="A1329" s="2" t="n">
        <x:v>101323</x:v>
      </x:c>
      <x:c r="B1329" s="10" t="n">
        <x:v>45492</x:v>
      </x:c>
      <x:c r="C1329" s="2" t="str">
        <x:v>Brasil</x:v>
      </x:c>
      <x:c r="D1329" s="2" t="str">
        <x:v>Moda Infantil</x:v>
      </x:c>
      <x:c r="E1329" s="11" t="n">
        <x:v>21</x:v>
      </x:c>
      <x:c r="F1329" s="12" t="n">
        <x:v>185.2</x:v>
      </x:c>
      <x:c r="G1329" s="12" t="n">
        <x:v>3889.2</x:v>
      </x:c>
      <x:c r="H1329" s="13" t="n">
        <x:v>115</x:v>
      </x:c>
      <x:c r="I1329" s="13" t="n">
        <x:f>YEAR(B1329)</x:f>
        <x:v>2024</x:v>
      </x:c>
      <x:c r="J1329" s="13" t="n">
        <x:f>MONTH(B1329)</x:f>
        <x:v>7</x:v>
      </x:c>
      <x:c r="K1329" s="14" t="n">
        <x:f>ROUND(E1329*F1329-G1329,10)</x:f>
        <x:v>0</x:v>
      </x:c>
      <x:c r="L1329" s="2"/>
      <x:c r="M1329" s="2"/>
      <x:c r="N1329" s="2"/>
      <x:c r="O1329" s="2"/>
      <x:c r="P1329" s="2"/>
      <x:c r="Q1329" s="2"/>
      <x:c r="R1329" s="2"/>
    </x:row>
    <x:row r="1330" ht="22" customHeight="1">
      <x:c r="A1330" s="2" t="n">
        <x:v>101324</x:v>
      </x:c>
      <x:c r="B1330" s="10" t="n">
        <x:v>45562</x:v>
      </x:c>
      <x:c r="C1330" s="2" t="str">
        <x:v>Brasil</x:v>
      </x:c>
      <x:c r="D1330" s="2" t="str">
        <x:v>Moda Masculina</x:v>
      </x:c>
      <x:c r="E1330" s="11" t="n">
        <x:v>40</x:v>
      </x:c>
      <x:c r="F1330" s="12" t="n">
        <x:v>183.5</x:v>
      </x:c>
      <x:c r="G1330" s="12" t="n">
        <x:v>7340</x:v>
      </x:c>
      <x:c r="H1330" s="13" t="n">
        <x:v>347</x:v>
      </x:c>
      <x:c r="I1330" s="13" t="n">
        <x:f>YEAR(B1330)</x:f>
        <x:v>2024</x:v>
      </x:c>
      <x:c r="J1330" s="13" t="n">
        <x:f>MONTH(B1330)</x:f>
        <x:v>9</x:v>
      </x:c>
      <x:c r="K1330" s="14" t="n">
        <x:f>ROUND(E1330*F1330-G1330,10)</x:f>
        <x:v>0</x:v>
      </x:c>
      <x:c r="L1330" s="2"/>
      <x:c r="M1330" s="2"/>
      <x:c r="N1330" s="2"/>
      <x:c r="O1330" s="2"/>
      <x:c r="P1330" s="2"/>
      <x:c r="Q1330" s="2"/>
      <x:c r="R1330" s="2"/>
    </x:row>
    <x:row r="1331" ht="22" customHeight="1">
      <x:c r="A1331" s="2" t="n">
        <x:v>101325</x:v>
      </x:c>
      <x:c r="B1331" s="10" t="n">
        <x:v>45234</x:v>
      </x:c>
      <x:c r="C1331" s="2" t="str">
        <x:v>Chile</x:v>
      </x:c>
      <x:c r="D1331" s="2" t="str">
        <x:v>Moda Masculina</x:v>
      </x:c>
      <x:c r="E1331" s="11" t="n">
        <x:v>14</x:v>
      </x:c>
      <x:c r="F1331" s="12" t="n">
        <x:v>128.82</x:v>
      </x:c>
      <x:c r="G1331" s="12" t="n">
        <x:v>1803.48</x:v>
      </x:c>
      <x:c r="H1331" s="13" t="n">
        <x:v>498</x:v>
      </x:c>
      <x:c r="I1331" s="13" t="n">
        <x:f>YEAR(B1331)</x:f>
        <x:v>2023</x:v>
      </x:c>
      <x:c r="J1331" s="13" t="n">
        <x:f>MONTH(B1331)</x:f>
        <x:v>11</x:v>
      </x:c>
      <x:c r="K1331" s="14" t="n">
        <x:f>ROUND(E1331*F1331-G1331,10)</x:f>
        <x:v>0</x:v>
      </x:c>
      <x:c r="L1331" s="2"/>
      <x:c r="M1331" s="2"/>
      <x:c r="N1331" s="2"/>
      <x:c r="O1331" s="2"/>
      <x:c r="P1331" s="2"/>
      <x:c r="Q1331" s="2"/>
      <x:c r="R1331" s="2"/>
    </x:row>
    <x:row r="1332" ht="22" customHeight="1">
      <x:c r="A1332" s="2" t="n">
        <x:v>101326</x:v>
      </x:c>
      <x:c r="B1332" s="10" t="n">
        <x:v>45264</x:v>
      </x:c>
      <x:c r="C1332" s="2" t="str">
        <x:v>Chile</x:v>
      </x:c>
      <x:c r="D1332" s="2" t="str">
        <x:v>Moda Feminina</x:v>
      </x:c>
      <x:c r="E1332" s="11" t="n">
        <x:v>39</x:v>
      </x:c>
      <x:c r="F1332" s="12" t="n">
        <x:v>115</x:v>
      </x:c>
      <x:c r="G1332" s="12" t="n">
        <x:v>4485</x:v>
      </x:c>
      <x:c r="H1332" s="13" t="n">
        <x:v>469</x:v>
      </x:c>
      <x:c r="I1332" s="13" t="n">
        <x:f>YEAR(B1332)</x:f>
        <x:v>2023</x:v>
      </x:c>
      <x:c r="J1332" s="13" t="n">
        <x:f>MONTH(B1332)</x:f>
        <x:v>12</x:v>
      </x:c>
      <x:c r="K1332" s="14" t="n">
        <x:f>ROUND(E1332*F1332-G1332,10)</x:f>
        <x:v>0</x:v>
      </x:c>
      <x:c r="L1332" s="2"/>
      <x:c r="M1332" s="2"/>
      <x:c r="N1332" s="2"/>
      <x:c r="O1332" s="2"/>
      <x:c r="P1332" s="2"/>
      <x:c r="Q1332" s="2"/>
      <x:c r="R1332" s="2"/>
    </x:row>
    <x:row r="1333" ht="22" customHeight="1">
      <x:c r="A1333" s="2" t="n">
        <x:v>101327</x:v>
      </x:c>
      <x:c r="B1333" s="10" t="n">
        <x:v>45278</x:v>
      </x:c>
      <x:c r="C1333" s="2" t="str">
        <x:v>México</x:v>
      </x:c>
      <x:c r="D1333" s="2" t="str">
        <x:v>Moda Infantil</x:v>
      </x:c>
      <x:c r="E1333" s="11" t="n">
        <x:v>31</x:v>
      </x:c>
      <x:c r="F1333" s="12" t="n">
        <x:v>120.34</x:v>
      </x:c>
      <x:c r="G1333" s="12" t="n">
        <x:v>3730.54</x:v>
      </x:c>
      <x:c r="H1333" s="13" t="n">
        <x:v>298</x:v>
      </x:c>
      <x:c r="I1333" s="13" t="n">
        <x:f>YEAR(B1333)</x:f>
        <x:v>2023</x:v>
      </x:c>
      <x:c r="J1333" s="13" t="n">
        <x:f>MONTH(B1333)</x:f>
        <x:v>12</x:v>
      </x:c>
      <x:c r="K1333" s="14" t="n">
        <x:f>ROUND(E1333*F1333-G1333,10)</x:f>
        <x:v>0</x:v>
      </x:c>
      <x:c r="L1333" s="2"/>
      <x:c r="M1333" s="2"/>
      <x:c r="N1333" s="2"/>
      <x:c r="O1333" s="2"/>
      <x:c r="P1333" s="2"/>
      <x:c r="Q1333" s="2"/>
      <x:c r="R1333" s="2"/>
    </x:row>
    <x:row r="1334" ht="22" customHeight="1">
      <x:c r="A1334" s="2" t="n">
        <x:v>101328</x:v>
      </x:c>
      <x:c r="B1334" s="10" t="n">
        <x:v>45373</x:v>
      </x:c>
      <x:c r="C1334" s="2" t="str">
        <x:v>Peru</x:v>
      </x:c>
      <x:c r="D1334" s="2" t="str">
        <x:v>Moda Feminina</x:v>
      </x:c>
      <x:c r="E1334" s="11" t="n">
        <x:v>14</x:v>
      </x:c>
      <x:c r="F1334" s="12" t="n">
        <x:v>196.1</x:v>
      </x:c>
      <x:c r="G1334" s="12" t="n">
        <x:v>2745.4</x:v>
      </x:c>
      <x:c r="H1334" s="13" t="n">
        <x:v>125</x:v>
      </x:c>
      <x:c r="I1334" s="13" t="n">
        <x:f>YEAR(B1334)</x:f>
        <x:v>2024</x:v>
      </x:c>
      <x:c r="J1334" s="13" t="n">
        <x:f>MONTH(B1334)</x:f>
        <x:v>3</x:v>
      </x:c>
      <x:c r="K1334" s="14" t="n">
        <x:f>ROUND(E1334*F1334-G1334,10)</x:f>
        <x:v>0</x:v>
      </x:c>
      <x:c r="L1334" s="2"/>
      <x:c r="M1334" s="2"/>
      <x:c r="N1334" s="2"/>
      <x:c r="O1334" s="2"/>
      <x:c r="P1334" s="2"/>
      <x:c r="Q1334" s="2"/>
      <x:c r="R1334" s="2"/>
    </x:row>
    <x:row r="1335" ht="22" customHeight="1">
      <x:c r="A1335" s="2" t="n">
        <x:v>101329</x:v>
      </x:c>
      <x:c r="B1335" s="10" t="n">
        <x:v>45647</x:v>
      </x:c>
      <x:c r="C1335" s="2" t="str">
        <x:v>Brasil</x:v>
      </x:c>
      <x:c r="D1335" s="2" t="str">
        <x:v>Acessórios</x:v>
      </x:c>
      <x:c r="E1335" s="11" t="n">
        <x:v>6</x:v>
      </x:c>
      <x:c r="F1335" s="12" t="n">
        <x:v>159.17</x:v>
      </x:c>
      <x:c r="G1335" s="12" t="n">
        <x:v>955.02</x:v>
      </x:c>
      <x:c r="H1335" s="13" t="n">
        <x:v>186</x:v>
      </x:c>
      <x:c r="I1335" s="13" t="n">
        <x:f>YEAR(B1335)</x:f>
        <x:v>2024</x:v>
      </x:c>
      <x:c r="J1335" s="13" t="n">
        <x:f>MONTH(B1335)</x:f>
        <x:v>12</x:v>
      </x:c>
      <x:c r="K1335" s="14" t="n">
        <x:f>ROUND(E1335*F1335-G1335,10)</x:f>
        <x:v>0</x:v>
      </x:c>
      <x:c r="L1335" s="2"/>
      <x:c r="M1335" s="2"/>
      <x:c r="N1335" s="2"/>
      <x:c r="O1335" s="2"/>
      <x:c r="P1335" s="2"/>
      <x:c r="Q1335" s="2"/>
      <x:c r="R1335" s="2"/>
    </x:row>
    <x:row r="1336" ht="22" customHeight="1">
      <x:c r="A1336" s="2" t="n">
        <x:v>101330</x:v>
      </x:c>
      <x:c r="B1336" s="10" t="n">
        <x:v>45628</x:v>
      </x:c>
      <x:c r="C1336" s="2" t="str">
        <x:v>México</x:v>
      </x:c>
      <x:c r="D1336" s="2" t="str">
        <x:v>Moda Feminina</x:v>
      </x:c>
      <x:c r="E1336" s="11" t="n">
        <x:v>12</x:v>
      </x:c>
      <x:c r="F1336" s="12" t="n">
        <x:v>39.13</x:v>
      </x:c>
      <x:c r="G1336" s="12" t="n">
        <x:v>469.5600000000001</x:v>
      </x:c>
      <x:c r="H1336" s="13" t="n">
        <x:v>213</x:v>
      </x:c>
      <x:c r="I1336" s="13" t="n">
        <x:f>YEAR(B1336)</x:f>
        <x:v>2024</x:v>
      </x:c>
      <x:c r="J1336" s="13" t="n">
        <x:f>MONTH(B1336)</x:f>
        <x:v>12</x:v>
      </x:c>
      <x:c r="K1336" s="14" t="n">
        <x:f>ROUND(E1336*F1336-G1336,10)</x:f>
        <x:v>0</x:v>
      </x:c>
      <x:c r="L1336" s="2"/>
      <x:c r="M1336" s="2"/>
      <x:c r="N1336" s="2"/>
      <x:c r="O1336" s="2"/>
      <x:c r="P1336" s="2"/>
      <x:c r="Q1336" s="2"/>
      <x:c r="R1336" s="2"/>
    </x:row>
    <x:row r="1337" ht="22" customHeight="1">
      <x:c r="A1337" s="2" t="n">
        <x:v>101331</x:v>
      </x:c>
      <x:c r="B1337" s="10" t="n">
        <x:v>45588</x:v>
      </x:c>
      <x:c r="C1337" s="2" t="str">
        <x:v>Chile</x:v>
      </x:c>
      <x:c r="D1337" s="2" t="str">
        <x:v>Calçados</x:v>
      </x:c>
      <x:c r="E1337" s="11" t="n">
        <x:v>16</x:v>
      </x:c>
      <x:c r="F1337" s="12" t="n">
        <x:v>160.12</x:v>
      </x:c>
      <x:c r="G1337" s="12" t="n">
        <x:v>2561.92</x:v>
      </x:c>
      <x:c r="H1337" s="13" t="n">
        <x:v>282</x:v>
      </x:c>
      <x:c r="I1337" s="13" t="n">
        <x:f>YEAR(B1337)</x:f>
        <x:v>2024</x:v>
      </x:c>
      <x:c r="J1337" s="13" t="n">
        <x:f>MONTH(B1337)</x:f>
        <x:v>10</x:v>
      </x:c>
      <x:c r="K1337" s="14" t="n">
        <x:f>ROUND(E1337*F1337-G1337,10)</x:f>
        <x:v>0</x:v>
      </x:c>
      <x:c r="L1337" s="2"/>
      <x:c r="M1337" s="2"/>
      <x:c r="N1337" s="2"/>
      <x:c r="O1337" s="2"/>
      <x:c r="P1337" s="2"/>
      <x:c r="Q1337" s="2"/>
      <x:c r="R1337" s="2"/>
    </x:row>
    <x:row r="1338" ht="22" customHeight="1">
      <x:c r="A1338" s="2" t="n">
        <x:v>101332</x:v>
      </x:c>
      <x:c r="B1338" s="10" t="n">
        <x:v>45248</x:v>
      </x:c>
      <x:c r="C1338" s="2" t="str">
        <x:v>Chile</x:v>
      </x:c>
      <x:c r="D1338" s="2" t="str">
        <x:v>Moda Feminina</x:v>
      </x:c>
      <x:c r="E1338" s="11" t="n">
        <x:v>17</x:v>
      </x:c>
      <x:c r="F1338" s="12" t="n">
        <x:v>50.7</x:v>
      </x:c>
      <x:c r="G1338" s="12" t="n">
        <x:v>861.9000000000001</x:v>
      </x:c>
      <x:c r="H1338" s="13" t="n">
        <x:v>304</x:v>
      </x:c>
      <x:c r="I1338" s="13" t="n">
        <x:f>YEAR(B1338)</x:f>
        <x:v>2023</x:v>
      </x:c>
      <x:c r="J1338" s="13" t="n">
        <x:f>MONTH(B1338)</x:f>
        <x:v>11</x:v>
      </x:c>
      <x:c r="K1338" s="14" t="n">
        <x:f>ROUND(E1338*F1338-G1338,10)</x:f>
        <x:v>0</x:v>
      </x:c>
      <x:c r="L1338" s="2"/>
      <x:c r="M1338" s="2"/>
      <x:c r="N1338" s="2"/>
      <x:c r="O1338" s="2"/>
      <x:c r="P1338" s="2"/>
      <x:c r="Q1338" s="2"/>
      <x:c r="R1338" s="2"/>
    </x:row>
    <x:row r="1339" ht="22" customHeight="1">
      <x:c r="A1339" s="2" t="n">
        <x:v>101333</x:v>
      </x:c>
      <x:c r="B1339" s="10" t="n">
        <x:v>45601</x:v>
      </x:c>
      <x:c r="C1339" s="2" t="str">
        <x:v>Brasil</x:v>
      </x:c>
      <x:c r="D1339" s="2" t="str">
        <x:v>Calçados</x:v>
      </x:c>
      <x:c r="E1339" s="11" t="n">
        <x:v>45</x:v>
      </x:c>
      <x:c r="F1339" s="12" t="n">
        <x:v>100.52</x:v>
      </x:c>
      <x:c r="G1339" s="12" t="n">
        <x:v>4523.4</x:v>
      </x:c>
      <x:c r="H1339" s="13" t="n">
        <x:v>343</x:v>
      </x:c>
      <x:c r="I1339" s="13" t="n">
        <x:f>YEAR(B1339)</x:f>
        <x:v>2024</x:v>
      </x:c>
      <x:c r="J1339" s="13" t="n">
        <x:f>MONTH(B1339)</x:f>
        <x:v>11</x:v>
      </x:c>
      <x:c r="K1339" s="14" t="n">
        <x:f>ROUND(E1339*F1339-G1339,10)</x:f>
        <x:v>0</x:v>
      </x:c>
      <x:c r="L1339" s="2"/>
      <x:c r="M1339" s="2"/>
      <x:c r="N1339" s="2"/>
      <x:c r="O1339" s="2"/>
      <x:c r="P1339" s="2"/>
      <x:c r="Q1339" s="2"/>
      <x:c r="R1339" s="2"/>
    </x:row>
    <x:row r="1340" ht="22" customHeight="1">
      <x:c r="A1340" s="2" t="n">
        <x:v>101334</x:v>
      </x:c>
      <x:c r="B1340" s="10" t="n">
        <x:v>44930</x:v>
      </x:c>
      <x:c r="C1340" s="2" t="str">
        <x:v>Colômbia</x:v>
      </x:c>
      <x:c r="D1340" s="2" t="str">
        <x:v>Calçados</x:v>
      </x:c>
      <x:c r="E1340" s="11" t="n">
        <x:v>23</x:v>
      </x:c>
      <x:c r="F1340" s="12" t="n">
        <x:v>57.88</x:v>
      </x:c>
      <x:c r="G1340" s="12" t="n">
        <x:v>1331.24</x:v>
      </x:c>
      <x:c r="H1340" s="13" t="n">
        <x:v>466</x:v>
      </x:c>
      <x:c r="I1340" s="13" t="n">
        <x:f>YEAR(B1340)</x:f>
        <x:v>2023</x:v>
      </x:c>
      <x:c r="J1340" s="13" t="n">
        <x:f>MONTH(B1340)</x:f>
        <x:v>1</x:v>
      </x:c>
      <x:c r="K1340" s="14" t="n">
        <x:f>ROUND(E1340*F1340-G1340,10)</x:f>
        <x:v>0</x:v>
      </x:c>
      <x:c r="L1340" s="2"/>
      <x:c r="M1340" s="2"/>
      <x:c r="N1340" s="2"/>
      <x:c r="O1340" s="2"/>
      <x:c r="P1340" s="2"/>
      <x:c r="Q1340" s="2"/>
      <x:c r="R1340" s="2"/>
    </x:row>
    <x:row r="1341" ht="22" customHeight="1">
      <x:c r="A1341" s="2" t="n">
        <x:v>101335</x:v>
      </x:c>
      <x:c r="B1341" s="10" t="n">
        <x:v>45611</x:v>
      </x:c>
      <x:c r="C1341" s="2" t="str">
        <x:v>Argentina</x:v>
      </x:c>
      <x:c r="D1341" s="2" t="str">
        <x:v>Calçados</x:v>
      </x:c>
      <x:c r="E1341" s="11" t="n">
        <x:v>14</x:v>
      </x:c>
      <x:c r="F1341" s="12" t="n">
        <x:v>144.12</x:v>
      </x:c>
      <x:c r="G1341" s="12" t="n">
        <x:v>2017.68</x:v>
      </x:c>
      <x:c r="H1341" s="13" t="n">
        <x:v>219</x:v>
      </x:c>
      <x:c r="I1341" s="13" t="n">
        <x:f>YEAR(B1341)</x:f>
        <x:v>2024</x:v>
      </x:c>
      <x:c r="J1341" s="13" t="n">
        <x:f>MONTH(B1341)</x:f>
        <x:v>11</x:v>
      </x:c>
      <x:c r="K1341" s="14" t="n">
        <x:f>ROUND(E1341*F1341-G1341,10)</x:f>
        <x:v>0</x:v>
      </x:c>
      <x:c r="L1341" s="2"/>
      <x:c r="M1341" s="2"/>
      <x:c r="N1341" s="2"/>
      <x:c r="O1341" s="2"/>
      <x:c r="P1341" s="2"/>
      <x:c r="Q1341" s="2"/>
      <x:c r="R1341" s="2"/>
    </x:row>
    <x:row r="1342" ht="22" customHeight="1">
      <x:c r="A1342" s="2" t="n">
        <x:v>101336</x:v>
      </x:c>
      <x:c r="B1342" s="10" t="n">
        <x:v>45311</x:v>
      </x:c>
      <x:c r="C1342" s="2" t="str">
        <x:v>Chile</x:v>
      </x:c>
      <x:c r="D1342" s="2" t="str">
        <x:v>Acessórios</x:v>
      </x:c>
      <x:c r="E1342" s="11" t="n">
        <x:v>7</x:v>
      </x:c>
      <x:c r="F1342" s="12" t="n">
        <x:v>177.92</x:v>
      </x:c>
      <x:c r="G1342" s="12" t="n">
        <x:v>1245.44</x:v>
      </x:c>
      <x:c r="H1342" s="13" t="n">
        <x:v>366</x:v>
      </x:c>
      <x:c r="I1342" s="13" t="n">
        <x:f>YEAR(B1342)</x:f>
        <x:v>2024</x:v>
      </x:c>
      <x:c r="J1342" s="13" t="n">
        <x:f>MONTH(B1342)</x:f>
        <x:v>1</x:v>
      </x:c>
      <x:c r="K1342" s="14" t="n">
        <x:f>ROUND(E1342*F1342-G1342,10)</x:f>
        <x:v>0</x:v>
      </x:c>
      <x:c r="L1342" s="2"/>
      <x:c r="M1342" s="2"/>
      <x:c r="N1342" s="2"/>
      <x:c r="O1342" s="2"/>
      <x:c r="P1342" s="2"/>
      <x:c r="Q1342" s="2"/>
      <x:c r="R1342" s="2"/>
    </x:row>
    <x:row r="1343" ht="22" customHeight="1">
      <x:c r="A1343" s="2" t="n">
        <x:v>101337</x:v>
      </x:c>
      <x:c r="B1343" s="10" t="n">
        <x:v>44938</x:v>
      </x:c>
      <x:c r="C1343" s="2" t="str">
        <x:v>Peru</x:v>
      </x:c>
      <x:c r="D1343" s="2" t="str">
        <x:v>Moda Feminina</x:v>
      </x:c>
      <x:c r="E1343" s="11" t="n">
        <x:v>46</x:v>
      </x:c>
      <x:c r="F1343" s="12" t="n">
        <x:v>72.27</x:v>
      </x:c>
      <x:c r="G1343" s="12" t="n">
        <x:v>3324.42</x:v>
      </x:c>
      <x:c r="H1343" s="13" t="n">
        <x:v>223</x:v>
      </x:c>
      <x:c r="I1343" s="13" t="n">
        <x:f>YEAR(B1343)</x:f>
        <x:v>2023</x:v>
      </x:c>
      <x:c r="J1343" s="13" t="n">
        <x:f>MONTH(B1343)</x:f>
        <x:v>1</x:v>
      </x:c>
      <x:c r="K1343" s="14" t="n">
        <x:f>ROUND(E1343*F1343-G1343,10)</x:f>
        <x:v>0</x:v>
      </x:c>
      <x:c r="L1343" s="2"/>
      <x:c r="M1343" s="2"/>
      <x:c r="N1343" s="2"/>
      <x:c r="O1343" s="2"/>
      <x:c r="P1343" s="2"/>
      <x:c r="Q1343" s="2"/>
      <x:c r="R1343" s="2"/>
    </x:row>
    <x:row r="1344" ht="22" customHeight="1">
      <x:c r="A1344" s="2" t="n">
        <x:v>101338</x:v>
      </x:c>
      <x:c r="B1344" s="10" t="n">
        <x:v>45264</x:v>
      </x:c>
      <x:c r="C1344" s="2" t="str">
        <x:v>Peru</x:v>
      </x:c>
      <x:c r="D1344" s="2" t="str">
        <x:v>Moda Feminina</x:v>
      </x:c>
      <x:c r="E1344" s="11" t="n">
        <x:v>32</x:v>
      </x:c>
      <x:c r="F1344" s="12" t="n">
        <x:v>34.76</x:v>
      </x:c>
      <x:c r="G1344" s="12" t="n">
        <x:v>1112.32</x:v>
      </x:c>
      <x:c r="H1344" s="13" t="n">
        <x:v>394</x:v>
      </x:c>
      <x:c r="I1344" s="13" t="n">
        <x:f>YEAR(B1344)</x:f>
        <x:v>2023</x:v>
      </x:c>
      <x:c r="J1344" s="13" t="n">
        <x:f>MONTH(B1344)</x:f>
        <x:v>12</x:v>
      </x:c>
      <x:c r="K1344" s="14" t="n">
        <x:f>ROUND(E1344*F1344-G1344,10)</x:f>
        <x:v>0</x:v>
      </x:c>
      <x:c r="L1344" s="2"/>
      <x:c r="M1344" s="2"/>
      <x:c r="N1344" s="2"/>
      <x:c r="O1344" s="2"/>
      <x:c r="P1344" s="2"/>
      <x:c r="Q1344" s="2"/>
      <x:c r="R1344" s="2"/>
    </x:row>
    <x:row r="1345" ht="22" customHeight="1">
      <x:c r="A1345" s="2" t="n">
        <x:v>101339</x:v>
      </x:c>
      <x:c r="B1345" s="10" t="n">
        <x:v>45278</x:v>
      </x:c>
      <x:c r="C1345" s="2" t="str">
        <x:v>Chile</x:v>
      </x:c>
      <x:c r="D1345" s="2" t="str">
        <x:v>Acessórios</x:v>
      </x:c>
      <x:c r="E1345" s="11" t="n">
        <x:v>15</x:v>
      </x:c>
      <x:c r="F1345" s="12" t="n">
        <x:v>73.73</x:v>
      </x:c>
      <x:c r="G1345" s="12" t="n">
        <x:v>1105.95</x:v>
      </x:c>
      <x:c r="H1345" s="13" t="n">
        <x:v>494</x:v>
      </x:c>
      <x:c r="I1345" s="13" t="n">
        <x:f>YEAR(B1345)</x:f>
        <x:v>2023</x:v>
      </x:c>
      <x:c r="J1345" s="13" t="n">
        <x:f>MONTH(B1345)</x:f>
        <x:v>12</x:v>
      </x:c>
      <x:c r="K1345" s="14" t="n">
        <x:f>ROUND(E1345*F1345-G1345,10)</x:f>
        <x:v>0</x:v>
      </x:c>
      <x:c r="L1345" s="2"/>
      <x:c r="M1345" s="2"/>
      <x:c r="N1345" s="2"/>
      <x:c r="O1345" s="2"/>
      <x:c r="P1345" s="2"/>
      <x:c r="Q1345" s="2"/>
      <x:c r="R1345" s="2"/>
    </x:row>
    <x:row r="1346" ht="22" customHeight="1">
      <x:c r="A1346" s="2" t="n">
        <x:v>101340</x:v>
      </x:c>
      <x:c r="B1346" s="10" t="n">
        <x:v>45573</x:v>
      </x:c>
      <x:c r="C1346" s="2" t="str">
        <x:v>Colômbia</x:v>
      </x:c>
      <x:c r="D1346" s="2" t="str">
        <x:v>Moda Infantil</x:v>
      </x:c>
      <x:c r="E1346" s="11" t="n">
        <x:v>44</x:v>
      </x:c>
      <x:c r="F1346" s="12" t="n">
        <x:v>141.03</x:v>
      </x:c>
      <x:c r="G1346" s="12" t="n">
        <x:v>6205.32</x:v>
      </x:c>
      <x:c r="H1346" s="13" t="n">
        <x:v>67</x:v>
      </x:c>
      <x:c r="I1346" s="13" t="n">
        <x:f>YEAR(B1346)</x:f>
        <x:v>2024</x:v>
      </x:c>
      <x:c r="J1346" s="13" t="n">
        <x:f>MONTH(B1346)</x:f>
        <x:v>10</x:v>
      </x:c>
      <x:c r="K1346" s="14" t="n">
        <x:f>ROUND(E1346*F1346-G1346,10)</x:f>
        <x:v>0</x:v>
      </x:c>
      <x:c r="L1346" s="2"/>
      <x:c r="M1346" s="2"/>
      <x:c r="N1346" s="2"/>
      <x:c r="O1346" s="2"/>
      <x:c r="P1346" s="2"/>
      <x:c r="Q1346" s="2"/>
      <x:c r="R1346" s="2"/>
    </x:row>
    <x:row r="1347" ht="22" customHeight="1">
      <x:c r="A1347" s="2" t="n">
        <x:v>101341</x:v>
      </x:c>
      <x:c r="B1347" s="10" t="n">
        <x:v>45508</x:v>
      </x:c>
      <x:c r="C1347" s="2" t="str">
        <x:v>Colômbia</x:v>
      </x:c>
      <x:c r="D1347" s="2" t="str">
        <x:v>Moda Masculina</x:v>
      </x:c>
      <x:c r="E1347" s="11" t="n">
        <x:v>17</x:v>
      </x:c>
      <x:c r="F1347" s="12" t="n">
        <x:v>79.18</x:v>
      </x:c>
      <x:c r="G1347" s="12" t="n">
        <x:v>1346.06</x:v>
      </x:c>
      <x:c r="H1347" s="13" t="n">
        <x:v>119</x:v>
      </x:c>
      <x:c r="I1347" s="13" t="n">
        <x:f>YEAR(B1347)</x:f>
        <x:v>2024</x:v>
      </x:c>
      <x:c r="J1347" s="13" t="n">
        <x:f>MONTH(B1347)</x:f>
        <x:v>8</x:v>
      </x:c>
      <x:c r="K1347" s="14" t="n">
        <x:f>ROUND(E1347*F1347-G1347,10)</x:f>
        <x:v>0</x:v>
      </x:c>
      <x:c r="L1347" s="2"/>
      <x:c r="M1347" s="2"/>
      <x:c r="N1347" s="2"/>
      <x:c r="O1347" s="2"/>
      <x:c r="P1347" s="2"/>
      <x:c r="Q1347" s="2"/>
      <x:c r="R1347" s="2"/>
    </x:row>
    <x:row r="1348" ht="22" customHeight="1">
      <x:c r="A1348" s="2" t="n">
        <x:v>101342</x:v>
      </x:c>
      <x:c r="B1348" s="10" t="n">
        <x:v>45235</x:v>
      </x:c>
      <x:c r="C1348" s="2" t="str">
        <x:v>México</x:v>
      </x:c>
      <x:c r="D1348" s="2" t="str">
        <x:v>Moda Feminina</x:v>
      </x:c>
      <x:c r="E1348" s="11" t="n">
        <x:v>41</x:v>
      </x:c>
      <x:c r="F1348" s="12" t="n">
        <x:v>70.06</x:v>
      </x:c>
      <x:c r="G1348" s="12" t="n">
        <x:v>2872.46</x:v>
      </x:c>
      <x:c r="H1348" s="13" t="n">
        <x:v>387</x:v>
      </x:c>
      <x:c r="I1348" s="13" t="n">
        <x:f>YEAR(B1348)</x:f>
        <x:v>2023</x:v>
      </x:c>
      <x:c r="J1348" s="13" t="n">
        <x:f>MONTH(B1348)</x:f>
        <x:v>11</x:v>
      </x:c>
      <x:c r="K1348" s="14" t="n">
        <x:f>ROUND(E1348*F1348-G1348,10)</x:f>
        <x:v>0</x:v>
      </x:c>
      <x:c r="L1348" s="2"/>
      <x:c r="M1348" s="2"/>
      <x:c r="N1348" s="2"/>
      <x:c r="O1348" s="2"/>
      <x:c r="P1348" s="2"/>
      <x:c r="Q1348" s="2"/>
      <x:c r="R1348" s="2"/>
    </x:row>
    <x:row r="1349" ht="22" customHeight="1">
      <x:c r="A1349" s="2" t="n">
        <x:v>101343</x:v>
      </x:c>
      <x:c r="B1349" s="10" t="n">
        <x:v>45200</x:v>
      </x:c>
      <x:c r="C1349" s="2" t="str">
        <x:v>Peru</x:v>
      </x:c>
      <x:c r="D1349" s="2" t="str">
        <x:v>Moda Masculina</x:v>
      </x:c>
      <x:c r="E1349" s="11" t="n">
        <x:v>47</x:v>
      </x:c>
      <x:c r="F1349" s="12" t="n">
        <x:v>53.2</x:v>
      </x:c>
      <x:c r="G1349" s="12" t="n">
        <x:v>2500.4</x:v>
      </x:c>
      <x:c r="H1349" s="13" t="n">
        <x:v>165</x:v>
      </x:c>
      <x:c r="I1349" s="13" t="n">
        <x:f>YEAR(B1349)</x:f>
        <x:v>2023</x:v>
      </x:c>
      <x:c r="J1349" s="13" t="n">
        <x:f>MONTH(B1349)</x:f>
        <x:v>10</x:v>
      </x:c>
      <x:c r="K1349" s="14" t="n">
        <x:f>ROUND(E1349*F1349-G1349,10)</x:f>
        <x:v>0</x:v>
      </x:c>
      <x:c r="L1349" s="2"/>
      <x:c r="M1349" s="2"/>
      <x:c r="N1349" s="2"/>
      <x:c r="O1349" s="2"/>
      <x:c r="P1349" s="2"/>
      <x:c r="Q1349" s="2"/>
      <x:c r="R1349" s="2"/>
    </x:row>
    <x:row r="1350" ht="22" customHeight="1">
      <x:c r="A1350" s="2" t="n">
        <x:v>101344</x:v>
      </x:c>
      <x:c r="B1350" s="10" t="n">
        <x:v>45491</x:v>
      </x:c>
      <x:c r="C1350" s="2" t="str">
        <x:v>México</x:v>
      </x:c>
      <x:c r="D1350" s="2" t="str">
        <x:v>Acessórios</x:v>
      </x:c>
      <x:c r="E1350" s="11" t="n">
        <x:v>44</x:v>
      </x:c>
      <x:c r="F1350" s="12" t="n">
        <x:v>109.55</x:v>
      </x:c>
      <x:c r="G1350" s="12" t="n">
        <x:v>4820.2</x:v>
      </x:c>
      <x:c r="H1350" s="13" t="n">
        <x:v>129</x:v>
      </x:c>
      <x:c r="I1350" s="13" t="n">
        <x:f>YEAR(B1350)</x:f>
        <x:v>2024</x:v>
      </x:c>
      <x:c r="J1350" s="13" t="n">
        <x:f>MONTH(B1350)</x:f>
        <x:v>7</x:v>
      </x:c>
      <x:c r="K1350" s="14" t="n">
        <x:f>ROUND(E1350*F1350-G1350,10)</x:f>
        <x:v>0</x:v>
      </x:c>
      <x:c r="L1350" s="2"/>
      <x:c r="M1350" s="2"/>
      <x:c r="N1350" s="2"/>
      <x:c r="O1350" s="2"/>
      <x:c r="P1350" s="2"/>
      <x:c r="Q1350" s="2"/>
      <x:c r="R1350" s="2"/>
    </x:row>
    <x:row r="1351" ht="22" customHeight="1">
      <x:c r="A1351" s="2" t="n">
        <x:v>101345</x:v>
      </x:c>
      <x:c r="B1351" s="10" t="n">
        <x:v>44935</x:v>
      </x:c>
      <x:c r="C1351" s="2" t="str">
        <x:v>Peru</x:v>
      </x:c>
      <x:c r="D1351" s="2" t="str">
        <x:v>Moda Infantil</x:v>
      </x:c>
      <x:c r="E1351" s="11" t="n">
        <x:v>34</x:v>
      </x:c>
      <x:c r="F1351" s="12" t="n">
        <x:v>69.67</x:v>
      </x:c>
      <x:c r="G1351" s="12" t="n">
        <x:v>2368.78</x:v>
      </x:c>
      <x:c r="H1351" s="13" t="n">
        <x:v>64</x:v>
      </x:c>
      <x:c r="I1351" s="13" t="n">
        <x:f>YEAR(B1351)</x:f>
        <x:v>2023</x:v>
      </x:c>
      <x:c r="J1351" s="13" t="n">
        <x:f>MONTH(B1351)</x:f>
        <x:v>1</x:v>
      </x:c>
      <x:c r="K1351" s="14" t="n">
        <x:f>ROUND(E1351*F1351-G1351,10)</x:f>
        <x:v>0</x:v>
      </x:c>
      <x:c r="L1351" s="2"/>
      <x:c r="M1351" s="2"/>
      <x:c r="N1351" s="2"/>
      <x:c r="O1351" s="2"/>
      <x:c r="P1351" s="2"/>
      <x:c r="Q1351" s="2"/>
      <x:c r="R1351" s="2"/>
    </x:row>
    <x:row r="1352" ht="22" customHeight="1">
      <x:c r="A1352" s="2" t="n">
        <x:v>101346</x:v>
      </x:c>
      <x:c r="B1352" s="10" t="n">
        <x:v>45232</x:v>
      </x:c>
      <x:c r="C1352" s="2" t="str">
        <x:v>Argentina</x:v>
      </x:c>
      <x:c r="D1352" s="2" t="str">
        <x:v>Moda Infantil</x:v>
      </x:c>
      <x:c r="E1352" s="11" t="n">
        <x:v>5</x:v>
      </x:c>
      <x:c r="F1352" s="12" t="n">
        <x:v>151.58</x:v>
      </x:c>
      <x:c r="G1352" s="12" t="n">
        <x:v>757.9000000000001</x:v>
      </x:c>
      <x:c r="H1352" s="13" t="n">
        <x:v>225</x:v>
      </x:c>
      <x:c r="I1352" s="13" t="n">
        <x:f>YEAR(B1352)</x:f>
        <x:v>2023</x:v>
      </x:c>
      <x:c r="J1352" s="13" t="n">
        <x:f>MONTH(B1352)</x:f>
        <x:v>11</x:v>
      </x:c>
      <x:c r="K1352" s="14" t="n">
        <x:f>ROUND(E1352*F1352-G1352,10)</x:f>
        <x:v>0</x:v>
      </x:c>
      <x:c r="L1352" s="2"/>
      <x:c r="M1352" s="2"/>
      <x:c r="N1352" s="2"/>
      <x:c r="O1352" s="2"/>
      <x:c r="P1352" s="2"/>
      <x:c r="Q1352" s="2"/>
      <x:c r="R1352" s="2"/>
    </x:row>
    <x:row r="1353" ht="22" customHeight="1">
      <x:c r="A1353" s="2" t="n">
        <x:v>101347</x:v>
      </x:c>
      <x:c r="B1353" s="10" t="n">
        <x:v>45122</x:v>
      </x:c>
      <x:c r="C1353" s="2" t="str">
        <x:v>Argentina</x:v>
      </x:c>
      <x:c r="D1353" s="2" t="str">
        <x:v>Moda Infantil</x:v>
      </x:c>
      <x:c r="E1353" s="11" t="n">
        <x:v>45</x:v>
      </x:c>
      <x:c r="F1353" s="12" t="n">
        <x:v>33.79</x:v>
      </x:c>
      <x:c r="G1353" s="12" t="n">
        <x:v>1520.55</x:v>
      </x:c>
      <x:c r="H1353" s="13" t="n">
        <x:v>318</x:v>
      </x:c>
      <x:c r="I1353" s="13" t="n">
        <x:f>YEAR(B1353)</x:f>
        <x:v>2023</x:v>
      </x:c>
      <x:c r="J1353" s="13" t="n">
        <x:f>MONTH(B1353)</x:f>
        <x:v>7</x:v>
      </x:c>
      <x:c r="K1353" s="14" t="n">
        <x:f>ROUND(E1353*F1353-G1353,10)</x:f>
        <x:v>0</x:v>
      </x:c>
      <x:c r="L1353" s="2"/>
      <x:c r="M1353" s="2"/>
      <x:c r="N1353" s="2"/>
      <x:c r="O1353" s="2"/>
      <x:c r="P1353" s="2"/>
      <x:c r="Q1353" s="2"/>
      <x:c r="R1353" s="2"/>
    </x:row>
    <x:row r="1354" ht="22" customHeight="1">
      <x:c r="A1354" s="2" t="n">
        <x:v>101348</x:v>
      </x:c>
      <x:c r="B1354" s="10" t="n">
        <x:v>45139</x:v>
      </x:c>
      <x:c r="C1354" s="2" t="str">
        <x:v>Brasil</x:v>
      </x:c>
      <x:c r="D1354" s="2" t="str">
        <x:v>Acessórios</x:v>
      </x:c>
      <x:c r="E1354" s="11" t="n">
        <x:v>27</x:v>
      </x:c>
      <x:c r="F1354" s="12" t="n">
        <x:v>139.53</x:v>
      </x:c>
      <x:c r="G1354" s="12" t="n">
        <x:v>3767.31</x:v>
      </x:c>
      <x:c r="H1354" s="13" t="n">
        <x:v>168</x:v>
      </x:c>
      <x:c r="I1354" s="13" t="n">
        <x:f>YEAR(B1354)</x:f>
        <x:v>2023</x:v>
      </x:c>
      <x:c r="J1354" s="13" t="n">
        <x:f>MONTH(B1354)</x:f>
        <x:v>8</x:v>
      </x:c>
      <x:c r="K1354" s="14" t="n">
        <x:f>ROUND(E1354*F1354-G1354,10)</x:f>
        <x:v>0</x:v>
      </x:c>
      <x:c r="L1354" s="2"/>
      <x:c r="M1354" s="2"/>
      <x:c r="N1354" s="2"/>
      <x:c r="O1354" s="2"/>
      <x:c r="P1354" s="2"/>
      <x:c r="Q1354" s="2"/>
      <x:c r="R1354" s="2"/>
    </x:row>
    <x:row r="1355" ht="22" customHeight="1">
      <x:c r="A1355" s="2" t="n">
        <x:v>101349</x:v>
      </x:c>
      <x:c r="B1355" s="10" t="n">
        <x:v>45119</x:v>
      </x:c>
      <x:c r="C1355" s="2" t="str">
        <x:v>México</x:v>
      </x:c>
      <x:c r="D1355" s="2" t="str">
        <x:v>Calçados</x:v>
      </x:c>
      <x:c r="E1355" s="11" t="n">
        <x:v>23</x:v>
      </x:c>
      <x:c r="F1355" s="12" t="n">
        <x:v>62.76</x:v>
      </x:c>
      <x:c r="G1355" s="12" t="n">
        <x:v>1443.48</x:v>
      </x:c>
      <x:c r="H1355" s="13" t="n">
        <x:v>348</x:v>
      </x:c>
      <x:c r="I1355" s="13" t="n">
        <x:f>YEAR(B1355)</x:f>
        <x:v>2023</x:v>
      </x:c>
      <x:c r="J1355" s="13" t="n">
        <x:f>MONTH(B1355)</x:f>
        <x:v>7</x:v>
      </x:c>
      <x:c r="K1355" s="14" t="n">
        <x:f>ROUND(E1355*F1355-G1355,10)</x:f>
        <x:v>0</x:v>
      </x:c>
      <x:c r="L1355" s="2"/>
      <x:c r="M1355" s="2"/>
      <x:c r="N1355" s="2"/>
      <x:c r="O1355" s="2"/>
      <x:c r="P1355" s="2"/>
      <x:c r="Q1355" s="2"/>
      <x:c r="R1355" s="2"/>
    </x:row>
    <x:row r="1356" ht="22" customHeight="1">
      <x:c r="A1356" s="2" t="n">
        <x:v>101350</x:v>
      </x:c>
      <x:c r="B1356" s="10" t="n">
        <x:v>45345</x:v>
      </x:c>
      <x:c r="C1356" s="2" t="str">
        <x:v>Chile</x:v>
      </x:c>
      <x:c r="D1356" s="2" t="str">
        <x:v>Calçados</x:v>
      </x:c>
      <x:c r="E1356" s="11" t="n">
        <x:v>40</x:v>
      </x:c>
      <x:c r="F1356" s="12" t="n">
        <x:v>108.07</x:v>
      </x:c>
      <x:c r="G1356" s="12" t="n">
        <x:v>4322.799999999999</x:v>
      </x:c>
      <x:c r="H1356" s="13" t="n">
        <x:v>237</x:v>
      </x:c>
      <x:c r="I1356" s="13" t="n">
        <x:f>YEAR(B1356)</x:f>
        <x:v>2024</x:v>
      </x:c>
      <x:c r="J1356" s="13" t="n">
        <x:f>MONTH(B1356)</x:f>
        <x:v>2</x:v>
      </x:c>
      <x:c r="K1356" s="14" t="n">
        <x:f>ROUND(E1356*F1356-G1356,10)</x:f>
        <x:v>0</x:v>
      </x:c>
      <x:c r="L1356" s="2"/>
      <x:c r="M1356" s="2"/>
      <x:c r="N1356" s="2"/>
      <x:c r="O1356" s="2"/>
      <x:c r="P1356" s="2"/>
      <x:c r="Q1356" s="2"/>
      <x:c r="R1356" s="2"/>
    </x:row>
    <x:row r="1357" ht="22" customHeight="1">
      <x:c r="A1357" s="2" t="n">
        <x:v>101351</x:v>
      </x:c>
      <x:c r="B1357" s="10" t="n">
        <x:v>45578</x:v>
      </x:c>
      <x:c r="C1357" s="2" t="str">
        <x:v>México</x:v>
      </x:c>
      <x:c r="D1357" s="2" t="str">
        <x:v>Moda Masculina</x:v>
      </x:c>
      <x:c r="E1357" s="11" t="n">
        <x:v>14</x:v>
      </x:c>
      <x:c r="F1357" s="12" t="n">
        <x:v>71.5</x:v>
      </x:c>
      <x:c r="G1357" s="12" t="n">
        <x:v>1001</x:v>
      </x:c>
      <x:c r="H1357" s="13" t="n">
        <x:v>106</x:v>
      </x:c>
      <x:c r="I1357" s="13" t="n">
        <x:f>YEAR(B1357)</x:f>
        <x:v>2024</x:v>
      </x:c>
      <x:c r="J1357" s="13" t="n">
        <x:f>MONTH(B1357)</x:f>
        <x:v>10</x:v>
      </x:c>
      <x:c r="K1357" s="14" t="n">
        <x:f>ROUND(E1357*F1357-G1357,10)</x:f>
        <x:v>0</x:v>
      </x:c>
      <x:c r="L1357" s="2"/>
      <x:c r="M1357" s="2"/>
      <x:c r="N1357" s="2"/>
      <x:c r="O1357" s="2"/>
      <x:c r="P1357" s="2"/>
      <x:c r="Q1357" s="2"/>
      <x:c r="R1357" s="2"/>
    </x:row>
    <x:row r="1358" ht="22" customHeight="1">
      <x:c r="A1358" s="2" t="n">
        <x:v>101352</x:v>
      </x:c>
      <x:c r="B1358" s="10" t="n">
        <x:v>45118</x:v>
      </x:c>
      <x:c r="C1358" s="2" t="str">
        <x:v>Chile</x:v>
      </x:c>
      <x:c r="D1358" s="2" t="str">
        <x:v>Calçados</x:v>
      </x:c>
      <x:c r="E1358" s="11" t="n">
        <x:v>15</x:v>
      </x:c>
      <x:c r="F1358" s="12" t="n">
        <x:v>150.1</x:v>
      </x:c>
      <x:c r="G1358" s="12" t="n">
        <x:v>2251.5</x:v>
      </x:c>
      <x:c r="H1358" s="13" t="n">
        <x:v>248</x:v>
      </x:c>
      <x:c r="I1358" s="13" t="n">
        <x:f>YEAR(B1358)</x:f>
        <x:v>2023</x:v>
      </x:c>
      <x:c r="J1358" s="13" t="n">
        <x:f>MONTH(B1358)</x:f>
        <x:v>7</x:v>
      </x:c>
      <x:c r="K1358" s="14" t="n">
        <x:f>ROUND(E1358*F1358-G1358,10)</x:f>
        <x:v>0</x:v>
      </x:c>
      <x:c r="L1358" s="2"/>
      <x:c r="M1358" s="2"/>
      <x:c r="N1358" s="2"/>
      <x:c r="O1358" s="2"/>
      <x:c r="P1358" s="2"/>
      <x:c r="Q1358" s="2"/>
      <x:c r="R1358" s="2"/>
    </x:row>
    <x:row r="1359" ht="22" customHeight="1">
      <x:c r="A1359" s="2" t="n">
        <x:v>101353</x:v>
      </x:c>
      <x:c r="B1359" s="10" t="n">
        <x:v>45456</x:v>
      </x:c>
      <x:c r="C1359" s="2" t="str">
        <x:v>Colômbia</x:v>
      </x:c>
      <x:c r="D1359" s="2" t="str">
        <x:v>Calçados</x:v>
      </x:c>
      <x:c r="E1359" s="11" t="n">
        <x:v>43</x:v>
      </x:c>
      <x:c r="F1359" s="12" t="n">
        <x:v>190.16</x:v>
      </x:c>
      <x:c r="G1359" s="12" t="n">
        <x:v>8176.88</x:v>
      </x:c>
      <x:c r="H1359" s="13" t="n">
        <x:v>66</x:v>
      </x:c>
      <x:c r="I1359" s="13" t="n">
        <x:f>YEAR(B1359)</x:f>
        <x:v>2024</x:v>
      </x:c>
      <x:c r="J1359" s="13" t="n">
        <x:f>MONTH(B1359)</x:f>
        <x:v>6</x:v>
      </x:c>
      <x:c r="K1359" s="14" t="n">
        <x:f>ROUND(E1359*F1359-G1359,10)</x:f>
        <x:v>0</x:v>
      </x:c>
      <x:c r="L1359" s="2"/>
      <x:c r="M1359" s="2"/>
      <x:c r="N1359" s="2"/>
      <x:c r="O1359" s="2"/>
      <x:c r="P1359" s="2"/>
      <x:c r="Q1359" s="2"/>
      <x:c r="R1359" s="2"/>
    </x:row>
    <x:row r="1360" ht="22" customHeight="1">
      <x:c r="A1360" s="2" t="n">
        <x:v>101354</x:v>
      </x:c>
      <x:c r="B1360" s="10" t="n">
        <x:v>45337</x:v>
      </x:c>
      <x:c r="C1360" s="2" t="str">
        <x:v>México</x:v>
      </x:c>
      <x:c r="D1360" s="2" t="str">
        <x:v>Moda Infantil</x:v>
      </x:c>
      <x:c r="E1360" s="11" t="n">
        <x:v>33</x:v>
      </x:c>
      <x:c r="F1360" s="12" t="n">
        <x:v>185.07</x:v>
      </x:c>
      <x:c r="G1360" s="12" t="n">
        <x:v>6107.309999999999</x:v>
      </x:c>
      <x:c r="H1360" s="13" t="n">
        <x:v>483</x:v>
      </x:c>
      <x:c r="I1360" s="13" t="n">
        <x:f>YEAR(B1360)</x:f>
        <x:v>2024</x:v>
      </x:c>
      <x:c r="J1360" s="13" t="n">
        <x:f>MONTH(B1360)</x:f>
        <x:v>2</x:v>
      </x:c>
      <x:c r="K1360" s="14" t="n">
        <x:f>ROUND(E1360*F1360-G1360,10)</x:f>
        <x:v>0</x:v>
      </x:c>
      <x:c r="L1360" s="2"/>
      <x:c r="M1360" s="2"/>
      <x:c r="N1360" s="2"/>
      <x:c r="O1360" s="2"/>
      <x:c r="P1360" s="2"/>
      <x:c r="Q1360" s="2"/>
      <x:c r="R1360" s="2"/>
    </x:row>
    <x:row r="1361" ht="22" customHeight="1">
      <x:c r="A1361" s="2" t="n">
        <x:v>101355</x:v>
      </x:c>
      <x:c r="B1361" s="10" t="n">
        <x:v>45452</x:v>
      </x:c>
      <x:c r="C1361" s="2" t="str">
        <x:v>Colômbia</x:v>
      </x:c>
      <x:c r="D1361" s="2" t="str">
        <x:v>Moda Infantil</x:v>
      </x:c>
      <x:c r="E1361" s="11" t="n">
        <x:v>31</x:v>
      </x:c>
      <x:c r="F1361" s="12" t="n">
        <x:v>125.02</x:v>
      </x:c>
      <x:c r="G1361" s="12" t="n">
        <x:v>3875.62</x:v>
      </x:c>
      <x:c r="H1361" s="13" t="n">
        <x:v>337</x:v>
      </x:c>
      <x:c r="I1361" s="13" t="n">
        <x:f>YEAR(B1361)</x:f>
        <x:v>2024</x:v>
      </x:c>
      <x:c r="J1361" s="13" t="n">
        <x:f>MONTH(B1361)</x:f>
        <x:v>6</x:v>
      </x:c>
      <x:c r="K1361" s="14" t="n">
        <x:f>ROUND(E1361*F1361-G1361,10)</x:f>
        <x:v>0</x:v>
      </x:c>
      <x:c r="L1361" s="2"/>
      <x:c r="M1361" s="2"/>
      <x:c r="N1361" s="2"/>
      <x:c r="O1361" s="2"/>
      <x:c r="P1361" s="2"/>
      <x:c r="Q1361" s="2"/>
      <x:c r="R1361" s="2"/>
    </x:row>
    <x:row r="1362" ht="22" customHeight="1">
      <x:c r="A1362" s="2" t="n">
        <x:v>101356</x:v>
      </x:c>
      <x:c r="B1362" s="10" t="n">
        <x:v>45143</x:v>
      </x:c>
      <x:c r="C1362" s="2" t="str">
        <x:v>Argentina</x:v>
      </x:c>
      <x:c r="D1362" s="2" t="str">
        <x:v>Moda Masculina</x:v>
      </x:c>
      <x:c r="E1362" s="11" t="n">
        <x:v>35</x:v>
      </x:c>
      <x:c r="F1362" s="12" t="n">
        <x:v>103.27</x:v>
      </x:c>
      <x:c r="G1362" s="12" t="n">
        <x:v>3614.45</x:v>
      </x:c>
      <x:c r="H1362" s="13" t="n">
        <x:v>455</x:v>
      </x:c>
      <x:c r="I1362" s="13" t="n">
        <x:f>YEAR(B1362)</x:f>
        <x:v>2023</x:v>
      </x:c>
      <x:c r="J1362" s="13" t="n">
        <x:f>MONTH(B1362)</x:f>
        <x:v>8</x:v>
      </x:c>
      <x:c r="K1362" s="14" t="n">
        <x:f>ROUND(E1362*F1362-G1362,10)</x:f>
        <x:v>0</x:v>
      </x:c>
      <x:c r="L1362" s="2"/>
      <x:c r="M1362" s="2"/>
      <x:c r="N1362" s="2"/>
      <x:c r="O1362" s="2"/>
      <x:c r="P1362" s="2"/>
      <x:c r="Q1362" s="2"/>
      <x:c r="R1362" s="2"/>
    </x:row>
    <x:row r="1363" ht="22" customHeight="1">
      <x:c r="A1363" s="2" t="n">
        <x:v>101357</x:v>
      </x:c>
      <x:c r="B1363" s="10" t="n">
        <x:v>45418</x:v>
      </x:c>
      <x:c r="C1363" s="2" t="str">
        <x:v>Argentina</x:v>
      </x:c>
      <x:c r="D1363" s="2" t="str">
        <x:v>Moda Feminina</x:v>
      </x:c>
      <x:c r="E1363" s="11" t="n">
        <x:v>17</x:v>
      </x:c>
      <x:c r="F1363" s="12" t="n">
        <x:v>167.29</x:v>
      </x:c>
      <x:c r="G1363" s="12" t="n">
        <x:v>2843.93</x:v>
      </x:c>
      <x:c r="H1363" s="13" t="n">
        <x:v>104</x:v>
      </x:c>
      <x:c r="I1363" s="13" t="n">
        <x:f>YEAR(B1363)</x:f>
        <x:v>2024</x:v>
      </x:c>
      <x:c r="J1363" s="13" t="n">
        <x:f>MONTH(B1363)</x:f>
        <x:v>5</x:v>
      </x:c>
      <x:c r="K1363" s="14" t="n">
        <x:f>ROUND(E1363*F1363-G1363,10)</x:f>
        <x:v>0</x:v>
      </x:c>
      <x:c r="L1363" s="2"/>
      <x:c r="M1363" s="2"/>
      <x:c r="N1363" s="2"/>
      <x:c r="O1363" s="2"/>
      <x:c r="P1363" s="2"/>
      <x:c r="Q1363" s="2"/>
      <x:c r="R1363" s="2"/>
    </x:row>
    <x:row r="1364" ht="22" customHeight="1">
      <x:c r="A1364" s="2" t="n">
        <x:v>101358</x:v>
      </x:c>
      <x:c r="B1364" s="10" t="n">
        <x:v>45455</x:v>
      </x:c>
      <x:c r="C1364" s="2" t="str">
        <x:v>Brasil</x:v>
      </x:c>
      <x:c r="D1364" s="2" t="str">
        <x:v>Moda Masculina</x:v>
      </x:c>
      <x:c r="E1364" s="11" t="n">
        <x:v>28</x:v>
      </x:c>
      <x:c r="F1364" s="12" t="n">
        <x:v>143</x:v>
      </x:c>
      <x:c r="G1364" s="12" t="n">
        <x:v>4004</x:v>
      </x:c>
      <x:c r="H1364" s="13" t="n">
        <x:v>490</x:v>
      </x:c>
      <x:c r="I1364" s="13" t="n">
        <x:f>YEAR(B1364)</x:f>
        <x:v>2024</x:v>
      </x:c>
      <x:c r="J1364" s="13" t="n">
        <x:f>MONTH(B1364)</x:f>
        <x:v>6</x:v>
      </x:c>
      <x:c r="K1364" s="14" t="n">
        <x:f>ROUND(E1364*F1364-G1364,10)</x:f>
        <x:v>0</x:v>
      </x:c>
      <x:c r="L1364" s="2"/>
      <x:c r="M1364" s="2"/>
      <x:c r="N1364" s="2"/>
      <x:c r="O1364" s="2"/>
      <x:c r="P1364" s="2"/>
      <x:c r="Q1364" s="2"/>
      <x:c r="R1364" s="2"/>
    </x:row>
    <x:row r="1365" ht="22" customHeight="1">
      <x:c r="A1365" s="2" t="n">
        <x:v>101359</x:v>
      </x:c>
      <x:c r="B1365" s="10" t="n">
        <x:v>44962</x:v>
      </x:c>
      <x:c r="C1365" s="2" t="str">
        <x:v>México</x:v>
      </x:c>
      <x:c r="D1365" s="2" t="str">
        <x:v>Moda Masculina</x:v>
      </x:c>
      <x:c r="E1365" s="11" t="n">
        <x:v>19</x:v>
      </x:c>
      <x:c r="F1365" s="12" t="n">
        <x:v>53.04</x:v>
      </x:c>
      <x:c r="G1365" s="12" t="n">
        <x:v>1007.76</x:v>
      </x:c>
      <x:c r="H1365" s="13" t="n">
        <x:v>318</x:v>
      </x:c>
      <x:c r="I1365" s="13" t="n">
        <x:f>YEAR(B1365)</x:f>
        <x:v>2023</x:v>
      </x:c>
      <x:c r="J1365" s="13" t="n">
        <x:f>MONTH(B1365)</x:f>
        <x:v>2</x:v>
      </x:c>
      <x:c r="K1365" s="14" t="n">
        <x:f>ROUND(E1365*F1365-G1365,10)</x:f>
        <x:v>0</x:v>
      </x:c>
      <x:c r="L1365" s="2"/>
      <x:c r="M1365" s="2"/>
      <x:c r="N1365" s="2"/>
      <x:c r="O1365" s="2"/>
      <x:c r="P1365" s="2"/>
      <x:c r="Q1365" s="2"/>
      <x:c r="R1365" s="2"/>
    </x:row>
    <x:row r="1366" ht="22" customHeight="1">
      <x:c r="A1366" s="2" t="n">
        <x:v>101360</x:v>
      </x:c>
      <x:c r="B1366" s="10" t="n">
        <x:v>45362</x:v>
      </x:c>
      <x:c r="C1366" s="2" t="str">
        <x:v>Colômbia</x:v>
      </x:c>
      <x:c r="D1366" s="2" t="str">
        <x:v>Acessórios</x:v>
      </x:c>
      <x:c r="E1366" s="11" t="n">
        <x:v>46</x:v>
      </x:c>
      <x:c r="F1366" s="12" t="n">
        <x:v>167.77</x:v>
      </x:c>
      <x:c r="G1366" s="12" t="n">
        <x:v>7717.42</x:v>
      </x:c>
      <x:c r="H1366" s="13" t="n">
        <x:v>352</x:v>
      </x:c>
      <x:c r="I1366" s="13" t="n">
        <x:f>YEAR(B1366)</x:f>
        <x:v>2024</x:v>
      </x:c>
      <x:c r="J1366" s="13" t="n">
        <x:f>MONTH(B1366)</x:f>
        <x:v>3</x:v>
      </x:c>
      <x:c r="K1366" s="14" t="n">
        <x:f>ROUND(E1366*F1366-G1366,10)</x:f>
        <x:v>0</x:v>
      </x:c>
      <x:c r="L1366" s="2"/>
      <x:c r="M1366" s="2"/>
      <x:c r="N1366" s="2"/>
      <x:c r="O1366" s="2"/>
      <x:c r="P1366" s="2"/>
      <x:c r="Q1366" s="2"/>
      <x:c r="R1366" s="2"/>
    </x:row>
    <x:row r="1367" ht="22" customHeight="1">
      <x:c r="A1367" s="2" t="n">
        <x:v>101361</x:v>
      </x:c>
      <x:c r="B1367" s="10" t="n">
        <x:v>45090</x:v>
      </x:c>
      <x:c r="C1367" s="2" t="str">
        <x:v>Chile</x:v>
      </x:c>
      <x:c r="D1367" s="2" t="str">
        <x:v>Acessórios</x:v>
      </x:c>
      <x:c r="E1367" s="11" t="n">
        <x:v>23</x:v>
      </x:c>
      <x:c r="F1367" s="12" t="n">
        <x:v>97.2</x:v>
      </x:c>
      <x:c r="G1367" s="12" t="n">
        <x:v>2235.6</x:v>
      </x:c>
      <x:c r="H1367" s="13" t="n">
        <x:v>136</x:v>
      </x:c>
      <x:c r="I1367" s="13" t="n">
        <x:f>YEAR(B1367)</x:f>
        <x:v>2023</x:v>
      </x:c>
      <x:c r="J1367" s="13" t="n">
        <x:f>MONTH(B1367)</x:f>
        <x:v>6</x:v>
      </x:c>
      <x:c r="K1367" s="14" t="n">
        <x:f>ROUND(E1367*F1367-G1367,10)</x:f>
        <x:v>0</x:v>
      </x:c>
      <x:c r="L1367" s="2"/>
      <x:c r="M1367" s="2"/>
      <x:c r="N1367" s="2"/>
      <x:c r="O1367" s="2"/>
      <x:c r="P1367" s="2"/>
      <x:c r="Q1367" s="2"/>
      <x:c r="R1367" s="2"/>
    </x:row>
    <x:row r="1368" ht="22" customHeight="1">
      <x:c r="A1368" s="2" t="n">
        <x:v>101362</x:v>
      </x:c>
      <x:c r="B1368" s="10" t="n">
        <x:v>45140</x:v>
      </x:c>
      <x:c r="C1368" s="2" t="str">
        <x:v>Argentina</x:v>
      </x:c>
      <x:c r="D1368" s="2" t="str">
        <x:v>Moda Masculina</x:v>
      </x:c>
      <x:c r="E1368" s="11" t="n">
        <x:v>32</x:v>
      </x:c>
      <x:c r="F1368" s="12" t="n">
        <x:v>54.02</x:v>
      </x:c>
      <x:c r="G1368" s="12" t="n">
        <x:v>1728.64</x:v>
      </x:c>
      <x:c r="H1368" s="13" t="n">
        <x:v>367</x:v>
      </x:c>
      <x:c r="I1368" s="13" t="n">
        <x:f>YEAR(B1368)</x:f>
        <x:v>2023</x:v>
      </x:c>
      <x:c r="J1368" s="13" t="n">
        <x:f>MONTH(B1368)</x:f>
        <x:v>8</x:v>
      </x:c>
      <x:c r="K1368" s="14" t="n">
        <x:f>ROUND(E1368*F1368-G1368,10)</x:f>
        <x:v>0</x:v>
      </x:c>
      <x:c r="L1368" s="2"/>
      <x:c r="M1368" s="2"/>
      <x:c r="N1368" s="2"/>
      <x:c r="O1368" s="2"/>
      <x:c r="P1368" s="2"/>
      <x:c r="Q1368" s="2"/>
      <x:c r="R1368" s="2"/>
    </x:row>
    <x:row r="1369" ht="22" customHeight="1">
      <x:c r="A1369" s="2" t="n">
        <x:v>101363</x:v>
      </x:c>
      <x:c r="B1369" s="10" t="n">
        <x:v>45091</x:v>
      </x:c>
      <x:c r="C1369" s="2" t="str">
        <x:v>Argentina</x:v>
      </x:c>
      <x:c r="D1369" s="2" t="str">
        <x:v>Moda Masculina</x:v>
      </x:c>
      <x:c r="E1369" s="11" t="n">
        <x:v>40</x:v>
      </x:c>
      <x:c r="F1369" s="12" t="n">
        <x:v>70.72</x:v>
      </x:c>
      <x:c r="G1369" s="12" t="n">
        <x:v>2828.8</x:v>
      </x:c>
      <x:c r="H1369" s="13" t="n">
        <x:v>487</x:v>
      </x:c>
      <x:c r="I1369" s="13" t="n">
        <x:f>YEAR(B1369)</x:f>
        <x:v>2023</x:v>
      </x:c>
      <x:c r="J1369" s="13" t="n">
        <x:f>MONTH(B1369)</x:f>
        <x:v>6</x:v>
      </x:c>
      <x:c r="K1369" s="14" t="n">
        <x:f>ROUND(E1369*F1369-G1369,10)</x:f>
        <x:v>0</x:v>
      </x:c>
      <x:c r="L1369" s="2"/>
      <x:c r="M1369" s="2"/>
      <x:c r="N1369" s="2"/>
      <x:c r="O1369" s="2"/>
      <x:c r="P1369" s="2"/>
      <x:c r="Q1369" s="2"/>
      <x:c r="R1369" s="2"/>
    </x:row>
    <x:row r="1370" ht="22" customHeight="1">
      <x:c r="A1370" s="2" t="n">
        <x:v>101364</x:v>
      </x:c>
      <x:c r="B1370" s="10" t="n">
        <x:v>45509</x:v>
      </x:c>
      <x:c r="C1370" s="2" t="str">
        <x:v>Chile</x:v>
      </x:c>
      <x:c r="D1370" s="2" t="str">
        <x:v>Moda Masculina</x:v>
      </x:c>
      <x:c r="E1370" s="11" t="n">
        <x:v>13</x:v>
      </x:c>
      <x:c r="F1370" s="12" t="n">
        <x:v>68.15</x:v>
      </x:c>
      <x:c r="G1370" s="12" t="n">
        <x:v>885.95</x:v>
      </x:c>
      <x:c r="H1370" s="13" t="n">
        <x:v>78</x:v>
      </x:c>
      <x:c r="I1370" s="13" t="n">
        <x:f>YEAR(B1370)</x:f>
        <x:v>2024</x:v>
      </x:c>
      <x:c r="J1370" s="13" t="n">
        <x:f>MONTH(B1370)</x:f>
        <x:v>8</x:v>
      </x:c>
      <x:c r="K1370" s="14" t="n">
        <x:f>ROUND(E1370*F1370-G1370,10)</x:f>
        <x:v>0</x:v>
      </x:c>
      <x:c r="L1370" s="2"/>
      <x:c r="M1370" s="2"/>
      <x:c r="N1370" s="2"/>
      <x:c r="O1370" s="2"/>
      <x:c r="P1370" s="2"/>
      <x:c r="Q1370" s="2"/>
      <x:c r="R1370" s="2"/>
    </x:row>
    <x:row r="1371" ht="22" customHeight="1">
      <x:c r="A1371" s="2" t="n">
        <x:v>101365</x:v>
      </x:c>
      <x:c r="B1371" s="10" t="n">
        <x:v>45373</x:v>
      </x:c>
      <x:c r="C1371" s="2" t="str">
        <x:v>Colômbia</x:v>
      </x:c>
      <x:c r="D1371" s="2" t="str">
        <x:v>Calçados</x:v>
      </x:c>
      <x:c r="E1371" s="11" t="n">
        <x:v>20</x:v>
      </x:c>
      <x:c r="F1371" s="12" t="n">
        <x:v>113.46</x:v>
      </x:c>
      <x:c r="G1371" s="12" t="n">
        <x:v>2269.2</x:v>
      </x:c>
      <x:c r="H1371" s="13" t="n">
        <x:v>71</x:v>
      </x:c>
      <x:c r="I1371" s="13" t="n">
        <x:f>YEAR(B1371)</x:f>
        <x:v>2024</x:v>
      </x:c>
      <x:c r="J1371" s="13" t="n">
        <x:f>MONTH(B1371)</x:f>
        <x:v>3</x:v>
      </x:c>
      <x:c r="K1371" s="14" t="n">
        <x:f>ROUND(E1371*F1371-G1371,10)</x:f>
        <x:v>0</x:v>
      </x:c>
      <x:c r="L1371" s="2"/>
      <x:c r="M1371" s="2"/>
      <x:c r="N1371" s="2"/>
      <x:c r="O1371" s="2"/>
      <x:c r="P1371" s="2"/>
      <x:c r="Q1371" s="2"/>
      <x:c r="R1371" s="2"/>
    </x:row>
    <x:row r="1372" ht="22" customHeight="1">
      <x:c r="A1372" s="2" t="n">
        <x:v>101366</x:v>
      </x:c>
      <x:c r="B1372" s="10" t="n">
        <x:v>45214</x:v>
      </x:c>
      <x:c r="C1372" s="2" t="str">
        <x:v>Colômbia</x:v>
      </x:c>
      <x:c r="D1372" s="2" t="str">
        <x:v>Acessórios</x:v>
      </x:c>
      <x:c r="E1372" s="11" t="n">
        <x:v>35</x:v>
      </x:c>
      <x:c r="F1372" s="12" t="n">
        <x:v>62.19</x:v>
      </x:c>
      <x:c r="G1372" s="12" t="n">
        <x:v>2176.65</x:v>
      </x:c>
      <x:c r="H1372" s="13" t="n">
        <x:v>370</x:v>
      </x:c>
      <x:c r="I1372" s="13" t="n">
        <x:f>YEAR(B1372)</x:f>
        <x:v>2023</x:v>
      </x:c>
      <x:c r="J1372" s="13" t="n">
        <x:f>MONTH(B1372)</x:f>
        <x:v>10</x:v>
      </x:c>
      <x:c r="K1372" s="14" t="n">
        <x:f>ROUND(E1372*F1372-G1372,10)</x:f>
        <x:v>0</x:v>
      </x:c>
      <x:c r="L1372" s="2"/>
      <x:c r="M1372" s="2"/>
      <x:c r="N1372" s="2"/>
      <x:c r="O1372" s="2"/>
      <x:c r="P1372" s="2"/>
      <x:c r="Q1372" s="2"/>
      <x:c r="R1372" s="2"/>
    </x:row>
    <x:row r="1373" ht="22" customHeight="1">
      <x:c r="A1373" s="2" t="n">
        <x:v>101367</x:v>
      </x:c>
      <x:c r="B1373" s="10" t="n">
        <x:v>45471</x:v>
      </x:c>
      <x:c r="C1373" s="2" t="str">
        <x:v>México</x:v>
      </x:c>
      <x:c r="D1373" s="2" t="str">
        <x:v>Moda Masculina</x:v>
      </x:c>
      <x:c r="E1373" s="11" t="n">
        <x:v>5</x:v>
      </x:c>
      <x:c r="F1373" s="12" t="n">
        <x:v>42.24</x:v>
      </x:c>
      <x:c r="G1373" s="12" t="n">
        <x:v>211.2</x:v>
      </x:c>
      <x:c r="H1373" s="13" t="n">
        <x:v>334</x:v>
      </x:c>
      <x:c r="I1373" s="13" t="n">
        <x:f>YEAR(B1373)</x:f>
        <x:v>2024</x:v>
      </x:c>
      <x:c r="J1373" s="13" t="n">
        <x:f>MONTH(B1373)</x:f>
        <x:v>6</x:v>
      </x:c>
      <x:c r="K1373" s="14" t="n">
        <x:f>ROUND(E1373*F1373-G1373,10)</x:f>
        <x:v>0</x:v>
      </x:c>
      <x:c r="L1373" s="2"/>
      <x:c r="M1373" s="2"/>
      <x:c r="N1373" s="2"/>
      <x:c r="O1373" s="2"/>
      <x:c r="P1373" s="2"/>
      <x:c r="Q1373" s="2"/>
      <x:c r="R1373" s="2"/>
    </x:row>
    <x:row r="1374" ht="22" customHeight="1">
      <x:c r="A1374" s="2" t="n">
        <x:v>101368</x:v>
      </x:c>
      <x:c r="B1374" s="10" t="n">
        <x:v>45467</x:v>
      </x:c>
      <x:c r="C1374" s="2" t="str">
        <x:v>México</x:v>
      </x:c>
      <x:c r="D1374" s="2" t="str">
        <x:v>Moda Infantil</x:v>
      </x:c>
      <x:c r="E1374" s="11" t="n">
        <x:v>9</x:v>
      </x:c>
      <x:c r="F1374" s="12" t="n">
        <x:v>42.26</x:v>
      </x:c>
      <x:c r="G1374" s="12" t="n">
        <x:v>380.34</x:v>
      </x:c>
      <x:c r="H1374" s="13" t="n">
        <x:v>97</x:v>
      </x:c>
      <x:c r="I1374" s="13" t="n">
        <x:f>YEAR(B1374)</x:f>
        <x:v>2024</x:v>
      </x:c>
      <x:c r="J1374" s="13" t="n">
        <x:f>MONTH(B1374)</x:f>
        <x:v>6</x:v>
      </x:c>
      <x:c r="K1374" s="14" t="n">
        <x:f>ROUND(E1374*F1374-G1374,10)</x:f>
        <x:v>0</x:v>
      </x:c>
      <x:c r="L1374" s="2"/>
      <x:c r="M1374" s="2"/>
      <x:c r="N1374" s="2"/>
      <x:c r="O1374" s="2"/>
      <x:c r="P1374" s="2"/>
      <x:c r="Q1374" s="2"/>
      <x:c r="R1374" s="2"/>
    </x:row>
    <x:row r="1375" ht="22" customHeight="1">
      <x:c r="A1375" s="2" t="n">
        <x:v>101369</x:v>
      </x:c>
      <x:c r="B1375" s="10" t="n">
        <x:v>45182</x:v>
      </x:c>
      <x:c r="C1375" s="2" t="str">
        <x:v>Peru</x:v>
      </x:c>
      <x:c r="D1375" s="2" t="str">
        <x:v>Moda Infantil</x:v>
      </x:c>
      <x:c r="E1375" s="11" t="n">
        <x:v>29</x:v>
      </x:c>
      <x:c r="F1375" s="12" t="n">
        <x:v>124.99</x:v>
      </x:c>
      <x:c r="G1375" s="12" t="n">
        <x:v>3624.71</x:v>
      </x:c>
      <x:c r="H1375" s="13" t="n">
        <x:v>54</x:v>
      </x:c>
      <x:c r="I1375" s="13" t="n">
        <x:f>YEAR(B1375)</x:f>
        <x:v>2023</x:v>
      </x:c>
      <x:c r="J1375" s="13" t="n">
        <x:f>MONTH(B1375)</x:f>
        <x:v>9</x:v>
      </x:c>
      <x:c r="K1375" s="14" t="n">
        <x:f>ROUND(E1375*F1375-G1375,10)</x:f>
        <x:v>0</x:v>
      </x:c>
      <x:c r="L1375" s="2"/>
      <x:c r="M1375" s="2"/>
      <x:c r="N1375" s="2"/>
      <x:c r="O1375" s="2"/>
      <x:c r="P1375" s="2"/>
      <x:c r="Q1375" s="2"/>
      <x:c r="R1375" s="2"/>
    </x:row>
    <x:row r="1376" ht="22" customHeight="1">
      <x:c r="A1376" s="2" t="n">
        <x:v>101370</x:v>
      </x:c>
      <x:c r="B1376" s="10" t="n">
        <x:v>45282</x:v>
      </x:c>
      <x:c r="C1376" s="2" t="str">
        <x:v>Peru</x:v>
      </x:c>
      <x:c r="D1376" s="2" t="str">
        <x:v>Calçados</x:v>
      </x:c>
      <x:c r="E1376" s="11" t="n">
        <x:v>6</x:v>
      </x:c>
      <x:c r="F1376" s="12" t="n">
        <x:v>152.26</x:v>
      </x:c>
      <x:c r="G1376" s="12" t="n">
        <x:v>913.56</x:v>
      </x:c>
      <x:c r="H1376" s="13" t="n">
        <x:v>299</x:v>
      </x:c>
      <x:c r="I1376" s="13" t="n">
        <x:f>YEAR(B1376)</x:f>
        <x:v>2023</x:v>
      </x:c>
      <x:c r="J1376" s="13" t="n">
        <x:f>MONTH(B1376)</x:f>
        <x:v>12</x:v>
      </x:c>
      <x:c r="K1376" s="14" t="n">
        <x:f>ROUND(E1376*F1376-G1376,10)</x:f>
        <x:v>0</x:v>
      </x:c>
      <x:c r="L1376" s="2"/>
      <x:c r="M1376" s="2"/>
      <x:c r="N1376" s="2"/>
      <x:c r="O1376" s="2"/>
      <x:c r="P1376" s="2"/>
      <x:c r="Q1376" s="2"/>
      <x:c r="R1376" s="2"/>
    </x:row>
    <x:row r="1377" ht="22" customHeight="1">
      <x:c r="A1377" s="2" t="n">
        <x:v>101371</x:v>
      </x:c>
      <x:c r="B1377" s="10" t="n">
        <x:v>45560</x:v>
      </x:c>
      <x:c r="C1377" s="2" t="str">
        <x:v>Brasil</x:v>
      </x:c>
      <x:c r="D1377" s="2" t="str">
        <x:v>Calçados</x:v>
      </x:c>
      <x:c r="E1377" s="11" t="n">
        <x:v>25</x:v>
      </x:c>
      <x:c r="F1377" s="12" t="n">
        <x:v>77.88</x:v>
      </x:c>
      <x:c r="G1377" s="12" t="n">
        <x:v>1947</x:v>
      </x:c>
      <x:c r="H1377" s="13" t="n">
        <x:v>212</x:v>
      </x:c>
      <x:c r="I1377" s="13" t="n">
        <x:f>YEAR(B1377)</x:f>
        <x:v>2024</x:v>
      </x:c>
      <x:c r="J1377" s="13" t="n">
        <x:f>MONTH(B1377)</x:f>
        <x:v>9</x:v>
      </x:c>
      <x:c r="K1377" s="14" t="n">
        <x:f>ROUND(E1377*F1377-G1377,10)</x:f>
        <x:v>0</x:v>
      </x:c>
      <x:c r="L1377" s="2"/>
      <x:c r="M1377" s="2"/>
      <x:c r="N1377" s="2"/>
      <x:c r="O1377" s="2"/>
      <x:c r="P1377" s="2"/>
      <x:c r="Q1377" s="2"/>
      <x:c r="R1377" s="2"/>
    </x:row>
    <x:row r="1378" ht="22" customHeight="1">
      <x:c r="A1378" s="2" t="n">
        <x:v>101372</x:v>
      </x:c>
      <x:c r="B1378" s="10" t="n">
        <x:v>45541</x:v>
      </x:c>
      <x:c r="C1378" s="2" t="str">
        <x:v>Argentina</x:v>
      </x:c>
      <x:c r="D1378" s="2" t="str">
        <x:v>Moda Feminina</x:v>
      </x:c>
      <x:c r="E1378" s="11" t="n">
        <x:v>31</x:v>
      </x:c>
      <x:c r="F1378" s="12" t="n">
        <x:v>26.24</x:v>
      </x:c>
      <x:c r="G1378" s="12" t="n">
        <x:v>813.4399999999999</x:v>
      </x:c>
      <x:c r="H1378" s="13" t="n">
        <x:v>251</x:v>
      </x:c>
      <x:c r="I1378" s="13" t="n">
        <x:f>YEAR(B1378)</x:f>
        <x:v>2024</x:v>
      </x:c>
      <x:c r="J1378" s="13" t="n">
        <x:f>MONTH(B1378)</x:f>
        <x:v>9</x:v>
      </x:c>
      <x:c r="K1378" s="14" t="n">
        <x:f>ROUND(E1378*F1378-G1378,10)</x:f>
        <x:v>0</x:v>
      </x:c>
      <x:c r="L1378" s="2"/>
      <x:c r="M1378" s="2"/>
      <x:c r="N1378" s="2"/>
      <x:c r="O1378" s="2"/>
      <x:c r="P1378" s="2"/>
      <x:c r="Q1378" s="2"/>
      <x:c r="R1378" s="2"/>
    </x:row>
    <x:row r="1379" ht="22" customHeight="1">
      <x:c r="A1379" s="2" t="n">
        <x:v>101373</x:v>
      </x:c>
      <x:c r="B1379" s="10" t="n">
        <x:v>45507</x:v>
      </x:c>
      <x:c r="C1379" s="2" t="str">
        <x:v>México</x:v>
      </x:c>
      <x:c r="D1379" s="2" t="str">
        <x:v>Moda Feminina</x:v>
      </x:c>
      <x:c r="E1379" s="11" t="n">
        <x:v>22</x:v>
      </x:c>
      <x:c r="F1379" s="12" t="n">
        <x:v>42.9</x:v>
      </x:c>
      <x:c r="G1379" s="12" t="n">
        <x:v>943.8</x:v>
      </x:c>
      <x:c r="H1379" s="13" t="n">
        <x:v>150</x:v>
      </x:c>
      <x:c r="I1379" s="13" t="n">
        <x:f>YEAR(B1379)</x:f>
        <x:v>2024</x:v>
      </x:c>
      <x:c r="J1379" s="13" t="n">
        <x:f>MONTH(B1379)</x:f>
        <x:v>8</x:v>
      </x:c>
      <x:c r="K1379" s="14" t="n">
        <x:f>ROUND(E1379*F1379-G1379,10)</x:f>
        <x:v>0</x:v>
      </x:c>
      <x:c r="L1379" s="2"/>
      <x:c r="M1379" s="2"/>
      <x:c r="N1379" s="2"/>
      <x:c r="O1379" s="2"/>
      <x:c r="P1379" s="2"/>
      <x:c r="Q1379" s="2"/>
      <x:c r="R1379" s="2"/>
    </x:row>
    <x:row r="1380" ht="22" customHeight="1">
      <x:c r="A1380" s="2" t="n">
        <x:v>101374</x:v>
      </x:c>
      <x:c r="B1380" s="10" t="n">
        <x:v>44954</x:v>
      </x:c>
      <x:c r="C1380" s="2" t="str">
        <x:v>Colômbia</x:v>
      </x:c>
      <x:c r="D1380" s="2" t="str">
        <x:v>Moda Feminina</x:v>
      </x:c>
      <x:c r="E1380" s="11" t="n">
        <x:v>2</x:v>
      </x:c>
      <x:c r="F1380" s="12" t="n">
        <x:v>184.65</x:v>
      </x:c>
      <x:c r="G1380" s="12" t="n">
        <x:v>369.3</x:v>
      </x:c>
      <x:c r="H1380" s="13" t="n">
        <x:v>120</x:v>
      </x:c>
      <x:c r="I1380" s="13" t="n">
        <x:f>YEAR(B1380)</x:f>
        <x:v>2023</x:v>
      </x:c>
      <x:c r="J1380" s="13" t="n">
        <x:f>MONTH(B1380)</x:f>
        <x:v>1</x:v>
      </x:c>
      <x:c r="K1380" s="14" t="n">
        <x:f>ROUND(E1380*F1380-G1380,10)</x:f>
        <x:v>0</x:v>
      </x:c>
      <x:c r="L1380" s="2"/>
      <x:c r="M1380" s="2"/>
      <x:c r="N1380" s="2"/>
      <x:c r="O1380" s="2"/>
      <x:c r="P1380" s="2"/>
      <x:c r="Q1380" s="2"/>
      <x:c r="R1380" s="2"/>
    </x:row>
    <x:row r="1381" ht="22" customHeight="1">
      <x:c r="A1381" s="2" t="n">
        <x:v>101375</x:v>
      </x:c>
      <x:c r="B1381" s="10" t="n">
        <x:v>45495</x:v>
      </x:c>
      <x:c r="C1381" s="2" t="str">
        <x:v>Chile</x:v>
      </x:c>
      <x:c r="D1381" s="2" t="str">
        <x:v>Calçados</x:v>
      </x:c>
      <x:c r="E1381" s="11" t="n">
        <x:v>45</x:v>
      </x:c>
      <x:c r="F1381" s="12" t="n">
        <x:v>108.84</x:v>
      </x:c>
      <x:c r="G1381" s="12" t="n">
        <x:v>4897.8</x:v>
      </x:c>
      <x:c r="H1381" s="13" t="n">
        <x:v>479</x:v>
      </x:c>
      <x:c r="I1381" s="13" t="n">
        <x:f>YEAR(B1381)</x:f>
        <x:v>2024</x:v>
      </x:c>
      <x:c r="J1381" s="13" t="n">
        <x:f>MONTH(B1381)</x:f>
        <x:v>7</x:v>
      </x:c>
      <x:c r="K1381" s="14" t="n">
        <x:f>ROUND(E1381*F1381-G1381,10)</x:f>
        <x:v>0</x:v>
      </x:c>
      <x:c r="L1381" s="2"/>
      <x:c r="M1381" s="2"/>
      <x:c r="N1381" s="2"/>
      <x:c r="O1381" s="2"/>
      <x:c r="P1381" s="2"/>
      <x:c r="Q1381" s="2"/>
      <x:c r="R1381" s="2"/>
    </x:row>
    <x:row r="1382" ht="22" customHeight="1">
      <x:c r="A1382" s="2" t="n">
        <x:v>101376</x:v>
      </x:c>
      <x:c r="B1382" s="10" t="n">
        <x:v>45093</x:v>
      </x:c>
      <x:c r="C1382" s="2" t="str">
        <x:v>Colômbia</x:v>
      </x:c>
      <x:c r="D1382" s="2" t="str">
        <x:v>Calçados</x:v>
      </x:c>
      <x:c r="E1382" s="11" t="n">
        <x:v>5</x:v>
      </x:c>
      <x:c r="F1382" s="12" t="n">
        <x:v>101.64</x:v>
      </x:c>
      <x:c r="G1382" s="12" t="n">
        <x:v>508.2</x:v>
      </x:c>
      <x:c r="H1382" s="13" t="n">
        <x:v>212</x:v>
      </x:c>
      <x:c r="I1382" s="13" t="n">
        <x:f>YEAR(B1382)</x:f>
        <x:v>2023</x:v>
      </x:c>
      <x:c r="J1382" s="13" t="n">
        <x:f>MONTH(B1382)</x:f>
        <x:v>6</x:v>
      </x:c>
      <x:c r="K1382" s="14" t="n">
        <x:f>ROUND(E1382*F1382-G1382,10)</x:f>
        <x:v>0</x:v>
      </x:c>
      <x:c r="L1382" s="2"/>
      <x:c r="M1382" s="2"/>
      <x:c r="N1382" s="2"/>
      <x:c r="O1382" s="2"/>
      <x:c r="P1382" s="2"/>
      <x:c r="Q1382" s="2"/>
      <x:c r="R1382" s="2"/>
    </x:row>
    <x:row r="1383" ht="22" customHeight="1">
      <x:c r="A1383" s="2" t="n">
        <x:v>101377</x:v>
      </x:c>
      <x:c r="B1383" s="10" t="n">
        <x:v>44991</x:v>
      </x:c>
      <x:c r="C1383" s="2" t="str">
        <x:v>Argentina</x:v>
      </x:c>
      <x:c r="D1383" s="2" t="str">
        <x:v>Calçados</x:v>
      </x:c>
      <x:c r="E1383" s="11" t="n">
        <x:v>27</x:v>
      </x:c>
      <x:c r="F1383" s="12" t="n">
        <x:v>26.85</x:v>
      </x:c>
      <x:c r="G1383" s="12" t="n">
        <x:v>724.95</x:v>
      </x:c>
      <x:c r="H1383" s="13" t="n">
        <x:v>222</x:v>
      </x:c>
      <x:c r="I1383" s="13" t="n">
        <x:f>YEAR(B1383)</x:f>
        <x:v>2023</x:v>
      </x:c>
      <x:c r="J1383" s="13" t="n">
        <x:f>MONTH(B1383)</x:f>
        <x:v>3</x:v>
      </x:c>
      <x:c r="K1383" s="14" t="n">
        <x:f>ROUND(E1383*F1383-G1383,10)</x:f>
        <x:v>0</x:v>
      </x:c>
      <x:c r="L1383" s="2"/>
      <x:c r="M1383" s="2"/>
      <x:c r="N1383" s="2"/>
      <x:c r="O1383" s="2"/>
      <x:c r="P1383" s="2"/>
      <x:c r="Q1383" s="2"/>
      <x:c r="R1383" s="2"/>
    </x:row>
    <x:row r="1384" ht="22" customHeight="1">
      <x:c r="A1384" s="2" t="n">
        <x:v>101378</x:v>
      </x:c>
      <x:c r="B1384" s="10" t="n">
        <x:v>45064</x:v>
      </x:c>
      <x:c r="C1384" s="2" t="str">
        <x:v>Peru</x:v>
      </x:c>
      <x:c r="D1384" s="2" t="str">
        <x:v>Moda Infantil</x:v>
      </x:c>
      <x:c r="E1384" s="11" t="n">
        <x:v>25</x:v>
      </x:c>
      <x:c r="F1384" s="12" t="n">
        <x:v>151.15</x:v>
      </x:c>
      <x:c r="G1384" s="12" t="n">
        <x:v>3778.75</x:v>
      </x:c>
      <x:c r="H1384" s="13" t="n">
        <x:v>190</x:v>
      </x:c>
      <x:c r="I1384" s="13" t="n">
        <x:f>YEAR(B1384)</x:f>
        <x:v>2023</x:v>
      </x:c>
      <x:c r="J1384" s="13" t="n">
        <x:f>MONTH(B1384)</x:f>
        <x:v>5</x:v>
      </x:c>
      <x:c r="K1384" s="14" t="n">
        <x:f>ROUND(E1384*F1384-G1384,10)</x:f>
        <x:v>0</x:v>
      </x:c>
      <x:c r="L1384" s="2"/>
      <x:c r="M1384" s="2"/>
      <x:c r="N1384" s="2"/>
      <x:c r="O1384" s="2"/>
      <x:c r="P1384" s="2"/>
      <x:c r="Q1384" s="2"/>
      <x:c r="R1384" s="2"/>
    </x:row>
    <x:row r="1385" ht="22" customHeight="1">
      <x:c r="A1385" s="2" t="n">
        <x:v>101379</x:v>
      </x:c>
      <x:c r="B1385" s="10" t="n">
        <x:v>45037</x:v>
      </x:c>
      <x:c r="C1385" s="2" t="str">
        <x:v>Colômbia</x:v>
      </x:c>
      <x:c r="D1385" s="2" t="str">
        <x:v>Calçados</x:v>
      </x:c>
      <x:c r="E1385" s="11" t="n">
        <x:v>8</x:v>
      </x:c>
      <x:c r="F1385" s="12" t="n">
        <x:v>115.05</x:v>
      </x:c>
      <x:c r="G1385" s="12" t="n">
        <x:v>920.4</x:v>
      </x:c>
      <x:c r="H1385" s="13" t="n">
        <x:v>187</x:v>
      </x:c>
      <x:c r="I1385" s="13" t="n">
        <x:f>YEAR(B1385)</x:f>
        <x:v>2023</x:v>
      </x:c>
      <x:c r="J1385" s="13" t="n">
        <x:f>MONTH(B1385)</x:f>
        <x:v>4</x:v>
      </x:c>
      <x:c r="K1385" s="14" t="n">
        <x:f>ROUND(E1385*F1385-G1385,10)</x:f>
        <x:v>0</x:v>
      </x:c>
      <x:c r="L1385" s="2"/>
      <x:c r="M1385" s="2"/>
      <x:c r="N1385" s="2"/>
      <x:c r="O1385" s="2"/>
      <x:c r="P1385" s="2"/>
      <x:c r="Q1385" s="2"/>
      <x:c r="R1385" s="2"/>
    </x:row>
    <x:row r="1386" ht="22" customHeight="1">
      <x:c r="A1386" s="2" t="n">
        <x:v>101380</x:v>
      </x:c>
      <x:c r="B1386" s="10" t="n">
        <x:v>45182</x:v>
      </x:c>
      <x:c r="C1386" s="2" t="str">
        <x:v>Brasil</x:v>
      </x:c>
      <x:c r="D1386" s="2" t="str">
        <x:v>Moda Infantil</x:v>
      </x:c>
      <x:c r="E1386" s="11" t="n">
        <x:v>1</x:v>
      </x:c>
      <x:c r="F1386" s="12" t="n">
        <x:v>56.37</x:v>
      </x:c>
      <x:c r="G1386" s="12" t="n">
        <x:v>56.37</x:v>
      </x:c>
      <x:c r="H1386" s="13" t="n">
        <x:v>115</x:v>
      </x:c>
      <x:c r="I1386" s="13" t="n">
        <x:f>YEAR(B1386)</x:f>
        <x:v>2023</x:v>
      </x:c>
      <x:c r="J1386" s="13" t="n">
        <x:f>MONTH(B1386)</x:f>
        <x:v>9</x:v>
      </x:c>
      <x:c r="K1386" s="14" t="n">
        <x:f>ROUND(E1386*F1386-G1386,10)</x:f>
        <x:v>0</x:v>
      </x:c>
      <x:c r="L1386" s="2"/>
      <x:c r="M1386" s="2"/>
      <x:c r="N1386" s="2"/>
      <x:c r="O1386" s="2"/>
      <x:c r="P1386" s="2"/>
      <x:c r="Q1386" s="2"/>
      <x:c r="R1386" s="2"/>
    </x:row>
    <x:row r="1387" ht="22" customHeight="1">
      <x:c r="A1387" s="2" t="n">
        <x:v>101381</x:v>
      </x:c>
      <x:c r="B1387" s="10" t="n">
        <x:v>45346</x:v>
      </x:c>
      <x:c r="C1387" s="2" t="str">
        <x:v>Argentina</x:v>
      </x:c>
      <x:c r="D1387" s="2" t="str">
        <x:v>Moda Feminina</x:v>
      </x:c>
      <x:c r="E1387" s="11" t="n">
        <x:v>20</x:v>
      </x:c>
      <x:c r="F1387" s="12" t="n">
        <x:v>39.81</x:v>
      </x:c>
      <x:c r="G1387" s="12" t="n">
        <x:v>796.2</x:v>
      </x:c>
      <x:c r="H1387" s="13" t="n">
        <x:v>247</x:v>
      </x:c>
      <x:c r="I1387" s="13" t="n">
        <x:f>YEAR(B1387)</x:f>
        <x:v>2024</x:v>
      </x:c>
      <x:c r="J1387" s="13" t="n">
        <x:f>MONTH(B1387)</x:f>
        <x:v>2</x:v>
      </x:c>
      <x:c r="K1387" s="14" t="n">
        <x:f>ROUND(E1387*F1387-G1387,10)</x:f>
        <x:v>0</x:v>
      </x:c>
      <x:c r="L1387" s="2"/>
      <x:c r="M1387" s="2"/>
      <x:c r="N1387" s="2"/>
      <x:c r="O1387" s="2"/>
      <x:c r="P1387" s="2"/>
      <x:c r="Q1387" s="2"/>
      <x:c r="R1387" s="2"/>
    </x:row>
    <x:row r="1388" ht="22" customHeight="1">
      <x:c r="A1388" s="2" t="n">
        <x:v>101382</x:v>
      </x:c>
      <x:c r="B1388" s="10" t="n">
        <x:v>44973</x:v>
      </x:c>
      <x:c r="C1388" s="2" t="str">
        <x:v>Peru</x:v>
      </x:c>
      <x:c r="D1388" s="2" t="str">
        <x:v>Moda Feminina</x:v>
      </x:c>
      <x:c r="E1388" s="11" t="n">
        <x:v>44</x:v>
      </x:c>
      <x:c r="F1388" s="12" t="n">
        <x:v>89.01</x:v>
      </x:c>
      <x:c r="G1388" s="12" t="n">
        <x:v>3916.44</x:v>
      </x:c>
      <x:c r="H1388" s="13" t="n">
        <x:v>377</x:v>
      </x:c>
      <x:c r="I1388" s="13" t="n">
        <x:f>YEAR(B1388)</x:f>
        <x:v>2023</x:v>
      </x:c>
      <x:c r="J1388" s="13" t="n">
        <x:f>MONTH(B1388)</x:f>
        <x:v>2</x:v>
      </x:c>
      <x:c r="K1388" s="14" t="n">
        <x:f>ROUND(E1388*F1388-G1388,10)</x:f>
        <x:v>0</x:v>
      </x:c>
      <x:c r="L1388" s="2"/>
      <x:c r="M1388" s="2"/>
      <x:c r="N1388" s="2"/>
      <x:c r="O1388" s="2"/>
      <x:c r="P1388" s="2"/>
      <x:c r="Q1388" s="2"/>
      <x:c r="R1388" s="2"/>
    </x:row>
    <x:row r="1389" ht="22" customHeight="1">
      <x:c r="A1389" s="2" t="n">
        <x:v>101383</x:v>
      </x:c>
      <x:c r="B1389" s="10" t="n">
        <x:v>45644</x:v>
      </x:c>
      <x:c r="C1389" s="2" t="str">
        <x:v>Chile</x:v>
      </x:c>
      <x:c r="D1389" s="2" t="str">
        <x:v>Moda Feminina</x:v>
      </x:c>
      <x:c r="E1389" s="11" t="n">
        <x:v>23</x:v>
      </x:c>
      <x:c r="F1389" s="12" t="n">
        <x:v>170.69</x:v>
      </x:c>
      <x:c r="G1389" s="12" t="n">
        <x:v>3925.87</x:v>
      </x:c>
      <x:c r="H1389" s="13" t="n">
        <x:v>277</x:v>
      </x:c>
      <x:c r="I1389" s="13" t="n">
        <x:f>YEAR(B1389)</x:f>
        <x:v>2024</x:v>
      </x:c>
      <x:c r="J1389" s="13" t="n">
        <x:f>MONTH(B1389)</x:f>
        <x:v>12</x:v>
      </x:c>
      <x:c r="K1389" s="14" t="n">
        <x:f>ROUND(E1389*F1389-G1389,10)</x:f>
        <x:v>0</x:v>
      </x:c>
      <x:c r="L1389" s="2"/>
      <x:c r="M1389" s="2"/>
      <x:c r="N1389" s="2"/>
      <x:c r="O1389" s="2"/>
      <x:c r="P1389" s="2"/>
      <x:c r="Q1389" s="2"/>
      <x:c r="R1389" s="2"/>
    </x:row>
    <x:row r="1390" ht="22" customHeight="1">
      <x:c r="A1390" s="2" t="n">
        <x:v>101384</x:v>
      </x:c>
      <x:c r="B1390" s="10" t="n">
        <x:v>45377</x:v>
      </x:c>
      <x:c r="C1390" s="2" t="str">
        <x:v>Peru</x:v>
      </x:c>
      <x:c r="D1390" s="2" t="str">
        <x:v>Moda Masculina</x:v>
      </x:c>
      <x:c r="E1390" s="11" t="n">
        <x:v>32</x:v>
      </x:c>
      <x:c r="F1390" s="12" t="n">
        <x:v>175.75</x:v>
      </x:c>
      <x:c r="G1390" s="12" t="n">
        <x:v>5624</x:v>
      </x:c>
      <x:c r="H1390" s="13" t="n">
        <x:v>330</x:v>
      </x:c>
      <x:c r="I1390" s="13" t="n">
        <x:f>YEAR(B1390)</x:f>
        <x:v>2024</x:v>
      </x:c>
      <x:c r="J1390" s="13" t="n">
        <x:f>MONTH(B1390)</x:f>
        <x:v>3</x:v>
      </x:c>
      <x:c r="K1390" s="14" t="n">
        <x:f>ROUND(E1390*F1390-G1390,10)</x:f>
        <x:v>0</x:v>
      </x:c>
      <x:c r="L1390" s="2"/>
      <x:c r="M1390" s="2"/>
      <x:c r="N1390" s="2"/>
      <x:c r="O1390" s="2"/>
      <x:c r="P1390" s="2"/>
      <x:c r="Q1390" s="2"/>
      <x:c r="R1390" s="2"/>
    </x:row>
    <x:row r="1391" ht="22" customHeight="1">
      <x:c r="A1391" s="2" t="n">
        <x:v>101385</x:v>
      </x:c>
      <x:c r="B1391" s="10" t="n">
        <x:v>44937</x:v>
      </x:c>
      <x:c r="C1391" s="2" t="str">
        <x:v>Brasil</x:v>
      </x:c>
      <x:c r="D1391" s="2" t="str">
        <x:v>Moda Masculina</x:v>
      </x:c>
      <x:c r="E1391" s="11" t="n">
        <x:v>11</x:v>
      </x:c>
      <x:c r="F1391" s="12" t="n">
        <x:v>128.51</x:v>
      </x:c>
      <x:c r="G1391" s="12" t="n">
        <x:v>1413.61</x:v>
      </x:c>
      <x:c r="H1391" s="13" t="n">
        <x:v>221</x:v>
      </x:c>
      <x:c r="I1391" s="13" t="n">
        <x:f>YEAR(B1391)</x:f>
        <x:v>2023</x:v>
      </x:c>
      <x:c r="J1391" s="13" t="n">
        <x:f>MONTH(B1391)</x:f>
        <x:v>1</x:v>
      </x:c>
      <x:c r="K1391" s="14" t="n">
        <x:f>ROUND(E1391*F1391-G1391,10)</x:f>
        <x:v>0</x:v>
      </x:c>
      <x:c r="L1391" s="2"/>
      <x:c r="M1391" s="2"/>
      <x:c r="N1391" s="2"/>
      <x:c r="O1391" s="2"/>
      <x:c r="P1391" s="2"/>
      <x:c r="Q1391" s="2"/>
      <x:c r="R1391" s="2"/>
    </x:row>
    <x:row r="1392" ht="22" customHeight="1">
      <x:c r="A1392" s="2" t="n">
        <x:v>101386</x:v>
      </x:c>
      <x:c r="B1392" s="10" t="n">
        <x:v>45404</x:v>
      </x:c>
      <x:c r="C1392" s="2" t="str">
        <x:v>Argentina</x:v>
      </x:c>
      <x:c r="D1392" s="2" t="str">
        <x:v>Acessórios</x:v>
      </x:c>
      <x:c r="E1392" s="11" t="n">
        <x:v>39</x:v>
      </x:c>
      <x:c r="F1392" s="12" t="n">
        <x:v>150.96</x:v>
      </x:c>
      <x:c r="G1392" s="12" t="n">
        <x:v>5887.440000000001</x:v>
      </x:c>
      <x:c r="H1392" s="13" t="n">
        <x:v>365</x:v>
      </x:c>
      <x:c r="I1392" s="13" t="n">
        <x:f>YEAR(B1392)</x:f>
        <x:v>2024</x:v>
      </x:c>
      <x:c r="J1392" s="13" t="n">
        <x:f>MONTH(B1392)</x:f>
        <x:v>4</x:v>
      </x:c>
      <x:c r="K1392" s="14" t="n">
        <x:f>ROUND(E1392*F1392-G1392,10)</x:f>
        <x:v>0</x:v>
      </x:c>
      <x:c r="L1392" s="2"/>
      <x:c r="M1392" s="2"/>
      <x:c r="N1392" s="2"/>
      <x:c r="O1392" s="2"/>
      <x:c r="P1392" s="2"/>
      <x:c r="Q1392" s="2"/>
      <x:c r="R1392" s="2"/>
    </x:row>
    <x:row r="1393" ht="22" customHeight="1">
      <x:c r="A1393" s="2" t="n">
        <x:v>101387</x:v>
      </x:c>
      <x:c r="B1393" s="10" t="n">
        <x:v>45231</x:v>
      </x:c>
      <x:c r="C1393" s="2" t="str">
        <x:v>Chile</x:v>
      </x:c>
      <x:c r="D1393" s="2" t="str">
        <x:v>Acessórios</x:v>
      </x:c>
      <x:c r="E1393" s="11" t="n">
        <x:v>47</x:v>
      </x:c>
      <x:c r="F1393" s="12" t="n">
        <x:v>40.73</x:v>
      </x:c>
      <x:c r="G1393" s="12" t="n">
        <x:v>1914.31</x:v>
      </x:c>
      <x:c r="H1393" s="13" t="n">
        <x:v>480</x:v>
      </x:c>
      <x:c r="I1393" s="13" t="n">
        <x:f>YEAR(B1393)</x:f>
        <x:v>2023</x:v>
      </x:c>
      <x:c r="J1393" s="13" t="n">
        <x:f>MONTH(B1393)</x:f>
        <x:v>11</x:v>
      </x:c>
      <x:c r="K1393" s="14" t="n">
        <x:f>ROUND(E1393*F1393-G1393,10)</x:f>
        <x:v>0</x:v>
      </x:c>
      <x:c r="L1393" s="2"/>
      <x:c r="M1393" s="2"/>
      <x:c r="N1393" s="2"/>
      <x:c r="O1393" s="2"/>
      <x:c r="P1393" s="2"/>
      <x:c r="Q1393" s="2"/>
      <x:c r="R1393" s="2"/>
    </x:row>
    <x:row r="1394" ht="22" customHeight="1">
      <x:c r="A1394" s="2" t="n">
        <x:v>101388</x:v>
      </x:c>
      <x:c r="B1394" s="10" t="n">
        <x:v>45190</x:v>
      </x:c>
      <x:c r="C1394" s="2" t="str">
        <x:v>Brasil</x:v>
      </x:c>
      <x:c r="D1394" s="2" t="str">
        <x:v>Acessórios</x:v>
      </x:c>
      <x:c r="E1394" s="11" t="n">
        <x:v>24</x:v>
      </x:c>
      <x:c r="F1394" s="12" t="n">
        <x:v>125.86</x:v>
      </x:c>
      <x:c r="G1394" s="12" t="n">
        <x:v>3020.64</x:v>
      </x:c>
      <x:c r="H1394" s="13" t="n">
        <x:v>89</x:v>
      </x:c>
      <x:c r="I1394" s="13" t="n">
        <x:f>YEAR(B1394)</x:f>
        <x:v>2023</x:v>
      </x:c>
      <x:c r="J1394" s="13" t="n">
        <x:f>MONTH(B1394)</x:f>
        <x:v>9</x:v>
      </x:c>
      <x:c r="K1394" s="14" t="n">
        <x:f>ROUND(E1394*F1394-G1394,10)</x:f>
        <x:v>0</x:v>
      </x:c>
      <x:c r="L1394" s="2"/>
      <x:c r="M1394" s="2"/>
      <x:c r="N1394" s="2"/>
      <x:c r="O1394" s="2"/>
      <x:c r="P1394" s="2"/>
      <x:c r="Q1394" s="2"/>
      <x:c r="R1394" s="2"/>
    </x:row>
    <x:row r="1395" ht="22" customHeight="1">
      <x:c r="A1395" s="2" t="n">
        <x:v>101389</x:v>
      </x:c>
      <x:c r="B1395" s="10" t="n">
        <x:v>45648</x:v>
      </x:c>
      <x:c r="C1395" s="2" t="str">
        <x:v>Peru</x:v>
      </x:c>
      <x:c r="D1395" s="2" t="str">
        <x:v>Moda Masculina</x:v>
      </x:c>
      <x:c r="E1395" s="11" t="n">
        <x:v>11</x:v>
      </x:c>
      <x:c r="F1395" s="12" t="n">
        <x:v>140.05</x:v>
      </x:c>
      <x:c r="G1395" s="12" t="n">
        <x:v>1540.55</x:v>
      </x:c>
      <x:c r="H1395" s="13" t="n">
        <x:v>56</x:v>
      </x:c>
      <x:c r="I1395" s="13" t="n">
        <x:f>YEAR(B1395)</x:f>
        <x:v>2024</x:v>
      </x:c>
      <x:c r="J1395" s="13" t="n">
        <x:f>MONTH(B1395)</x:f>
        <x:v>12</x:v>
      </x:c>
      <x:c r="K1395" s="14" t="n">
        <x:f>ROUND(E1395*F1395-G1395,10)</x:f>
        <x:v>0</x:v>
      </x:c>
      <x:c r="L1395" s="2"/>
      <x:c r="M1395" s="2"/>
      <x:c r="N1395" s="2"/>
      <x:c r="O1395" s="2"/>
      <x:c r="P1395" s="2"/>
      <x:c r="Q1395" s="2"/>
      <x:c r="R1395" s="2"/>
    </x:row>
    <x:row r="1396" ht="22" customHeight="1">
      <x:c r="A1396" s="2" t="n">
        <x:v>101390</x:v>
      </x:c>
      <x:c r="B1396" s="10" t="n">
        <x:v>44971</x:v>
      </x:c>
      <x:c r="C1396" s="2" t="str">
        <x:v>Brasil</x:v>
      </x:c>
      <x:c r="D1396" s="2" t="str">
        <x:v>Moda Masculina</x:v>
      </x:c>
      <x:c r="E1396" s="11" t="n">
        <x:v>29</x:v>
      </x:c>
      <x:c r="F1396" s="12" t="n">
        <x:v>56.13</x:v>
      </x:c>
      <x:c r="G1396" s="12" t="n">
        <x:v>1627.77</x:v>
      </x:c>
      <x:c r="H1396" s="13" t="n">
        <x:v>223</x:v>
      </x:c>
      <x:c r="I1396" s="13" t="n">
        <x:f>YEAR(B1396)</x:f>
        <x:v>2023</x:v>
      </x:c>
      <x:c r="J1396" s="13" t="n">
        <x:f>MONTH(B1396)</x:f>
        <x:v>2</x:v>
      </x:c>
      <x:c r="K1396" s="14" t="n">
        <x:f>ROUND(E1396*F1396-G1396,10)</x:f>
        <x:v>0</x:v>
      </x:c>
      <x:c r="L1396" s="2"/>
      <x:c r="M1396" s="2"/>
      <x:c r="N1396" s="2"/>
      <x:c r="O1396" s="2"/>
      <x:c r="P1396" s="2"/>
      <x:c r="Q1396" s="2"/>
      <x:c r="R1396" s="2"/>
    </x:row>
    <x:row r="1397" ht="22" customHeight="1">
      <x:c r="A1397" s="2" t="n">
        <x:v>101391</x:v>
      </x:c>
      <x:c r="B1397" s="10" t="n">
        <x:v>45088</x:v>
      </x:c>
      <x:c r="C1397" s="2" t="str">
        <x:v>Argentina</x:v>
      </x:c>
      <x:c r="D1397" s="2" t="str">
        <x:v>Acessórios</x:v>
      </x:c>
      <x:c r="E1397" s="11" t="n">
        <x:v>26</x:v>
      </x:c>
      <x:c r="F1397" s="12" t="n">
        <x:v>178.43</x:v>
      </x:c>
      <x:c r="G1397" s="12" t="n">
        <x:v>4639.18</x:v>
      </x:c>
      <x:c r="H1397" s="13" t="n">
        <x:v>200</x:v>
      </x:c>
      <x:c r="I1397" s="13" t="n">
        <x:f>YEAR(B1397)</x:f>
        <x:v>2023</x:v>
      </x:c>
      <x:c r="J1397" s="13" t="n">
        <x:f>MONTH(B1397)</x:f>
        <x:v>6</x:v>
      </x:c>
      <x:c r="K1397" s="14" t="n">
        <x:f>ROUND(E1397*F1397-G1397,10)</x:f>
        <x:v>0</x:v>
      </x:c>
      <x:c r="L1397" s="2"/>
      <x:c r="M1397" s="2"/>
      <x:c r="N1397" s="2"/>
      <x:c r="O1397" s="2"/>
      <x:c r="P1397" s="2"/>
      <x:c r="Q1397" s="2"/>
      <x:c r="R1397" s="2"/>
    </x:row>
    <x:row r="1398" ht="22" customHeight="1">
      <x:c r="A1398" s="2" t="n">
        <x:v>101392</x:v>
      </x:c>
      <x:c r="B1398" s="10" t="n">
        <x:v>45048</x:v>
      </x:c>
      <x:c r="C1398" s="2" t="str">
        <x:v>México</x:v>
      </x:c>
      <x:c r="D1398" s="2" t="str">
        <x:v>Acessórios</x:v>
      </x:c>
      <x:c r="E1398" s="11" t="n">
        <x:v>16</x:v>
      </x:c>
      <x:c r="F1398" s="12" t="n">
        <x:v>55.1</x:v>
      </x:c>
      <x:c r="G1398" s="12" t="n">
        <x:v>881.6</x:v>
      </x:c>
      <x:c r="H1398" s="13" t="n">
        <x:v>260</x:v>
      </x:c>
      <x:c r="I1398" s="13" t="n">
        <x:f>YEAR(B1398)</x:f>
        <x:v>2023</x:v>
      </x:c>
      <x:c r="J1398" s="13" t="n">
        <x:f>MONTH(B1398)</x:f>
        <x:v>5</x:v>
      </x:c>
      <x:c r="K1398" s="14" t="n">
        <x:f>ROUND(E1398*F1398-G1398,10)</x:f>
        <x:v>0</x:v>
      </x:c>
      <x:c r="L1398" s="2"/>
      <x:c r="M1398" s="2"/>
      <x:c r="N1398" s="2"/>
      <x:c r="O1398" s="2"/>
      <x:c r="P1398" s="2"/>
      <x:c r="Q1398" s="2"/>
      <x:c r="R1398" s="2"/>
    </x:row>
    <x:row r="1399" ht="22" customHeight="1">
      <x:c r="A1399" s="2" t="n">
        <x:v>101393</x:v>
      </x:c>
      <x:c r="B1399" s="10" t="n">
        <x:v>44996</x:v>
      </x:c>
      <x:c r="C1399" s="2" t="str">
        <x:v>Brasil</x:v>
      </x:c>
      <x:c r="D1399" s="2" t="str">
        <x:v>Calçados</x:v>
      </x:c>
      <x:c r="E1399" s="11" t="n">
        <x:v>35</x:v>
      </x:c>
      <x:c r="F1399" s="12" t="n">
        <x:v>76.43</x:v>
      </x:c>
      <x:c r="G1399" s="12" t="n">
        <x:v>2675.05</x:v>
      </x:c>
      <x:c r="H1399" s="13" t="n">
        <x:v>351</x:v>
      </x:c>
      <x:c r="I1399" s="13" t="n">
        <x:f>YEAR(B1399)</x:f>
        <x:v>2023</x:v>
      </x:c>
      <x:c r="J1399" s="13" t="n">
        <x:f>MONTH(B1399)</x:f>
        <x:v>3</x:v>
      </x:c>
      <x:c r="K1399" s="14" t="n">
        <x:f>ROUND(E1399*F1399-G1399,10)</x:f>
        <x:v>0</x:v>
      </x:c>
      <x:c r="L1399" s="2"/>
      <x:c r="M1399" s="2"/>
      <x:c r="N1399" s="2"/>
      <x:c r="O1399" s="2"/>
      <x:c r="P1399" s="2"/>
      <x:c r="Q1399" s="2"/>
      <x:c r="R1399" s="2"/>
    </x:row>
    <x:row r="1400" ht="22" customHeight="1">
      <x:c r="A1400" s="2" t="n">
        <x:v>101394</x:v>
      </x:c>
      <x:c r="B1400" s="10" t="n">
        <x:v>45341</x:v>
      </x:c>
      <x:c r="C1400" s="2" t="str">
        <x:v>Brasil</x:v>
      </x:c>
      <x:c r="D1400" s="2" t="str">
        <x:v>Acessórios</x:v>
      </x:c>
      <x:c r="E1400" s="11" t="n">
        <x:v>20</x:v>
      </x:c>
      <x:c r="F1400" s="12" t="n">
        <x:v>131.7</x:v>
      </x:c>
      <x:c r="G1400" s="12" t="n">
        <x:v>2634</x:v>
      </x:c>
      <x:c r="H1400" s="13" t="n">
        <x:v>135</x:v>
      </x:c>
      <x:c r="I1400" s="13" t="n">
        <x:f>YEAR(B1400)</x:f>
        <x:v>2024</x:v>
      </x:c>
      <x:c r="J1400" s="13" t="n">
        <x:f>MONTH(B1400)</x:f>
        <x:v>2</x:v>
      </x:c>
      <x:c r="K1400" s="14" t="n">
        <x:f>ROUND(E1400*F1400-G1400,10)</x:f>
        <x:v>0</x:v>
      </x:c>
      <x:c r="L1400" s="2"/>
      <x:c r="M1400" s="2"/>
      <x:c r="N1400" s="2"/>
      <x:c r="O1400" s="2"/>
      <x:c r="P1400" s="2"/>
      <x:c r="Q1400" s="2"/>
      <x:c r="R1400" s="2"/>
    </x:row>
    <x:row r="1401" ht="22" customHeight="1">
      <x:c r="A1401" s="2" t="n">
        <x:v>101395</x:v>
      </x:c>
      <x:c r="B1401" s="10" t="n">
        <x:v>45159</x:v>
      </x:c>
      <x:c r="C1401" s="2" t="str">
        <x:v>Peru</x:v>
      </x:c>
      <x:c r="D1401" s="2" t="str">
        <x:v>Calçados</x:v>
      </x:c>
      <x:c r="E1401" s="11" t="n">
        <x:v>46</x:v>
      </x:c>
      <x:c r="F1401" s="12" t="n">
        <x:v>134.9</x:v>
      </x:c>
      <x:c r="G1401" s="12" t="n">
        <x:v>6205.400000000001</x:v>
      </x:c>
      <x:c r="H1401" s="13" t="n">
        <x:v>446</x:v>
      </x:c>
      <x:c r="I1401" s="13" t="n">
        <x:f>YEAR(B1401)</x:f>
        <x:v>2023</x:v>
      </x:c>
      <x:c r="J1401" s="13" t="n">
        <x:f>MONTH(B1401)</x:f>
        <x:v>8</x:v>
      </x:c>
      <x:c r="K1401" s="14" t="n">
        <x:f>ROUND(E1401*F1401-G1401,10)</x:f>
        <x:v>0</x:v>
      </x:c>
      <x:c r="L1401" s="2"/>
      <x:c r="M1401" s="2"/>
      <x:c r="N1401" s="2"/>
      <x:c r="O1401" s="2"/>
      <x:c r="P1401" s="2"/>
      <x:c r="Q1401" s="2"/>
      <x:c r="R1401" s="2"/>
    </x:row>
    <x:row r="1402" ht="22" customHeight="1">
      <x:c r="A1402" s="2" t="n">
        <x:v>101396</x:v>
      </x:c>
      <x:c r="B1402" s="10" t="n">
        <x:v>45549</x:v>
      </x:c>
      <x:c r="C1402" s="2" t="str">
        <x:v>Peru</x:v>
      </x:c>
      <x:c r="D1402" s="2" t="str">
        <x:v>Moda Infantil</x:v>
      </x:c>
      <x:c r="E1402" s="11" t="n">
        <x:v>3</x:v>
      </x:c>
      <x:c r="F1402" s="12" t="n">
        <x:v>145.89</x:v>
      </x:c>
      <x:c r="G1402" s="12" t="n">
        <x:v>437.67</x:v>
      </x:c>
      <x:c r="H1402" s="13" t="n">
        <x:v>302</x:v>
      </x:c>
      <x:c r="I1402" s="13" t="n">
        <x:f>YEAR(B1402)</x:f>
        <x:v>2024</x:v>
      </x:c>
      <x:c r="J1402" s="13" t="n">
        <x:f>MONTH(B1402)</x:f>
        <x:v>9</x:v>
      </x:c>
      <x:c r="K1402" s="14" t="n">
        <x:f>ROUND(E1402*F1402-G1402,10)</x:f>
        <x:v>0</x:v>
      </x:c>
      <x:c r="L1402" s="2"/>
      <x:c r="M1402" s="2"/>
      <x:c r="N1402" s="2"/>
      <x:c r="O1402" s="2"/>
      <x:c r="P1402" s="2"/>
      <x:c r="Q1402" s="2"/>
      <x:c r="R1402" s="2"/>
    </x:row>
    <x:row r="1403" ht="22" customHeight="1">
      <x:c r="A1403" s="2" t="n">
        <x:v>101397</x:v>
      </x:c>
      <x:c r="B1403" s="10" t="n">
        <x:v>45378</x:v>
      </x:c>
      <x:c r="C1403" s="2" t="str">
        <x:v>Chile</x:v>
      </x:c>
      <x:c r="D1403" s="2" t="str">
        <x:v>Moda Masculina</x:v>
      </x:c>
      <x:c r="E1403" s="11" t="n">
        <x:v>1</x:v>
      </x:c>
      <x:c r="F1403" s="12" t="n">
        <x:v>40.16</x:v>
      </x:c>
      <x:c r="G1403" s="12" t="n">
        <x:v>40.16</x:v>
      </x:c>
      <x:c r="H1403" s="13" t="n">
        <x:v>70</x:v>
      </x:c>
      <x:c r="I1403" s="13" t="n">
        <x:f>YEAR(B1403)</x:f>
        <x:v>2024</x:v>
      </x:c>
      <x:c r="J1403" s="13" t="n">
        <x:f>MONTH(B1403)</x:f>
        <x:v>3</x:v>
      </x:c>
      <x:c r="K1403" s="14" t="n">
        <x:f>ROUND(E1403*F1403-G1403,10)</x:f>
        <x:v>0</x:v>
      </x:c>
      <x:c r="L1403" s="2"/>
      <x:c r="M1403" s="2"/>
      <x:c r="N1403" s="2"/>
      <x:c r="O1403" s="2"/>
      <x:c r="P1403" s="2"/>
      <x:c r="Q1403" s="2"/>
      <x:c r="R1403" s="2"/>
    </x:row>
    <x:row r="1404" ht="22" customHeight="1">
      <x:c r="A1404" s="2" t="n">
        <x:v>101398</x:v>
      </x:c>
      <x:c r="B1404" s="10" t="n">
        <x:v>45125</x:v>
      </x:c>
      <x:c r="C1404" s="2" t="str">
        <x:v>Peru</x:v>
      </x:c>
      <x:c r="D1404" s="2" t="str">
        <x:v>Acessórios</x:v>
      </x:c>
      <x:c r="E1404" s="11" t="n">
        <x:v>47</x:v>
      </x:c>
      <x:c r="F1404" s="12" t="n">
        <x:v>172.9</x:v>
      </x:c>
      <x:c r="G1404" s="12" t="n">
        <x:v>8126.3</x:v>
      </x:c>
      <x:c r="H1404" s="13" t="n">
        <x:v>306</x:v>
      </x:c>
      <x:c r="I1404" s="13" t="n">
        <x:f>YEAR(B1404)</x:f>
        <x:v>2023</x:v>
      </x:c>
      <x:c r="J1404" s="13" t="n">
        <x:f>MONTH(B1404)</x:f>
        <x:v>7</x:v>
      </x:c>
      <x:c r="K1404" s="14" t="n">
        <x:f>ROUND(E1404*F1404-G1404,10)</x:f>
        <x:v>0</x:v>
      </x:c>
      <x:c r="L1404" s="2"/>
      <x:c r="M1404" s="2"/>
      <x:c r="N1404" s="2"/>
      <x:c r="O1404" s="2"/>
      <x:c r="P1404" s="2"/>
      <x:c r="Q1404" s="2"/>
      <x:c r="R1404" s="2"/>
    </x:row>
    <x:row r="1405" ht="22" customHeight="1">
      <x:c r="A1405" s="2" t="n">
        <x:v>101399</x:v>
      </x:c>
      <x:c r="B1405" s="10" t="n">
        <x:v>45293</x:v>
      </x:c>
      <x:c r="C1405" s="2" t="str">
        <x:v>Colômbia</x:v>
      </x:c>
      <x:c r="D1405" s="2" t="str">
        <x:v>Moda Masculina</x:v>
      </x:c>
      <x:c r="E1405" s="11" t="n">
        <x:v>1</x:v>
      </x:c>
      <x:c r="F1405" s="12" t="n">
        <x:v>115.91</x:v>
      </x:c>
      <x:c r="G1405" s="12" t="n">
        <x:v>115.91</x:v>
      </x:c>
      <x:c r="H1405" s="13" t="n">
        <x:v>428</x:v>
      </x:c>
      <x:c r="I1405" s="13" t="n">
        <x:f>YEAR(B1405)</x:f>
        <x:v>2024</x:v>
      </x:c>
      <x:c r="J1405" s="13" t="n">
        <x:f>MONTH(B1405)</x:f>
        <x:v>1</x:v>
      </x:c>
      <x:c r="K1405" s="14" t="n">
        <x:f>ROUND(E1405*F1405-G1405,10)</x:f>
        <x:v>0</x:v>
      </x:c>
      <x:c r="L1405" s="2"/>
      <x:c r="M1405" s="2"/>
      <x:c r="N1405" s="2"/>
      <x:c r="O1405" s="2"/>
      <x:c r="P1405" s="2"/>
      <x:c r="Q1405" s="2"/>
      <x:c r="R1405" s="2"/>
    </x:row>
    <x:row r="1406" ht="22" customHeight="1">
      <x:c r="A1406" s="2" t="n">
        <x:v>101400</x:v>
      </x:c>
      <x:c r="B1406" s="10" t="n">
        <x:v>45543</x:v>
      </x:c>
      <x:c r="C1406" s="2" t="str">
        <x:v>Argentina</x:v>
      </x:c>
      <x:c r="D1406" s="2" t="str">
        <x:v>Moda Masculina</x:v>
      </x:c>
      <x:c r="E1406" s="11" t="n">
        <x:v>17</x:v>
      </x:c>
      <x:c r="F1406" s="12" t="n">
        <x:v>104.84</x:v>
      </x:c>
      <x:c r="G1406" s="12" t="n">
        <x:v>1782.28</x:v>
      </x:c>
      <x:c r="H1406" s="13" t="n">
        <x:v>452</x:v>
      </x:c>
      <x:c r="I1406" s="13" t="n">
        <x:f>YEAR(B1406)</x:f>
        <x:v>2024</x:v>
      </x:c>
      <x:c r="J1406" s="13" t="n">
        <x:f>MONTH(B1406)</x:f>
        <x:v>9</x:v>
      </x:c>
      <x:c r="K1406" s="14" t="n">
        <x:f>ROUND(E1406*F1406-G1406,10)</x:f>
        <x:v>0</x:v>
      </x:c>
      <x:c r="L1406" s="2"/>
      <x:c r="M1406" s="2"/>
      <x:c r="N1406" s="2"/>
      <x:c r="O1406" s="2"/>
      <x:c r="P1406" s="2"/>
      <x:c r="Q1406" s="2"/>
      <x:c r="R1406" s="2"/>
    </x:row>
    <x:row r="1407" ht="22" customHeight="1">
      <x:c r="A1407" s="2" t="n">
        <x:v>101401</x:v>
      </x:c>
      <x:c r="B1407" s="10" t="n">
        <x:v>45227</x:v>
      </x:c>
      <x:c r="C1407" s="2" t="str">
        <x:v>Argentina</x:v>
      </x:c>
      <x:c r="D1407" s="2" t="str">
        <x:v>Moda Masculina</x:v>
      </x:c>
      <x:c r="E1407" s="11" t="n">
        <x:v>2</x:v>
      </x:c>
      <x:c r="F1407" s="12" t="n">
        <x:v>196.6</x:v>
      </x:c>
      <x:c r="G1407" s="12" t="n">
        <x:v>393.2</x:v>
      </x:c>
      <x:c r="H1407" s="13" t="n">
        <x:v>430</x:v>
      </x:c>
      <x:c r="I1407" s="13" t="n">
        <x:f>YEAR(B1407)</x:f>
        <x:v>2023</x:v>
      </x:c>
      <x:c r="J1407" s="13" t="n">
        <x:f>MONTH(B1407)</x:f>
        <x:v>10</x:v>
      </x:c>
      <x:c r="K1407" s="14" t="n">
        <x:f>ROUND(E1407*F1407-G1407,10)</x:f>
        <x:v>0</x:v>
      </x:c>
      <x:c r="L1407" s="2"/>
      <x:c r="M1407" s="2"/>
      <x:c r="N1407" s="2"/>
      <x:c r="O1407" s="2"/>
      <x:c r="P1407" s="2"/>
      <x:c r="Q1407" s="2"/>
      <x:c r="R1407" s="2"/>
    </x:row>
    <x:row r="1408" ht="22" customHeight="1">
      <x:c r="A1408" s="2" t="n">
        <x:v>101402</x:v>
      </x:c>
      <x:c r="B1408" s="10" t="n">
        <x:v>45551</x:v>
      </x:c>
      <x:c r="C1408" s="2" t="str">
        <x:v>México</x:v>
      </x:c>
      <x:c r="D1408" s="2" t="str">
        <x:v>Moda Infantil</x:v>
      </x:c>
      <x:c r="E1408" s="11" t="n">
        <x:v>29</x:v>
      </x:c>
      <x:c r="F1408" s="12" t="n">
        <x:v>153.27</x:v>
      </x:c>
      <x:c r="G1408" s="12" t="n">
        <x:v>4444.83</x:v>
      </x:c>
      <x:c r="H1408" s="13" t="n">
        <x:v>493</x:v>
      </x:c>
      <x:c r="I1408" s="13" t="n">
        <x:f>YEAR(B1408)</x:f>
        <x:v>2024</x:v>
      </x:c>
      <x:c r="J1408" s="13" t="n">
        <x:f>MONTH(B1408)</x:f>
        <x:v>9</x:v>
      </x:c>
      <x:c r="K1408" s="14" t="n">
        <x:f>ROUND(E1408*F1408-G1408,10)</x:f>
        <x:v>0</x:v>
      </x:c>
      <x:c r="L1408" s="2"/>
      <x:c r="M1408" s="2"/>
      <x:c r="N1408" s="2"/>
      <x:c r="O1408" s="2"/>
      <x:c r="P1408" s="2"/>
      <x:c r="Q1408" s="2"/>
      <x:c r="R1408" s="2"/>
    </x:row>
    <x:row r="1409" ht="22" customHeight="1">
      <x:c r="A1409" s="2" t="n">
        <x:v>101403</x:v>
      </x:c>
      <x:c r="B1409" s="10" t="n">
        <x:v>45265</x:v>
      </x:c>
      <x:c r="C1409" s="2" t="str">
        <x:v>México</x:v>
      </x:c>
      <x:c r="D1409" s="2" t="str">
        <x:v>Moda Feminina</x:v>
      </x:c>
      <x:c r="E1409" s="11" t="n">
        <x:v>20</x:v>
      </x:c>
      <x:c r="F1409" s="12" t="n">
        <x:v>41.24</x:v>
      </x:c>
      <x:c r="G1409" s="12" t="n">
        <x:v>824.8000000000001</x:v>
      </x:c>
      <x:c r="H1409" s="13" t="n">
        <x:v>82</x:v>
      </x:c>
      <x:c r="I1409" s="13" t="n">
        <x:f>YEAR(B1409)</x:f>
        <x:v>2023</x:v>
      </x:c>
      <x:c r="J1409" s="13" t="n">
        <x:f>MONTH(B1409)</x:f>
        <x:v>12</x:v>
      </x:c>
      <x:c r="K1409" s="14" t="n">
        <x:f>ROUND(E1409*F1409-G1409,10)</x:f>
        <x:v>0</x:v>
      </x:c>
      <x:c r="L1409" s="2"/>
      <x:c r="M1409" s="2"/>
      <x:c r="N1409" s="2"/>
      <x:c r="O1409" s="2"/>
      <x:c r="P1409" s="2"/>
      <x:c r="Q1409" s="2"/>
      <x:c r="R1409" s="2"/>
    </x:row>
    <x:row r="1410" ht="22" customHeight="1">
      <x:c r="A1410" s="2" t="n">
        <x:v>101404</x:v>
      </x:c>
      <x:c r="B1410" s="10" t="n">
        <x:v>45090</x:v>
      </x:c>
      <x:c r="C1410" s="2" t="str">
        <x:v>Argentina</x:v>
      </x:c>
      <x:c r="D1410" s="2" t="str">
        <x:v>Acessórios</x:v>
      </x:c>
      <x:c r="E1410" s="11" t="n">
        <x:v>6</x:v>
      </x:c>
      <x:c r="F1410" s="12" t="n">
        <x:v>156.18</x:v>
      </x:c>
      <x:c r="G1410" s="12" t="n">
        <x:v>937.08</x:v>
      </x:c>
      <x:c r="H1410" s="13" t="n">
        <x:v>309</x:v>
      </x:c>
      <x:c r="I1410" s="13" t="n">
        <x:f>YEAR(B1410)</x:f>
        <x:v>2023</x:v>
      </x:c>
      <x:c r="J1410" s="13" t="n">
        <x:f>MONTH(B1410)</x:f>
        <x:v>6</x:v>
      </x:c>
      <x:c r="K1410" s="14" t="n">
        <x:f>ROUND(E1410*F1410-G1410,10)</x:f>
        <x:v>0</x:v>
      </x:c>
      <x:c r="L1410" s="2"/>
      <x:c r="M1410" s="2"/>
      <x:c r="N1410" s="2"/>
      <x:c r="O1410" s="2"/>
      <x:c r="P1410" s="2"/>
      <x:c r="Q1410" s="2"/>
      <x:c r="R1410" s="2"/>
    </x:row>
    <x:row r="1411" ht="22" customHeight="1">
      <x:c r="A1411" s="2" t="n">
        <x:v>101405</x:v>
      </x:c>
      <x:c r="B1411" s="10" t="n">
        <x:v>45031</x:v>
      </x:c>
      <x:c r="C1411" s="2" t="str">
        <x:v>México</x:v>
      </x:c>
      <x:c r="D1411" s="2" t="str">
        <x:v>Moda Feminina</x:v>
      </x:c>
      <x:c r="E1411" s="11" t="n">
        <x:v>8</x:v>
      </x:c>
      <x:c r="F1411" s="12" t="n">
        <x:v>37.14</x:v>
      </x:c>
      <x:c r="G1411" s="12" t="n">
        <x:v>297.12</x:v>
      </x:c>
      <x:c r="H1411" s="13" t="n">
        <x:v>283</x:v>
      </x:c>
      <x:c r="I1411" s="13" t="n">
        <x:f>YEAR(B1411)</x:f>
        <x:v>2023</x:v>
      </x:c>
      <x:c r="J1411" s="13" t="n">
        <x:f>MONTH(B1411)</x:f>
        <x:v>4</x:v>
      </x:c>
      <x:c r="K1411" s="14" t="n">
        <x:f>ROUND(E1411*F1411-G1411,10)</x:f>
        <x:v>0</x:v>
      </x:c>
      <x:c r="L1411" s="2"/>
      <x:c r="M1411" s="2"/>
      <x:c r="N1411" s="2"/>
      <x:c r="O1411" s="2"/>
      <x:c r="P1411" s="2"/>
      <x:c r="Q1411" s="2"/>
      <x:c r="R1411" s="2"/>
    </x:row>
    <x:row r="1412" ht="22" customHeight="1">
      <x:c r="A1412" s="2" t="n">
        <x:v>101406</x:v>
      </x:c>
      <x:c r="B1412" s="10" t="n">
        <x:v>45435</x:v>
      </x:c>
      <x:c r="C1412" s="2" t="str">
        <x:v>Chile</x:v>
      </x:c>
      <x:c r="D1412" s="2" t="str">
        <x:v>Moda Feminina</x:v>
      </x:c>
      <x:c r="E1412" s="11" t="n">
        <x:v>29</x:v>
      </x:c>
      <x:c r="F1412" s="12" t="n">
        <x:v>24.94</x:v>
      </x:c>
      <x:c r="G1412" s="12" t="n">
        <x:v>723.26</x:v>
      </x:c>
      <x:c r="H1412" s="13" t="n">
        <x:v>52</x:v>
      </x:c>
      <x:c r="I1412" s="13" t="n">
        <x:f>YEAR(B1412)</x:f>
        <x:v>2024</x:v>
      </x:c>
      <x:c r="J1412" s="13" t="n">
        <x:f>MONTH(B1412)</x:f>
        <x:v>5</x:v>
      </x:c>
      <x:c r="K1412" s="14" t="n">
        <x:f>ROUND(E1412*F1412-G1412,10)</x:f>
        <x:v>0</x:v>
      </x:c>
      <x:c r="L1412" s="2"/>
      <x:c r="M1412" s="2"/>
      <x:c r="N1412" s="2"/>
      <x:c r="O1412" s="2"/>
      <x:c r="P1412" s="2"/>
      <x:c r="Q1412" s="2"/>
      <x:c r="R1412" s="2"/>
    </x:row>
    <x:row r="1413" ht="22" customHeight="1">
      <x:c r="A1413" s="2" t="n">
        <x:v>101407</x:v>
      </x:c>
      <x:c r="B1413" s="10" t="n">
        <x:v>45545</x:v>
      </x:c>
      <x:c r="C1413" s="2" t="str">
        <x:v>Peru</x:v>
      </x:c>
      <x:c r="D1413" s="2" t="str">
        <x:v>Moda Feminina</x:v>
      </x:c>
      <x:c r="E1413" s="11" t="n">
        <x:v>48</x:v>
      </x:c>
      <x:c r="F1413" s="12" t="n">
        <x:v>92.65</x:v>
      </x:c>
      <x:c r="G1413" s="12" t="n">
        <x:v>4447.200000000001</x:v>
      </x:c>
      <x:c r="H1413" s="13" t="n">
        <x:v>396</x:v>
      </x:c>
      <x:c r="I1413" s="13" t="n">
        <x:f>YEAR(B1413)</x:f>
        <x:v>2024</x:v>
      </x:c>
      <x:c r="J1413" s="13" t="n">
        <x:f>MONTH(B1413)</x:f>
        <x:v>9</x:v>
      </x:c>
      <x:c r="K1413" s="14" t="n">
        <x:f>ROUND(E1413*F1413-G1413,10)</x:f>
        <x:v>0</x:v>
      </x:c>
      <x:c r="L1413" s="2"/>
      <x:c r="M1413" s="2"/>
      <x:c r="N1413" s="2"/>
      <x:c r="O1413" s="2"/>
      <x:c r="P1413" s="2"/>
      <x:c r="Q1413" s="2"/>
      <x:c r="R1413" s="2"/>
    </x:row>
    <x:row r="1414" ht="22" customHeight="1">
      <x:c r="A1414" s="2" t="n">
        <x:v>101408</x:v>
      </x:c>
      <x:c r="B1414" s="10" t="n">
        <x:v>45347</x:v>
      </x:c>
      <x:c r="C1414" s="2" t="str">
        <x:v>Argentina</x:v>
      </x:c>
      <x:c r="D1414" s="2" t="str">
        <x:v>Moda Masculina</x:v>
      </x:c>
      <x:c r="E1414" s="11" t="n">
        <x:v>33</x:v>
      </x:c>
      <x:c r="F1414" s="12" t="n">
        <x:v>198.84</x:v>
      </x:c>
      <x:c r="G1414" s="12" t="n">
        <x:v>6561.72</x:v>
      </x:c>
      <x:c r="H1414" s="13" t="n">
        <x:v>357</x:v>
      </x:c>
      <x:c r="I1414" s="13" t="n">
        <x:f>YEAR(B1414)</x:f>
        <x:v>2024</x:v>
      </x:c>
      <x:c r="J1414" s="13" t="n">
        <x:f>MONTH(B1414)</x:f>
        <x:v>2</x:v>
      </x:c>
      <x:c r="K1414" s="14" t="n">
        <x:f>ROUND(E1414*F1414-G1414,10)</x:f>
        <x:v>0</x:v>
      </x:c>
      <x:c r="L1414" s="2"/>
      <x:c r="M1414" s="2"/>
      <x:c r="N1414" s="2"/>
      <x:c r="O1414" s="2"/>
      <x:c r="P1414" s="2"/>
      <x:c r="Q1414" s="2"/>
      <x:c r="R1414" s="2"/>
    </x:row>
    <x:row r="1415" ht="22" customHeight="1">
      <x:c r="A1415" s="2" t="n">
        <x:v>101409</x:v>
      </x:c>
      <x:c r="B1415" s="10" t="n">
        <x:v>45294</x:v>
      </x:c>
      <x:c r="C1415" s="2" t="str">
        <x:v>México</x:v>
      </x:c>
      <x:c r="D1415" s="2" t="str">
        <x:v>Calçados</x:v>
      </x:c>
      <x:c r="E1415" s="11" t="n">
        <x:v>3</x:v>
      </x:c>
      <x:c r="F1415" s="12" t="n">
        <x:v>51.48</x:v>
      </x:c>
      <x:c r="G1415" s="12" t="n">
        <x:v>154.44</x:v>
      </x:c>
      <x:c r="H1415" s="13" t="n">
        <x:v>276</x:v>
      </x:c>
      <x:c r="I1415" s="13" t="n">
        <x:f>YEAR(B1415)</x:f>
        <x:v>2024</x:v>
      </x:c>
      <x:c r="J1415" s="13" t="n">
        <x:f>MONTH(B1415)</x:f>
        <x:v>1</x:v>
      </x:c>
      <x:c r="K1415" s="14" t="n">
        <x:f>ROUND(E1415*F1415-G1415,10)</x:f>
        <x:v>0</x:v>
      </x:c>
      <x:c r="L1415" s="2"/>
      <x:c r="M1415" s="2"/>
      <x:c r="N1415" s="2"/>
      <x:c r="O1415" s="2"/>
      <x:c r="P1415" s="2"/>
      <x:c r="Q1415" s="2"/>
      <x:c r="R1415" s="2"/>
    </x:row>
    <x:row r="1416" ht="22" customHeight="1">
      <x:c r="A1416" s="2" t="n">
        <x:v>101410</x:v>
      </x:c>
      <x:c r="B1416" s="10" t="n">
        <x:v>45339</x:v>
      </x:c>
      <x:c r="C1416" s="2" t="str">
        <x:v>Argentina</x:v>
      </x:c>
      <x:c r="D1416" s="2" t="str">
        <x:v>Moda Masculina</x:v>
      </x:c>
      <x:c r="E1416" s="11" t="n">
        <x:v>35</x:v>
      </x:c>
      <x:c r="F1416" s="12" t="n">
        <x:v>141.08</x:v>
      </x:c>
      <x:c r="G1416" s="12" t="n">
        <x:v>4937.8</x:v>
      </x:c>
      <x:c r="H1416" s="13" t="n">
        <x:v>333</x:v>
      </x:c>
      <x:c r="I1416" s="13" t="n">
        <x:f>YEAR(B1416)</x:f>
        <x:v>2024</x:v>
      </x:c>
      <x:c r="J1416" s="13" t="n">
        <x:f>MONTH(B1416)</x:f>
        <x:v>2</x:v>
      </x:c>
      <x:c r="K1416" s="14" t="n">
        <x:f>ROUND(E1416*F1416-G1416,10)</x:f>
        <x:v>0</x:v>
      </x:c>
      <x:c r="L1416" s="2"/>
      <x:c r="M1416" s="2"/>
      <x:c r="N1416" s="2"/>
      <x:c r="O1416" s="2"/>
      <x:c r="P1416" s="2"/>
      <x:c r="Q1416" s="2"/>
      <x:c r="R1416" s="2"/>
    </x:row>
    <x:row r="1417" ht="22" customHeight="1">
      <x:c r="A1417" s="2" t="n">
        <x:v>101411</x:v>
      </x:c>
      <x:c r="B1417" s="10" t="n">
        <x:v>44998</x:v>
      </x:c>
      <x:c r="C1417" s="2" t="str">
        <x:v>Colômbia</x:v>
      </x:c>
      <x:c r="D1417" s="2" t="str">
        <x:v>Moda Masculina</x:v>
      </x:c>
      <x:c r="E1417" s="11" t="n">
        <x:v>5</x:v>
      </x:c>
      <x:c r="F1417" s="12" t="n">
        <x:v>51.21</x:v>
      </x:c>
      <x:c r="G1417" s="12" t="n">
        <x:v>256.05</x:v>
      </x:c>
      <x:c r="H1417" s="13" t="n">
        <x:v>119</x:v>
      </x:c>
      <x:c r="I1417" s="13" t="n">
        <x:f>YEAR(B1417)</x:f>
        <x:v>2023</x:v>
      </x:c>
      <x:c r="J1417" s="13" t="n">
        <x:f>MONTH(B1417)</x:f>
        <x:v>3</x:v>
      </x:c>
      <x:c r="K1417" s="14" t="n">
        <x:f>ROUND(E1417*F1417-G1417,10)</x:f>
        <x:v>0</x:v>
      </x:c>
      <x:c r="L1417" s="2"/>
      <x:c r="M1417" s="2"/>
      <x:c r="N1417" s="2"/>
      <x:c r="O1417" s="2"/>
      <x:c r="P1417" s="2"/>
      <x:c r="Q1417" s="2"/>
      <x:c r="R1417" s="2"/>
    </x:row>
    <x:row r="1418" ht="22" customHeight="1">
      <x:c r="A1418" s="2" t="n">
        <x:v>101412</x:v>
      </x:c>
      <x:c r="B1418" s="10" t="n">
        <x:v>45048</x:v>
      </x:c>
      <x:c r="C1418" s="2" t="str">
        <x:v>Brasil</x:v>
      </x:c>
      <x:c r="D1418" s="2" t="str">
        <x:v>Moda Feminina</x:v>
      </x:c>
      <x:c r="E1418" s="11" t="n">
        <x:v>27</x:v>
      </x:c>
      <x:c r="F1418" s="12" t="n">
        <x:v>150.46</x:v>
      </x:c>
      <x:c r="G1418" s="12" t="n">
        <x:v>4062.42</x:v>
      </x:c>
      <x:c r="H1418" s="13" t="n">
        <x:v>488</x:v>
      </x:c>
      <x:c r="I1418" s="13" t="n">
        <x:f>YEAR(B1418)</x:f>
        <x:v>2023</x:v>
      </x:c>
      <x:c r="J1418" s="13" t="n">
        <x:f>MONTH(B1418)</x:f>
        <x:v>5</x:v>
      </x:c>
      <x:c r="K1418" s="14" t="n">
        <x:f>ROUND(E1418*F1418-G1418,10)</x:f>
        <x:v>0</x:v>
      </x:c>
      <x:c r="L1418" s="2"/>
      <x:c r="M1418" s="2"/>
      <x:c r="N1418" s="2"/>
      <x:c r="O1418" s="2"/>
      <x:c r="P1418" s="2"/>
      <x:c r="Q1418" s="2"/>
      <x:c r="R1418" s="2"/>
    </x:row>
    <x:row r="1419" ht="22" customHeight="1">
      <x:c r="A1419" s="2" t="n">
        <x:v>101413</x:v>
      </x:c>
      <x:c r="B1419" s="10" t="n">
        <x:v>45055</x:v>
      </x:c>
      <x:c r="C1419" s="2" t="str">
        <x:v>Peru</x:v>
      </x:c>
      <x:c r="D1419" s="2" t="str">
        <x:v>Moda Masculina</x:v>
      </x:c>
      <x:c r="E1419" s="11" t="n">
        <x:v>44</x:v>
      </x:c>
      <x:c r="F1419" s="12" t="n">
        <x:v>110.96</x:v>
      </x:c>
      <x:c r="G1419" s="12" t="n">
        <x:v>4882.24</x:v>
      </x:c>
      <x:c r="H1419" s="13" t="n">
        <x:v>362</x:v>
      </x:c>
      <x:c r="I1419" s="13" t="n">
        <x:f>YEAR(B1419)</x:f>
        <x:v>2023</x:v>
      </x:c>
      <x:c r="J1419" s="13" t="n">
        <x:f>MONTH(B1419)</x:f>
        <x:v>5</x:v>
      </x:c>
      <x:c r="K1419" s="14" t="n">
        <x:f>ROUND(E1419*F1419-G1419,10)</x:f>
        <x:v>0</x:v>
      </x:c>
      <x:c r="L1419" s="2"/>
      <x:c r="M1419" s="2"/>
      <x:c r="N1419" s="2"/>
      <x:c r="O1419" s="2"/>
      <x:c r="P1419" s="2"/>
      <x:c r="Q1419" s="2"/>
      <x:c r="R1419" s="2"/>
    </x:row>
    <x:row r="1420" ht="22" customHeight="1">
      <x:c r="A1420" s="2" t="n">
        <x:v>101414</x:v>
      </x:c>
      <x:c r="B1420" s="10" t="n">
        <x:v>44971</x:v>
      </x:c>
      <x:c r="C1420" s="2" t="str">
        <x:v>Argentina</x:v>
      </x:c>
      <x:c r="D1420" s="2" t="str">
        <x:v>Moda Feminina</x:v>
      </x:c>
      <x:c r="E1420" s="11" t="n">
        <x:v>12</x:v>
      </x:c>
      <x:c r="F1420" s="12" t="n">
        <x:v>142.39</x:v>
      </x:c>
      <x:c r="G1420" s="12" t="n">
        <x:v>1708.68</x:v>
      </x:c>
      <x:c r="H1420" s="13" t="n">
        <x:v>413</x:v>
      </x:c>
      <x:c r="I1420" s="13" t="n">
        <x:f>YEAR(B1420)</x:f>
        <x:v>2023</x:v>
      </x:c>
      <x:c r="J1420" s="13" t="n">
        <x:f>MONTH(B1420)</x:f>
        <x:v>2</x:v>
      </x:c>
      <x:c r="K1420" s="14" t="n">
        <x:f>ROUND(E1420*F1420-G1420,10)</x:f>
        <x:v>0</x:v>
      </x:c>
      <x:c r="L1420" s="2"/>
      <x:c r="M1420" s="2"/>
      <x:c r="N1420" s="2"/>
      <x:c r="O1420" s="2"/>
      <x:c r="P1420" s="2"/>
      <x:c r="Q1420" s="2"/>
      <x:c r="R1420" s="2"/>
    </x:row>
    <x:row r="1421" ht="22" customHeight="1">
      <x:c r="A1421" s="2" t="n">
        <x:v>101415</x:v>
      </x:c>
      <x:c r="B1421" s="10" t="n">
        <x:v>44975</x:v>
      </x:c>
      <x:c r="C1421" s="2" t="str">
        <x:v>Brasil</x:v>
      </x:c>
      <x:c r="D1421" s="2" t="str">
        <x:v>Calçados</x:v>
      </x:c>
      <x:c r="E1421" s="11" t="n">
        <x:v>20</x:v>
      </x:c>
      <x:c r="F1421" s="12" t="n">
        <x:v>56.52</x:v>
      </x:c>
      <x:c r="G1421" s="12" t="n">
        <x:v>1130.4</x:v>
      </x:c>
      <x:c r="H1421" s="13" t="n">
        <x:v>303</x:v>
      </x:c>
      <x:c r="I1421" s="13" t="n">
        <x:f>YEAR(B1421)</x:f>
        <x:v>2023</x:v>
      </x:c>
      <x:c r="J1421" s="13" t="n">
        <x:f>MONTH(B1421)</x:f>
        <x:v>2</x:v>
      </x:c>
      <x:c r="K1421" s="14" t="n">
        <x:f>ROUND(E1421*F1421-G1421,10)</x:f>
        <x:v>0</x:v>
      </x:c>
      <x:c r="L1421" s="2"/>
      <x:c r="M1421" s="2"/>
      <x:c r="N1421" s="2"/>
      <x:c r="O1421" s="2"/>
      <x:c r="P1421" s="2"/>
      <x:c r="Q1421" s="2"/>
      <x:c r="R1421" s="2"/>
    </x:row>
    <x:row r="1422" ht="22" customHeight="1">
      <x:c r="A1422" s="2" t="n">
        <x:v>101416</x:v>
      </x:c>
      <x:c r="B1422" s="10" t="n">
        <x:v>45108</x:v>
      </x:c>
      <x:c r="C1422" s="2" t="str">
        <x:v>México</x:v>
      </x:c>
      <x:c r="D1422" s="2" t="str">
        <x:v>Acessórios</x:v>
      </x:c>
      <x:c r="E1422" s="11" t="n">
        <x:v>45</x:v>
      </x:c>
      <x:c r="F1422" s="12" t="n">
        <x:v>154.21</x:v>
      </x:c>
      <x:c r="G1422" s="12" t="n">
        <x:v>6939.450000000001</x:v>
      </x:c>
      <x:c r="H1422" s="13" t="n">
        <x:v>193</x:v>
      </x:c>
      <x:c r="I1422" s="13" t="n">
        <x:f>YEAR(B1422)</x:f>
        <x:v>2023</x:v>
      </x:c>
      <x:c r="J1422" s="13" t="n">
        <x:f>MONTH(B1422)</x:f>
        <x:v>7</x:v>
      </x:c>
      <x:c r="K1422" s="14" t="n">
        <x:f>ROUND(E1422*F1422-G1422,10)</x:f>
        <x:v>0</x:v>
      </x:c>
      <x:c r="L1422" s="2"/>
      <x:c r="M1422" s="2"/>
      <x:c r="N1422" s="2"/>
      <x:c r="O1422" s="2"/>
      <x:c r="P1422" s="2"/>
      <x:c r="Q1422" s="2"/>
      <x:c r="R1422" s="2"/>
    </x:row>
    <x:row r="1423" ht="22" customHeight="1">
      <x:c r="A1423" s="2" t="n">
        <x:v>101417</x:v>
      </x:c>
      <x:c r="B1423" s="10" t="n">
        <x:v>45591</x:v>
      </x:c>
      <x:c r="C1423" s="2" t="str">
        <x:v>Brasil</x:v>
      </x:c>
      <x:c r="D1423" s="2" t="str">
        <x:v>Moda Feminina</x:v>
      </x:c>
      <x:c r="E1423" s="11" t="n">
        <x:v>20</x:v>
      </x:c>
      <x:c r="F1423" s="12" t="n">
        <x:v>199.21</x:v>
      </x:c>
      <x:c r="G1423" s="12" t="n">
        <x:v>3984.2</x:v>
      </x:c>
      <x:c r="H1423" s="13" t="n">
        <x:v>73</x:v>
      </x:c>
      <x:c r="I1423" s="13" t="n">
        <x:f>YEAR(B1423)</x:f>
        <x:v>2024</x:v>
      </x:c>
      <x:c r="J1423" s="13" t="n">
        <x:f>MONTH(B1423)</x:f>
        <x:v>10</x:v>
      </x:c>
      <x:c r="K1423" s="14" t="n">
        <x:f>ROUND(E1423*F1423-G1423,10)</x:f>
        <x:v>0</x:v>
      </x:c>
      <x:c r="L1423" s="2"/>
      <x:c r="M1423" s="2"/>
      <x:c r="N1423" s="2"/>
      <x:c r="O1423" s="2"/>
      <x:c r="P1423" s="2"/>
      <x:c r="Q1423" s="2"/>
      <x:c r="R1423" s="2"/>
    </x:row>
    <x:row r="1424" ht="22" customHeight="1">
      <x:c r="A1424" s="2" t="n">
        <x:v>101418</x:v>
      </x:c>
      <x:c r="B1424" s="10" t="n">
        <x:v>45599</x:v>
      </x:c>
      <x:c r="C1424" s="2" t="str">
        <x:v>Peru</x:v>
      </x:c>
      <x:c r="D1424" s="2" t="str">
        <x:v>Calçados</x:v>
      </x:c>
      <x:c r="E1424" s="11" t="n">
        <x:v>9</x:v>
      </x:c>
      <x:c r="F1424" s="12" t="n">
        <x:v>139.82</x:v>
      </x:c>
      <x:c r="G1424" s="12" t="n">
        <x:v>1258.38</x:v>
      </x:c>
      <x:c r="H1424" s="13" t="n">
        <x:v>474</x:v>
      </x:c>
      <x:c r="I1424" s="13" t="n">
        <x:f>YEAR(B1424)</x:f>
        <x:v>2024</x:v>
      </x:c>
      <x:c r="J1424" s="13" t="n">
        <x:f>MONTH(B1424)</x:f>
        <x:v>11</x:v>
      </x:c>
      <x:c r="K1424" s="14" t="n">
        <x:f>ROUND(E1424*F1424-G1424,10)</x:f>
        <x:v>0</x:v>
      </x:c>
      <x:c r="L1424" s="2"/>
      <x:c r="M1424" s="2"/>
      <x:c r="N1424" s="2"/>
      <x:c r="O1424" s="2"/>
      <x:c r="P1424" s="2"/>
      <x:c r="Q1424" s="2"/>
      <x:c r="R1424" s="2"/>
    </x:row>
    <x:row r="1425" ht="22" customHeight="1">
      <x:c r="A1425" s="2" t="n">
        <x:v>101419</x:v>
      </x:c>
      <x:c r="B1425" s="10" t="n">
        <x:v>45334</x:v>
      </x:c>
      <x:c r="C1425" s="2" t="str">
        <x:v>Argentina</x:v>
      </x:c>
      <x:c r="D1425" s="2" t="str">
        <x:v>Acessórios</x:v>
      </x:c>
      <x:c r="E1425" s="11" t="n">
        <x:v>39</x:v>
      </x:c>
      <x:c r="F1425" s="12" t="n">
        <x:v>108.83</x:v>
      </x:c>
      <x:c r="G1425" s="12" t="n">
        <x:v>4244.37</x:v>
      </x:c>
      <x:c r="H1425" s="13" t="n">
        <x:v>283</x:v>
      </x:c>
      <x:c r="I1425" s="13" t="n">
        <x:f>YEAR(B1425)</x:f>
        <x:v>2024</x:v>
      </x:c>
      <x:c r="J1425" s="13" t="n">
        <x:f>MONTH(B1425)</x:f>
        <x:v>2</x:v>
      </x:c>
      <x:c r="K1425" s="14" t="n">
        <x:f>ROUND(E1425*F1425-G1425,10)</x:f>
        <x:v>0</x:v>
      </x:c>
      <x:c r="L1425" s="2"/>
      <x:c r="M1425" s="2"/>
      <x:c r="N1425" s="2"/>
      <x:c r="O1425" s="2"/>
      <x:c r="P1425" s="2"/>
      <x:c r="Q1425" s="2"/>
      <x:c r="R1425" s="2"/>
    </x:row>
    <x:row r="1426" ht="22" customHeight="1">
      <x:c r="A1426" s="2" t="n">
        <x:v>101420</x:v>
      </x:c>
      <x:c r="B1426" s="10" t="n">
        <x:v>45511</x:v>
      </x:c>
      <x:c r="C1426" s="2" t="str">
        <x:v>Colômbia</x:v>
      </x:c>
      <x:c r="D1426" s="2" t="str">
        <x:v>Moda Infantil</x:v>
      </x:c>
      <x:c r="E1426" s="11" t="n">
        <x:v>4</x:v>
      </x:c>
      <x:c r="F1426" s="12" t="n">
        <x:v>186.17</x:v>
      </x:c>
      <x:c r="G1426" s="12" t="n">
        <x:v>744.68</x:v>
      </x:c>
      <x:c r="H1426" s="13" t="n">
        <x:v>382</x:v>
      </x:c>
      <x:c r="I1426" s="13" t="n">
        <x:f>YEAR(B1426)</x:f>
        <x:v>2024</x:v>
      </x:c>
      <x:c r="J1426" s="13" t="n">
        <x:f>MONTH(B1426)</x:f>
        <x:v>8</x:v>
      </x:c>
      <x:c r="K1426" s="14" t="n">
        <x:f>ROUND(E1426*F1426-G1426,10)</x:f>
        <x:v>0</x:v>
      </x:c>
      <x:c r="L1426" s="2"/>
      <x:c r="M1426" s="2"/>
      <x:c r="N1426" s="2"/>
      <x:c r="O1426" s="2"/>
      <x:c r="P1426" s="2"/>
      <x:c r="Q1426" s="2"/>
      <x:c r="R1426" s="2"/>
    </x:row>
    <x:row r="1427" ht="22" customHeight="1">
      <x:c r="A1427" s="2" t="n">
        <x:v>101421</x:v>
      </x:c>
      <x:c r="B1427" s="10" t="n">
        <x:v>45638</x:v>
      </x:c>
      <x:c r="C1427" s="2" t="str">
        <x:v>México</x:v>
      </x:c>
      <x:c r="D1427" s="2" t="str">
        <x:v>Moda Feminina</x:v>
      </x:c>
      <x:c r="E1427" s="11" t="n">
        <x:v>19</x:v>
      </x:c>
      <x:c r="F1427" s="12" t="n">
        <x:v>22.85</x:v>
      </x:c>
      <x:c r="G1427" s="12" t="n">
        <x:v>434.15</x:v>
      </x:c>
      <x:c r="H1427" s="13" t="n">
        <x:v>224</x:v>
      </x:c>
      <x:c r="I1427" s="13" t="n">
        <x:f>YEAR(B1427)</x:f>
        <x:v>2024</x:v>
      </x:c>
      <x:c r="J1427" s="13" t="n">
        <x:f>MONTH(B1427)</x:f>
        <x:v>12</x:v>
      </x:c>
      <x:c r="K1427" s="14" t="n">
        <x:f>ROUND(E1427*F1427-G1427,10)</x:f>
        <x:v>0</x:v>
      </x:c>
      <x:c r="L1427" s="2"/>
      <x:c r="M1427" s="2"/>
      <x:c r="N1427" s="2"/>
      <x:c r="O1427" s="2"/>
      <x:c r="P1427" s="2"/>
      <x:c r="Q1427" s="2"/>
      <x:c r="R1427" s="2"/>
    </x:row>
    <x:row r="1428" ht="22" customHeight="1">
      <x:c r="A1428" s="2" t="n">
        <x:v>101422</x:v>
      </x:c>
      <x:c r="B1428" s="10" t="n">
        <x:v>45597</x:v>
      </x:c>
      <x:c r="C1428" s="2" t="str">
        <x:v>Argentina</x:v>
      </x:c>
      <x:c r="D1428" s="2" t="str">
        <x:v>Moda Feminina</x:v>
      </x:c>
      <x:c r="E1428" s="11" t="n">
        <x:v>38</x:v>
      </x:c>
      <x:c r="F1428" s="12" t="n">
        <x:v>151.39</x:v>
      </x:c>
      <x:c r="G1428" s="12" t="n">
        <x:v>5752.82</x:v>
      </x:c>
      <x:c r="H1428" s="13" t="n">
        <x:v>381</x:v>
      </x:c>
      <x:c r="I1428" s="13" t="n">
        <x:f>YEAR(B1428)</x:f>
        <x:v>2024</x:v>
      </x:c>
      <x:c r="J1428" s="13" t="n">
        <x:f>MONTH(B1428)</x:f>
        <x:v>11</x:v>
      </x:c>
      <x:c r="K1428" s="14" t="n">
        <x:f>ROUND(E1428*F1428-G1428,10)</x:f>
        <x:v>0</x:v>
      </x:c>
      <x:c r="L1428" s="2"/>
      <x:c r="M1428" s="2"/>
      <x:c r="N1428" s="2"/>
      <x:c r="O1428" s="2"/>
      <x:c r="P1428" s="2"/>
      <x:c r="Q1428" s="2"/>
      <x:c r="R1428" s="2"/>
    </x:row>
    <x:row r="1429" ht="22" customHeight="1">
      <x:c r="A1429" s="2" t="n">
        <x:v>101423</x:v>
      </x:c>
      <x:c r="B1429" s="10" t="n">
        <x:v>45331</x:v>
      </x:c>
      <x:c r="C1429" s="2" t="str">
        <x:v>Peru</x:v>
      </x:c>
      <x:c r="D1429" s="2" t="str">
        <x:v>Moda Infantil</x:v>
      </x:c>
      <x:c r="E1429" s="11" t="n">
        <x:v>27</x:v>
      </x:c>
      <x:c r="F1429" s="12" t="n">
        <x:v>179.97</x:v>
      </x:c>
      <x:c r="G1429" s="12" t="n">
        <x:v>4859.19</x:v>
      </x:c>
      <x:c r="H1429" s="13" t="n">
        <x:v>374</x:v>
      </x:c>
      <x:c r="I1429" s="13" t="n">
        <x:f>YEAR(B1429)</x:f>
        <x:v>2024</x:v>
      </x:c>
      <x:c r="J1429" s="13" t="n">
        <x:f>MONTH(B1429)</x:f>
        <x:v>2</x:v>
      </x:c>
      <x:c r="K1429" s="14" t="n">
        <x:f>ROUND(E1429*F1429-G1429,10)</x:f>
        <x:v>0</x:v>
      </x:c>
      <x:c r="L1429" s="2"/>
      <x:c r="M1429" s="2"/>
      <x:c r="N1429" s="2"/>
      <x:c r="O1429" s="2"/>
      <x:c r="P1429" s="2"/>
      <x:c r="Q1429" s="2"/>
      <x:c r="R1429" s="2"/>
    </x:row>
    <x:row r="1430" ht="22" customHeight="1">
      <x:c r="A1430" s="2" t="n">
        <x:v>101424</x:v>
      </x:c>
      <x:c r="B1430" s="10" t="n">
        <x:v>45417</x:v>
      </x:c>
      <x:c r="C1430" s="2" t="str">
        <x:v>México</x:v>
      </x:c>
      <x:c r="D1430" s="2" t="str">
        <x:v>Moda Infantil</x:v>
      </x:c>
      <x:c r="E1430" s="11" t="n">
        <x:v>45</x:v>
      </x:c>
      <x:c r="F1430" s="12" t="n">
        <x:v>31.1</x:v>
      </x:c>
      <x:c r="G1430" s="12" t="n">
        <x:v>1399.5</x:v>
      </x:c>
      <x:c r="H1430" s="13" t="n">
        <x:v>406</x:v>
      </x:c>
      <x:c r="I1430" s="13" t="n">
        <x:f>YEAR(B1430)</x:f>
        <x:v>2024</x:v>
      </x:c>
      <x:c r="J1430" s="13" t="n">
        <x:f>MONTH(B1430)</x:f>
        <x:v>5</x:v>
      </x:c>
      <x:c r="K1430" s="14" t="n">
        <x:f>ROUND(E1430*F1430-G1430,10)</x:f>
        <x:v>0</x:v>
      </x:c>
      <x:c r="L1430" s="2"/>
      <x:c r="M1430" s="2"/>
      <x:c r="N1430" s="2"/>
      <x:c r="O1430" s="2"/>
      <x:c r="P1430" s="2"/>
      <x:c r="Q1430" s="2"/>
      <x:c r="R1430" s="2"/>
    </x:row>
    <x:row r="1431" ht="22" customHeight="1">
      <x:c r="A1431" s="2" t="n">
        <x:v>101425</x:v>
      </x:c>
      <x:c r="B1431" s="10" t="n">
        <x:v>45038</x:v>
      </x:c>
      <x:c r="C1431" s="2" t="str">
        <x:v>Chile</x:v>
      </x:c>
      <x:c r="D1431" s="2" t="str">
        <x:v>Moda Feminina</x:v>
      </x:c>
      <x:c r="E1431" s="11" t="n">
        <x:v>43</x:v>
      </x:c>
      <x:c r="F1431" s="12" t="n">
        <x:v>101.01</x:v>
      </x:c>
      <x:c r="G1431" s="12" t="n">
        <x:v>4343.43</x:v>
      </x:c>
      <x:c r="H1431" s="13" t="n">
        <x:v>208</x:v>
      </x:c>
      <x:c r="I1431" s="13" t="n">
        <x:f>YEAR(B1431)</x:f>
        <x:v>2023</x:v>
      </x:c>
      <x:c r="J1431" s="13" t="n">
        <x:f>MONTH(B1431)</x:f>
        <x:v>4</x:v>
      </x:c>
      <x:c r="K1431" s="14" t="n">
        <x:f>ROUND(E1431*F1431-G1431,10)</x:f>
        <x:v>0</x:v>
      </x:c>
      <x:c r="L1431" s="2"/>
      <x:c r="M1431" s="2"/>
      <x:c r="N1431" s="2"/>
      <x:c r="O1431" s="2"/>
      <x:c r="P1431" s="2"/>
      <x:c r="Q1431" s="2"/>
      <x:c r="R1431" s="2"/>
    </x:row>
    <x:row r="1432" ht="22" customHeight="1">
      <x:c r="A1432" s="2" t="n">
        <x:v>101426</x:v>
      </x:c>
      <x:c r="B1432" s="10" t="n">
        <x:v>45338</x:v>
      </x:c>
      <x:c r="C1432" s="2" t="str">
        <x:v>Brasil</x:v>
      </x:c>
      <x:c r="D1432" s="2" t="str">
        <x:v>Moda Infantil</x:v>
      </x:c>
      <x:c r="E1432" s="11" t="n">
        <x:v>13</x:v>
      </x:c>
      <x:c r="F1432" s="12" t="n">
        <x:v>56.85</x:v>
      </x:c>
      <x:c r="G1432" s="12" t="n">
        <x:v>739.0500000000001</x:v>
      </x:c>
      <x:c r="H1432" s="13" t="n">
        <x:v>397</x:v>
      </x:c>
      <x:c r="I1432" s="13" t="n">
        <x:f>YEAR(B1432)</x:f>
        <x:v>2024</x:v>
      </x:c>
      <x:c r="J1432" s="13" t="n">
        <x:f>MONTH(B1432)</x:f>
        <x:v>2</x:v>
      </x:c>
      <x:c r="K1432" s="14" t="n">
        <x:f>ROUND(E1432*F1432-G1432,10)</x:f>
        <x:v>0</x:v>
      </x:c>
      <x:c r="L1432" s="2"/>
      <x:c r="M1432" s="2"/>
      <x:c r="N1432" s="2"/>
      <x:c r="O1432" s="2"/>
      <x:c r="P1432" s="2"/>
      <x:c r="Q1432" s="2"/>
      <x:c r="R1432" s="2"/>
    </x:row>
    <x:row r="1433" ht="22" customHeight="1">
      <x:c r="A1433" s="2" t="n">
        <x:v>101427</x:v>
      </x:c>
      <x:c r="B1433" s="10" t="n">
        <x:v>45339</x:v>
      </x:c>
      <x:c r="C1433" s="2" t="str">
        <x:v>Peru</x:v>
      </x:c>
      <x:c r="D1433" s="2" t="str">
        <x:v>Moda Masculina</x:v>
      </x:c>
      <x:c r="E1433" s="11" t="n">
        <x:v>13</x:v>
      </x:c>
      <x:c r="F1433" s="12" t="n">
        <x:v>121.97</x:v>
      </x:c>
      <x:c r="G1433" s="12" t="n">
        <x:v>1585.61</x:v>
      </x:c>
      <x:c r="H1433" s="13" t="n">
        <x:v>397</x:v>
      </x:c>
      <x:c r="I1433" s="13" t="n">
        <x:f>YEAR(B1433)</x:f>
        <x:v>2024</x:v>
      </x:c>
      <x:c r="J1433" s="13" t="n">
        <x:f>MONTH(B1433)</x:f>
        <x:v>2</x:v>
      </x:c>
      <x:c r="K1433" s="14" t="n">
        <x:f>ROUND(E1433*F1433-G1433,10)</x:f>
        <x:v>0</x:v>
      </x:c>
      <x:c r="L1433" s="2"/>
      <x:c r="M1433" s="2"/>
      <x:c r="N1433" s="2"/>
      <x:c r="O1433" s="2"/>
      <x:c r="P1433" s="2"/>
      <x:c r="Q1433" s="2"/>
      <x:c r="R1433" s="2"/>
    </x:row>
    <x:row r="1434" ht="22" customHeight="1">
      <x:c r="A1434" s="2" t="n">
        <x:v>101428</x:v>
      </x:c>
      <x:c r="B1434" s="10" t="n">
        <x:v>45353</x:v>
      </x:c>
      <x:c r="C1434" s="2" t="str">
        <x:v>Chile</x:v>
      </x:c>
      <x:c r="D1434" s="2" t="str">
        <x:v>Acessórios</x:v>
      </x:c>
      <x:c r="E1434" s="11" t="n">
        <x:v>22</x:v>
      </x:c>
      <x:c r="F1434" s="12" t="n">
        <x:v>136.92</x:v>
      </x:c>
      <x:c r="G1434" s="12" t="n">
        <x:v>3012.24</x:v>
      </x:c>
      <x:c r="H1434" s="13" t="n">
        <x:v>335</x:v>
      </x:c>
      <x:c r="I1434" s="13" t="n">
        <x:f>YEAR(B1434)</x:f>
        <x:v>2024</x:v>
      </x:c>
      <x:c r="J1434" s="13" t="n">
        <x:f>MONTH(B1434)</x:f>
        <x:v>3</x:v>
      </x:c>
      <x:c r="K1434" s="14" t="n">
        <x:f>ROUND(E1434*F1434-G1434,10)</x:f>
        <x:v>0</x:v>
      </x:c>
      <x:c r="L1434" s="2"/>
      <x:c r="M1434" s="2"/>
      <x:c r="N1434" s="2"/>
      <x:c r="O1434" s="2"/>
      <x:c r="P1434" s="2"/>
      <x:c r="Q1434" s="2"/>
      <x:c r="R1434" s="2"/>
    </x:row>
    <x:row r="1435" ht="22" customHeight="1">
      <x:c r="A1435" s="2" t="n">
        <x:v>101429</x:v>
      </x:c>
      <x:c r="B1435" s="10" t="n">
        <x:v>45520</x:v>
      </x:c>
      <x:c r="C1435" s="2" t="str">
        <x:v>Argentina</x:v>
      </x:c>
      <x:c r="D1435" s="2" t="str">
        <x:v>Acessórios</x:v>
      </x:c>
      <x:c r="E1435" s="11" t="n">
        <x:v>28</x:v>
      </x:c>
      <x:c r="F1435" s="12" t="n">
        <x:v>74.47</x:v>
      </x:c>
      <x:c r="G1435" s="12" t="n">
        <x:v>2085.16</x:v>
      </x:c>
      <x:c r="H1435" s="13" t="n">
        <x:v>67</x:v>
      </x:c>
      <x:c r="I1435" s="13" t="n">
        <x:f>YEAR(B1435)</x:f>
        <x:v>2024</x:v>
      </x:c>
      <x:c r="J1435" s="13" t="n">
        <x:f>MONTH(B1435)</x:f>
        <x:v>8</x:v>
      </x:c>
      <x:c r="K1435" s="14" t="n">
        <x:f>ROUND(E1435*F1435-G1435,10)</x:f>
        <x:v>0</x:v>
      </x:c>
      <x:c r="L1435" s="2"/>
      <x:c r="M1435" s="2"/>
      <x:c r="N1435" s="2"/>
      <x:c r="O1435" s="2"/>
      <x:c r="P1435" s="2"/>
      <x:c r="Q1435" s="2"/>
      <x:c r="R1435" s="2"/>
    </x:row>
    <x:row r="1436" ht="22" customHeight="1">
      <x:c r="A1436" s="2" t="n">
        <x:v>101430</x:v>
      </x:c>
      <x:c r="B1436" s="10" t="n">
        <x:v>45500</x:v>
      </x:c>
      <x:c r="C1436" s="2" t="str">
        <x:v>Colômbia</x:v>
      </x:c>
      <x:c r="D1436" s="2" t="str">
        <x:v>Acessórios</x:v>
      </x:c>
      <x:c r="E1436" s="11" t="n">
        <x:v>47</x:v>
      </x:c>
      <x:c r="F1436" s="12" t="n">
        <x:v>102.8</x:v>
      </x:c>
      <x:c r="G1436" s="12" t="n">
        <x:v>4831.599999999999</x:v>
      </x:c>
      <x:c r="H1436" s="13" t="n">
        <x:v>93</x:v>
      </x:c>
      <x:c r="I1436" s="13" t="n">
        <x:f>YEAR(B1436)</x:f>
        <x:v>2024</x:v>
      </x:c>
      <x:c r="J1436" s="13" t="n">
        <x:f>MONTH(B1436)</x:f>
        <x:v>7</x:v>
      </x:c>
      <x:c r="K1436" s="14" t="n">
        <x:f>ROUND(E1436*F1436-G1436,10)</x:f>
        <x:v>0</x:v>
      </x:c>
      <x:c r="L1436" s="2"/>
      <x:c r="M1436" s="2"/>
      <x:c r="N1436" s="2"/>
      <x:c r="O1436" s="2"/>
      <x:c r="P1436" s="2"/>
      <x:c r="Q1436" s="2"/>
      <x:c r="R1436" s="2"/>
    </x:row>
    <x:row r="1437" ht="22" customHeight="1">
      <x:c r="A1437" s="2" t="n">
        <x:v>101431</x:v>
      </x:c>
      <x:c r="B1437" s="10" t="n">
        <x:v>45640</x:v>
      </x:c>
      <x:c r="C1437" s="2" t="str">
        <x:v>México</x:v>
      </x:c>
      <x:c r="D1437" s="2" t="str">
        <x:v>Moda Masculina</x:v>
      </x:c>
      <x:c r="E1437" s="11" t="n">
        <x:v>45</x:v>
      </x:c>
      <x:c r="F1437" s="12" t="n">
        <x:v>70.28</x:v>
      </x:c>
      <x:c r="G1437" s="12" t="n">
        <x:v>3162.6</x:v>
      </x:c>
      <x:c r="H1437" s="13" t="n">
        <x:v>204</x:v>
      </x:c>
      <x:c r="I1437" s="13" t="n">
        <x:f>YEAR(B1437)</x:f>
        <x:v>2024</x:v>
      </x:c>
      <x:c r="J1437" s="13" t="n">
        <x:f>MONTH(B1437)</x:f>
        <x:v>12</x:v>
      </x:c>
      <x:c r="K1437" s="14" t="n">
        <x:f>ROUND(E1437*F1437-G1437,10)</x:f>
        <x:v>0</x:v>
      </x:c>
      <x:c r="L1437" s="2"/>
      <x:c r="M1437" s="2"/>
      <x:c r="N1437" s="2"/>
      <x:c r="O1437" s="2"/>
      <x:c r="P1437" s="2"/>
      <x:c r="Q1437" s="2"/>
      <x:c r="R1437" s="2"/>
    </x:row>
    <x:row r="1438" ht="22" customHeight="1">
      <x:c r="A1438" s="2" t="n">
        <x:v>101432</x:v>
      </x:c>
      <x:c r="B1438" s="10" t="n">
        <x:v>45192</x:v>
      </x:c>
      <x:c r="C1438" s="2" t="str">
        <x:v>Brasil</x:v>
      </x:c>
      <x:c r="D1438" s="2" t="str">
        <x:v>Moda Infantil</x:v>
      </x:c>
      <x:c r="E1438" s="11" t="n">
        <x:v>22</x:v>
      </x:c>
      <x:c r="F1438" s="12" t="n">
        <x:v>86.49</x:v>
      </x:c>
      <x:c r="G1438" s="12" t="n">
        <x:v>1902.78</x:v>
      </x:c>
      <x:c r="H1438" s="13" t="n">
        <x:v>404</x:v>
      </x:c>
      <x:c r="I1438" s="13" t="n">
        <x:f>YEAR(B1438)</x:f>
        <x:v>2023</x:v>
      </x:c>
      <x:c r="J1438" s="13" t="n">
        <x:f>MONTH(B1438)</x:f>
        <x:v>9</x:v>
      </x:c>
      <x:c r="K1438" s="14" t="n">
        <x:f>ROUND(E1438*F1438-G1438,10)</x:f>
        <x:v>0</x:v>
      </x:c>
      <x:c r="L1438" s="2"/>
      <x:c r="M1438" s="2"/>
      <x:c r="N1438" s="2"/>
      <x:c r="O1438" s="2"/>
      <x:c r="P1438" s="2"/>
      <x:c r="Q1438" s="2"/>
      <x:c r="R1438" s="2"/>
    </x:row>
    <x:row r="1439" ht="22" customHeight="1">
      <x:c r="A1439" s="2" t="n">
        <x:v>101433</x:v>
      </x:c>
      <x:c r="B1439" s="10" t="n">
        <x:v>45562</x:v>
      </x:c>
      <x:c r="C1439" s="2" t="str">
        <x:v>México</x:v>
      </x:c>
      <x:c r="D1439" s="2" t="str">
        <x:v>Calçados</x:v>
      </x:c>
      <x:c r="E1439" s="11" t="n">
        <x:v>43</x:v>
      </x:c>
      <x:c r="F1439" s="12" t="n">
        <x:v>48.72</x:v>
      </x:c>
      <x:c r="G1439" s="12" t="n">
        <x:v>2094.96</x:v>
      </x:c>
      <x:c r="H1439" s="13" t="n">
        <x:v>459</x:v>
      </x:c>
      <x:c r="I1439" s="13" t="n">
        <x:f>YEAR(B1439)</x:f>
        <x:v>2024</x:v>
      </x:c>
      <x:c r="J1439" s="13" t="n">
        <x:f>MONTH(B1439)</x:f>
        <x:v>9</x:v>
      </x:c>
      <x:c r="K1439" s="14" t="n">
        <x:f>ROUND(E1439*F1439-G1439,10)</x:f>
        <x:v>0</x:v>
      </x:c>
      <x:c r="L1439" s="2"/>
      <x:c r="M1439" s="2"/>
      <x:c r="N1439" s="2"/>
      <x:c r="O1439" s="2"/>
      <x:c r="P1439" s="2"/>
      <x:c r="Q1439" s="2"/>
      <x:c r="R1439" s="2"/>
    </x:row>
    <x:row r="1440" ht="22" customHeight="1">
      <x:c r="A1440" s="2" t="n">
        <x:v>101434</x:v>
      </x:c>
      <x:c r="B1440" s="10" t="n">
        <x:v>44987</x:v>
      </x:c>
      <x:c r="C1440" s="2" t="str">
        <x:v>Argentina</x:v>
      </x:c>
      <x:c r="D1440" s="2" t="str">
        <x:v>Moda Infantil</x:v>
      </x:c>
      <x:c r="E1440" s="11" t="n">
        <x:v>19</x:v>
      </x:c>
      <x:c r="F1440" s="12" t="n">
        <x:v>179.4</x:v>
      </x:c>
      <x:c r="G1440" s="12" t="n">
        <x:v>3408.6</x:v>
      </x:c>
      <x:c r="H1440" s="13" t="n">
        <x:v>426</x:v>
      </x:c>
      <x:c r="I1440" s="13" t="n">
        <x:f>YEAR(B1440)</x:f>
        <x:v>2023</x:v>
      </x:c>
      <x:c r="J1440" s="13" t="n">
        <x:f>MONTH(B1440)</x:f>
        <x:v>3</x:v>
      </x:c>
      <x:c r="K1440" s="14" t="n">
        <x:f>ROUND(E1440*F1440-G1440,10)</x:f>
        <x:v>0</x:v>
      </x:c>
      <x:c r="L1440" s="2"/>
      <x:c r="M1440" s="2"/>
      <x:c r="N1440" s="2"/>
      <x:c r="O1440" s="2"/>
      <x:c r="P1440" s="2"/>
      <x:c r="Q1440" s="2"/>
      <x:c r="R1440" s="2"/>
    </x:row>
    <x:row r="1441" ht="22" customHeight="1">
      <x:c r="A1441" s="2" t="n">
        <x:v>101435</x:v>
      </x:c>
      <x:c r="B1441" s="10" t="n">
        <x:v>45372</x:v>
      </x:c>
      <x:c r="C1441" s="2" t="str">
        <x:v>México</x:v>
      </x:c>
      <x:c r="D1441" s="2" t="str">
        <x:v>Moda Feminina</x:v>
      </x:c>
      <x:c r="E1441" s="11" t="n">
        <x:v>8</x:v>
      </x:c>
      <x:c r="F1441" s="12" t="n">
        <x:v>21.8</x:v>
      </x:c>
      <x:c r="G1441" s="12" t="n">
        <x:v>174.4</x:v>
      </x:c>
      <x:c r="H1441" s="13" t="n">
        <x:v>280</x:v>
      </x:c>
      <x:c r="I1441" s="13" t="n">
        <x:f>YEAR(B1441)</x:f>
        <x:v>2024</x:v>
      </x:c>
      <x:c r="J1441" s="13" t="n">
        <x:f>MONTH(B1441)</x:f>
        <x:v>3</x:v>
      </x:c>
      <x:c r="K1441" s="14" t="n">
        <x:f>ROUND(E1441*F1441-G1441,10)</x:f>
        <x:v>0</x:v>
      </x:c>
      <x:c r="L1441" s="2"/>
      <x:c r="M1441" s="2"/>
      <x:c r="N1441" s="2"/>
      <x:c r="O1441" s="2"/>
      <x:c r="P1441" s="2"/>
      <x:c r="Q1441" s="2"/>
      <x:c r="R1441" s="2"/>
    </x:row>
    <x:row r="1442" ht="22" customHeight="1">
      <x:c r="A1442" s="2" t="n">
        <x:v>101436</x:v>
      </x:c>
      <x:c r="B1442" s="10" t="n">
        <x:v>45096</x:v>
      </x:c>
      <x:c r="C1442" s="2" t="str">
        <x:v>Brasil</x:v>
      </x:c>
      <x:c r="D1442" s="2" t="str">
        <x:v>Acessórios</x:v>
      </x:c>
      <x:c r="E1442" s="11" t="n">
        <x:v>8</x:v>
      </x:c>
      <x:c r="F1442" s="12" t="n">
        <x:v>178.83</x:v>
      </x:c>
      <x:c r="G1442" s="12" t="n">
        <x:v>1430.64</x:v>
      </x:c>
      <x:c r="H1442" s="13" t="n">
        <x:v>420</x:v>
      </x:c>
      <x:c r="I1442" s="13" t="n">
        <x:f>YEAR(B1442)</x:f>
        <x:v>2023</x:v>
      </x:c>
      <x:c r="J1442" s="13" t="n">
        <x:f>MONTH(B1442)</x:f>
        <x:v>6</x:v>
      </x:c>
      <x:c r="K1442" s="14" t="n">
        <x:f>ROUND(E1442*F1442-G1442,10)</x:f>
        <x:v>0</x:v>
      </x:c>
      <x:c r="L1442" s="2"/>
      <x:c r="M1442" s="2"/>
      <x:c r="N1442" s="2"/>
      <x:c r="O1442" s="2"/>
      <x:c r="P1442" s="2"/>
      <x:c r="Q1442" s="2"/>
      <x:c r="R1442" s="2"/>
    </x:row>
    <x:row r="1443" ht="22" customHeight="1">
      <x:c r="A1443" s="2" t="n">
        <x:v>101437</x:v>
      </x:c>
      <x:c r="B1443" s="10" t="n">
        <x:v>45283</x:v>
      </x:c>
      <x:c r="C1443" s="2" t="str">
        <x:v>Argentina</x:v>
      </x:c>
      <x:c r="D1443" s="2" t="str">
        <x:v>Moda Infantil</x:v>
      </x:c>
      <x:c r="E1443" s="11" t="n">
        <x:v>42</x:v>
      </x:c>
      <x:c r="F1443" s="12" t="n">
        <x:v>122.9</x:v>
      </x:c>
      <x:c r="G1443" s="12" t="n">
        <x:v>5161.8</x:v>
      </x:c>
      <x:c r="H1443" s="13" t="n">
        <x:v>365</x:v>
      </x:c>
      <x:c r="I1443" s="13" t="n">
        <x:f>YEAR(B1443)</x:f>
        <x:v>2023</x:v>
      </x:c>
      <x:c r="J1443" s="13" t="n">
        <x:f>MONTH(B1443)</x:f>
        <x:v>12</x:v>
      </x:c>
      <x:c r="K1443" s="14" t="n">
        <x:f>ROUND(E1443*F1443-G1443,10)</x:f>
        <x:v>0</x:v>
      </x:c>
      <x:c r="L1443" s="2"/>
      <x:c r="M1443" s="2"/>
      <x:c r="N1443" s="2"/>
      <x:c r="O1443" s="2"/>
      <x:c r="P1443" s="2"/>
      <x:c r="Q1443" s="2"/>
      <x:c r="R1443" s="2"/>
    </x:row>
    <x:row r="1444" ht="22" customHeight="1">
      <x:c r="A1444" s="2" t="n">
        <x:v>101438</x:v>
      </x:c>
      <x:c r="B1444" s="10" t="n">
        <x:v>45576</x:v>
      </x:c>
      <x:c r="C1444" s="2" t="str">
        <x:v>México</x:v>
      </x:c>
      <x:c r="D1444" s="2" t="str">
        <x:v>Calçados</x:v>
      </x:c>
      <x:c r="E1444" s="11" t="n">
        <x:v>26</x:v>
      </x:c>
      <x:c r="F1444" s="12" t="n">
        <x:v>79.7</x:v>
      </x:c>
      <x:c r="G1444" s="12" t="n">
        <x:v>2072.2</x:v>
      </x:c>
      <x:c r="H1444" s="13" t="n">
        <x:v>451</x:v>
      </x:c>
      <x:c r="I1444" s="13" t="n">
        <x:f>YEAR(B1444)</x:f>
        <x:v>2024</x:v>
      </x:c>
      <x:c r="J1444" s="13" t="n">
        <x:f>MONTH(B1444)</x:f>
        <x:v>10</x:v>
      </x:c>
      <x:c r="K1444" s="14" t="n">
        <x:f>ROUND(E1444*F1444-G1444,10)</x:f>
        <x:v>0</x:v>
      </x:c>
      <x:c r="L1444" s="2"/>
      <x:c r="M1444" s="2"/>
      <x:c r="N1444" s="2"/>
      <x:c r="O1444" s="2"/>
      <x:c r="P1444" s="2"/>
      <x:c r="Q1444" s="2"/>
      <x:c r="R1444" s="2"/>
    </x:row>
    <x:row r="1445" ht="22" customHeight="1">
      <x:c r="A1445" s="2" t="n">
        <x:v>101439</x:v>
      </x:c>
      <x:c r="B1445" s="10" t="n">
        <x:v>45178</x:v>
      </x:c>
      <x:c r="C1445" s="2" t="str">
        <x:v>Colômbia</x:v>
      </x:c>
      <x:c r="D1445" s="2" t="str">
        <x:v>Moda Feminina</x:v>
      </x:c>
      <x:c r="E1445" s="11" t="n">
        <x:v>48</x:v>
      </x:c>
      <x:c r="F1445" s="12" t="n">
        <x:v>150.15</x:v>
      </x:c>
      <x:c r="G1445" s="12" t="n">
        <x:v>7207.200000000001</x:v>
      </x:c>
      <x:c r="H1445" s="13" t="n">
        <x:v>274</x:v>
      </x:c>
      <x:c r="I1445" s="13" t="n">
        <x:f>YEAR(B1445)</x:f>
        <x:v>2023</x:v>
      </x:c>
      <x:c r="J1445" s="13" t="n">
        <x:f>MONTH(B1445)</x:f>
        <x:v>9</x:v>
      </x:c>
      <x:c r="K1445" s="14" t="n">
        <x:f>ROUND(E1445*F1445-G1445,10)</x:f>
        <x:v>0</x:v>
      </x:c>
      <x:c r="L1445" s="2"/>
      <x:c r="M1445" s="2"/>
      <x:c r="N1445" s="2"/>
      <x:c r="O1445" s="2"/>
      <x:c r="P1445" s="2"/>
      <x:c r="Q1445" s="2"/>
      <x:c r="R1445" s="2"/>
    </x:row>
    <x:row r="1446" ht="22" customHeight="1">
      <x:c r="A1446" s="2" t="n">
        <x:v>101440</x:v>
      </x:c>
      <x:c r="B1446" s="10" t="n">
        <x:v>45051</x:v>
      </x:c>
      <x:c r="C1446" s="2" t="str">
        <x:v>Peru</x:v>
      </x:c>
      <x:c r="D1446" s="2" t="str">
        <x:v>Moda Masculina</x:v>
      </x:c>
      <x:c r="E1446" s="11" t="n">
        <x:v>26</x:v>
      </x:c>
      <x:c r="F1446" s="12" t="n">
        <x:v>111.4</x:v>
      </x:c>
      <x:c r="G1446" s="12" t="n">
        <x:v>2896.4</x:v>
      </x:c>
      <x:c r="H1446" s="13" t="n">
        <x:v>266</x:v>
      </x:c>
      <x:c r="I1446" s="13" t="n">
        <x:f>YEAR(B1446)</x:f>
        <x:v>2023</x:v>
      </x:c>
      <x:c r="J1446" s="13" t="n">
        <x:f>MONTH(B1446)</x:f>
        <x:v>5</x:v>
      </x:c>
      <x:c r="K1446" s="14" t="n">
        <x:f>ROUND(E1446*F1446-G1446,10)</x:f>
        <x:v>0</x:v>
      </x:c>
      <x:c r="L1446" s="2"/>
      <x:c r="M1446" s="2"/>
      <x:c r="N1446" s="2"/>
      <x:c r="O1446" s="2"/>
      <x:c r="P1446" s="2"/>
      <x:c r="Q1446" s="2"/>
      <x:c r="R1446" s="2"/>
    </x:row>
    <x:row r="1447" ht="22" customHeight="1">
      <x:c r="A1447" s="2" t="n">
        <x:v>101441</x:v>
      </x:c>
      <x:c r="B1447" s="10" t="n">
        <x:v>45391</x:v>
      </x:c>
      <x:c r="C1447" s="2" t="str">
        <x:v>Argentina</x:v>
      </x:c>
      <x:c r="D1447" s="2" t="str">
        <x:v>Moda Masculina</x:v>
      </x:c>
      <x:c r="E1447" s="11" t="n">
        <x:v>23</x:v>
      </x:c>
      <x:c r="F1447" s="12" t="n">
        <x:v>109.84</x:v>
      </x:c>
      <x:c r="G1447" s="12" t="n">
        <x:v>2526.32</x:v>
      </x:c>
      <x:c r="H1447" s="13" t="n">
        <x:v>105</x:v>
      </x:c>
      <x:c r="I1447" s="13" t="n">
        <x:f>YEAR(B1447)</x:f>
        <x:v>2024</x:v>
      </x:c>
      <x:c r="J1447" s="13" t="n">
        <x:f>MONTH(B1447)</x:f>
        <x:v>4</x:v>
      </x:c>
      <x:c r="K1447" s="14" t="n">
        <x:f>ROUND(E1447*F1447-G1447,10)</x:f>
        <x:v>0</x:v>
      </x:c>
      <x:c r="L1447" s="2"/>
      <x:c r="M1447" s="2"/>
      <x:c r="N1447" s="2"/>
      <x:c r="O1447" s="2"/>
      <x:c r="P1447" s="2"/>
      <x:c r="Q1447" s="2"/>
      <x:c r="R1447" s="2"/>
    </x:row>
    <x:row r="1448" ht="22" customHeight="1">
      <x:c r="A1448" s="2" t="n">
        <x:v>101442</x:v>
      </x:c>
      <x:c r="B1448" s="10" t="n">
        <x:v>45273</x:v>
      </x:c>
      <x:c r="C1448" s="2" t="str">
        <x:v>Peru</x:v>
      </x:c>
      <x:c r="D1448" s="2" t="str">
        <x:v>Calçados</x:v>
      </x:c>
      <x:c r="E1448" s="11" t="n">
        <x:v>43</x:v>
      </x:c>
      <x:c r="F1448" s="12" t="n">
        <x:v>39.83</x:v>
      </x:c>
      <x:c r="G1448" s="12" t="n">
        <x:v>1712.69</x:v>
      </x:c>
      <x:c r="H1448" s="13" t="n">
        <x:v>80</x:v>
      </x:c>
      <x:c r="I1448" s="13" t="n">
        <x:f>YEAR(B1448)</x:f>
        <x:v>2023</x:v>
      </x:c>
      <x:c r="J1448" s="13" t="n">
        <x:f>MONTH(B1448)</x:f>
        <x:v>12</x:v>
      </x:c>
      <x:c r="K1448" s="14" t="n">
        <x:f>ROUND(E1448*F1448-G1448,10)</x:f>
        <x:v>0</x:v>
      </x:c>
      <x:c r="L1448" s="2"/>
      <x:c r="M1448" s="2"/>
      <x:c r="N1448" s="2"/>
      <x:c r="O1448" s="2"/>
      <x:c r="P1448" s="2"/>
      <x:c r="Q1448" s="2"/>
      <x:c r="R1448" s="2"/>
    </x:row>
    <x:row r="1449" ht="22" customHeight="1">
      <x:c r="A1449" s="2" t="n">
        <x:v>101443</x:v>
      </x:c>
      <x:c r="B1449" s="10" t="n">
        <x:v>45419</x:v>
      </x:c>
      <x:c r="C1449" s="2" t="str">
        <x:v>Argentina</x:v>
      </x:c>
      <x:c r="D1449" s="2" t="str">
        <x:v>Moda Feminina</x:v>
      </x:c>
      <x:c r="E1449" s="11" t="n">
        <x:v>13</x:v>
      </x:c>
      <x:c r="F1449" s="12" t="n">
        <x:v>90.11</x:v>
      </x:c>
      <x:c r="G1449" s="12" t="n">
        <x:v>1171.43</x:v>
      </x:c>
      <x:c r="H1449" s="13" t="n">
        <x:v>406</x:v>
      </x:c>
      <x:c r="I1449" s="13" t="n">
        <x:f>YEAR(B1449)</x:f>
        <x:v>2024</x:v>
      </x:c>
      <x:c r="J1449" s="13" t="n">
        <x:f>MONTH(B1449)</x:f>
        <x:v>5</x:v>
      </x:c>
      <x:c r="K1449" s="14" t="n">
        <x:f>ROUND(E1449*F1449-G1449,10)</x:f>
        <x:v>0</x:v>
      </x:c>
      <x:c r="L1449" s="2"/>
      <x:c r="M1449" s="2"/>
      <x:c r="N1449" s="2"/>
      <x:c r="O1449" s="2"/>
      <x:c r="P1449" s="2"/>
      <x:c r="Q1449" s="2"/>
      <x:c r="R1449" s="2"/>
    </x:row>
    <x:row r="1450" ht="22" customHeight="1">
      <x:c r="A1450" s="2" t="n">
        <x:v>101444</x:v>
      </x:c>
      <x:c r="B1450" s="10" t="n">
        <x:v>45146</x:v>
      </x:c>
      <x:c r="C1450" s="2" t="str">
        <x:v>Colômbia</x:v>
      </x:c>
      <x:c r="D1450" s="2" t="str">
        <x:v>Acessórios</x:v>
      </x:c>
      <x:c r="E1450" s="11" t="n">
        <x:v>28</x:v>
      </x:c>
      <x:c r="F1450" s="12" t="n">
        <x:v>63.39</x:v>
      </x:c>
      <x:c r="G1450" s="12" t="n">
        <x:v>1774.92</x:v>
      </x:c>
      <x:c r="H1450" s="13" t="n">
        <x:v>108</x:v>
      </x:c>
      <x:c r="I1450" s="13" t="n">
        <x:f>YEAR(B1450)</x:f>
        <x:v>2023</x:v>
      </x:c>
      <x:c r="J1450" s="13" t="n">
        <x:f>MONTH(B1450)</x:f>
        <x:v>8</x:v>
      </x:c>
      <x:c r="K1450" s="14" t="n">
        <x:f>ROUND(E1450*F1450-G1450,10)</x:f>
        <x:v>0</x:v>
      </x:c>
      <x:c r="L1450" s="2"/>
      <x:c r="M1450" s="2"/>
      <x:c r="N1450" s="2"/>
      <x:c r="O1450" s="2"/>
      <x:c r="P1450" s="2"/>
      <x:c r="Q1450" s="2"/>
      <x:c r="R1450" s="2"/>
    </x:row>
    <x:row r="1451" ht="22" customHeight="1">
      <x:c r="A1451" s="2" t="n">
        <x:v>101445</x:v>
      </x:c>
      <x:c r="B1451" s="10" t="n">
        <x:v>45248</x:v>
      </x:c>
      <x:c r="C1451" s="2" t="str">
        <x:v>Peru</x:v>
      </x:c>
      <x:c r="D1451" s="2" t="str">
        <x:v>Moda Infantil</x:v>
      </x:c>
      <x:c r="E1451" s="11" t="n">
        <x:v>9</x:v>
      </x:c>
      <x:c r="F1451" s="12" t="n">
        <x:v>22.83</x:v>
      </x:c>
      <x:c r="G1451" s="12" t="n">
        <x:v>205.47</x:v>
      </x:c>
      <x:c r="H1451" s="13" t="n">
        <x:v>429</x:v>
      </x:c>
      <x:c r="I1451" s="13" t="n">
        <x:f>YEAR(B1451)</x:f>
        <x:v>2023</x:v>
      </x:c>
      <x:c r="J1451" s="13" t="n">
        <x:f>MONTH(B1451)</x:f>
        <x:v>11</x:v>
      </x:c>
      <x:c r="K1451" s="14" t="n">
        <x:f>ROUND(E1451*F1451-G1451,10)</x:f>
        <x:v>0</x:v>
      </x:c>
      <x:c r="L1451" s="2"/>
      <x:c r="M1451" s="2"/>
      <x:c r="N1451" s="2"/>
      <x:c r="O1451" s="2"/>
      <x:c r="P1451" s="2"/>
      <x:c r="Q1451" s="2"/>
      <x:c r="R1451" s="2"/>
    </x:row>
    <x:row r="1452" ht="22" customHeight="1">
      <x:c r="A1452" s="2" t="n">
        <x:v>101446</x:v>
      </x:c>
      <x:c r="B1452" s="10" t="n">
        <x:v>45208</x:v>
      </x:c>
      <x:c r="C1452" s="2" t="str">
        <x:v>Chile</x:v>
      </x:c>
      <x:c r="D1452" s="2" t="str">
        <x:v>Moda Feminina</x:v>
      </x:c>
      <x:c r="E1452" s="11" t="n">
        <x:v>20</x:v>
      </x:c>
      <x:c r="F1452" s="12" t="n">
        <x:v>84.82</x:v>
      </x:c>
      <x:c r="G1452" s="12" t="n">
        <x:v>1696.4</x:v>
      </x:c>
      <x:c r="H1452" s="13" t="n">
        <x:v>435</x:v>
      </x:c>
      <x:c r="I1452" s="13" t="n">
        <x:f>YEAR(B1452)</x:f>
        <x:v>2023</x:v>
      </x:c>
      <x:c r="J1452" s="13" t="n">
        <x:f>MONTH(B1452)</x:f>
        <x:v>10</x:v>
      </x:c>
      <x:c r="K1452" s="14" t="n">
        <x:f>ROUND(E1452*F1452-G1452,10)</x:f>
        <x:v>0</x:v>
      </x:c>
      <x:c r="L1452" s="2"/>
      <x:c r="M1452" s="2"/>
      <x:c r="N1452" s="2"/>
      <x:c r="O1452" s="2"/>
      <x:c r="P1452" s="2"/>
      <x:c r="Q1452" s="2"/>
      <x:c r="R1452" s="2"/>
    </x:row>
    <x:row r="1453" ht="22" customHeight="1">
      <x:c r="A1453" s="2" t="n">
        <x:v>101447</x:v>
      </x:c>
      <x:c r="B1453" s="10" t="n">
        <x:v>45373</x:v>
      </x:c>
      <x:c r="C1453" s="2" t="str">
        <x:v>Brasil</x:v>
      </x:c>
      <x:c r="D1453" s="2" t="str">
        <x:v>Moda Masculina</x:v>
      </x:c>
      <x:c r="E1453" s="11" t="n">
        <x:v>19</x:v>
      </x:c>
      <x:c r="F1453" s="12" t="n">
        <x:v>36.17</x:v>
      </x:c>
      <x:c r="G1453" s="12" t="n">
        <x:v>687.23</x:v>
      </x:c>
      <x:c r="H1453" s="13" t="n">
        <x:v>402</x:v>
      </x:c>
      <x:c r="I1453" s="13" t="n">
        <x:f>YEAR(B1453)</x:f>
        <x:v>2024</x:v>
      </x:c>
      <x:c r="J1453" s="13" t="n">
        <x:f>MONTH(B1453)</x:f>
        <x:v>3</x:v>
      </x:c>
      <x:c r="K1453" s="14" t="n">
        <x:f>ROUND(E1453*F1453-G1453,10)</x:f>
        <x:v>0</x:v>
      </x:c>
      <x:c r="L1453" s="2"/>
      <x:c r="M1453" s="2"/>
      <x:c r="N1453" s="2"/>
      <x:c r="O1453" s="2"/>
      <x:c r="P1453" s="2"/>
      <x:c r="Q1453" s="2"/>
      <x:c r="R1453" s="2"/>
    </x:row>
    <x:row r="1454" ht="22" customHeight="1">
      <x:c r="A1454" s="2" t="n">
        <x:v>101448</x:v>
      </x:c>
      <x:c r="B1454" s="10" t="n">
        <x:v>45549</x:v>
      </x:c>
      <x:c r="C1454" s="2" t="str">
        <x:v>Chile</x:v>
      </x:c>
      <x:c r="D1454" s="2" t="str">
        <x:v>Calçados</x:v>
      </x:c>
      <x:c r="E1454" s="11" t="n">
        <x:v>48</x:v>
      </x:c>
      <x:c r="F1454" s="12" t="n">
        <x:v>66.23</x:v>
      </x:c>
      <x:c r="G1454" s="12" t="n">
        <x:v>3179.04</x:v>
      </x:c>
      <x:c r="H1454" s="13" t="n">
        <x:v>472</x:v>
      </x:c>
      <x:c r="I1454" s="13" t="n">
        <x:f>YEAR(B1454)</x:f>
        <x:v>2024</x:v>
      </x:c>
      <x:c r="J1454" s="13" t="n">
        <x:f>MONTH(B1454)</x:f>
        <x:v>9</x:v>
      </x:c>
      <x:c r="K1454" s="14" t="n">
        <x:f>ROUND(E1454*F1454-G1454,10)</x:f>
        <x:v>0</x:v>
      </x:c>
      <x:c r="L1454" s="2"/>
      <x:c r="M1454" s="2"/>
      <x:c r="N1454" s="2"/>
      <x:c r="O1454" s="2"/>
      <x:c r="P1454" s="2"/>
      <x:c r="Q1454" s="2"/>
      <x:c r="R1454" s="2"/>
    </x:row>
    <x:row r="1455" ht="22" customHeight="1">
      <x:c r="A1455" s="2" t="n">
        <x:v>101449</x:v>
      </x:c>
      <x:c r="B1455" s="10" t="n">
        <x:v>45617</x:v>
      </x:c>
      <x:c r="C1455" s="2" t="str">
        <x:v>México</x:v>
      </x:c>
      <x:c r="D1455" s="2" t="str">
        <x:v>Calçados</x:v>
      </x:c>
      <x:c r="E1455" s="11" t="n">
        <x:v>39</x:v>
      </x:c>
      <x:c r="F1455" s="12" t="n">
        <x:v>36.65</x:v>
      </x:c>
      <x:c r="G1455" s="12" t="n">
        <x:v>1429.35</x:v>
      </x:c>
      <x:c r="H1455" s="13" t="n">
        <x:v>494</x:v>
      </x:c>
      <x:c r="I1455" s="13" t="n">
        <x:f>YEAR(B1455)</x:f>
        <x:v>2024</x:v>
      </x:c>
      <x:c r="J1455" s="13" t="n">
        <x:f>MONTH(B1455)</x:f>
        <x:v>11</x:v>
      </x:c>
      <x:c r="K1455" s="14" t="n">
        <x:f>ROUND(E1455*F1455-G1455,10)</x:f>
        <x:v>0</x:v>
      </x:c>
      <x:c r="L1455" s="2"/>
      <x:c r="M1455" s="2"/>
      <x:c r="N1455" s="2"/>
      <x:c r="O1455" s="2"/>
      <x:c r="P1455" s="2"/>
      <x:c r="Q1455" s="2"/>
      <x:c r="R1455" s="2"/>
    </x:row>
    <x:row r="1456" ht="22" customHeight="1">
      <x:c r="A1456" s="2" t="n">
        <x:v>101450</x:v>
      </x:c>
      <x:c r="B1456" s="10" t="n">
        <x:v>44935</x:v>
      </x:c>
      <x:c r="C1456" s="2" t="str">
        <x:v>Colômbia</x:v>
      </x:c>
      <x:c r="D1456" s="2" t="str">
        <x:v>Moda Infantil</x:v>
      </x:c>
      <x:c r="E1456" s="11" t="n">
        <x:v>12</x:v>
      </x:c>
      <x:c r="F1456" s="12" t="n">
        <x:v>38.17</x:v>
      </x:c>
      <x:c r="G1456" s="12" t="n">
        <x:v>458.04</x:v>
      </x:c>
      <x:c r="H1456" s="13" t="n">
        <x:v>284</x:v>
      </x:c>
      <x:c r="I1456" s="13" t="n">
        <x:f>YEAR(B1456)</x:f>
        <x:v>2023</x:v>
      </x:c>
      <x:c r="J1456" s="13" t="n">
        <x:f>MONTH(B1456)</x:f>
        <x:v>1</x:v>
      </x:c>
      <x:c r="K1456" s="14" t="n">
        <x:f>ROUND(E1456*F1456-G1456,10)</x:f>
        <x:v>0</x:v>
      </x:c>
      <x:c r="L1456" s="2"/>
      <x:c r="M1456" s="2"/>
      <x:c r="N1456" s="2"/>
      <x:c r="O1456" s="2"/>
      <x:c r="P1456" s="2"/>
      <x:c r="Q1456" s="2"/>
      <x:c r="R1456" s="2"/>
    </x:row>
    <x:row r="1457" ht="22" customHeight="1">
      <x:c r="A1457" s="2" t="n">
        <x:v>101451</x:v>
      </x:c>
      <x:c r="B1457" s="10" t="n">
        <x:v>45453</x:v>
      </x:c>
      <x:c r="C1457" s="2" t="str">
        <x:v>Chile</x:v>
      </x:c>
      <x:c r="D1457" s="2" t="str">
        <x:v>Calçados</x:v>
      </x:c>
      <x:c r="E1457" s="11" t="n">
        <x:v>15</x:v>
      </x:c>
      <x:c r="F1457" s="12" t="n">
        <x:v>55.82</x:v>
      </x:c>
      <x:c r="G1457" s="12" t="n">
        <x:v>837.3</x:v>
      </x:c>
      <x:c r="H1457" s="13" t="n">
        <x:v>156</x:v>
      </x:c>
      <x:c r="I1457" s="13" t="n">
        <x:f>YEAR(B1457)</x:f>
        <x:v>2024</x:v>
      </x:c>
      <x:c r="J1457" s="13" t="n">
        <x:f>MONTH(B1457)</x:f>
        <x:v>6</x:v>
      </x:c>
      <x:c r="K1457" s="14" t="n">
        <x:f>ROUND(E1457*F1457-G1457,10)</x:f>
        <x:v>0</x:v>
      </x:c>
      <x:c r="L1457" s="2"/>
      <x:c r="M1457" s="2"/>
      <x:c r="N1457" s="2"/>
      <x:c r="O1457" s="2"/>
      <x:c r="P1457" s="2"/>
      <x:c r="Q1457" s="2"/>
      <x:c r="R1457" s="2"/>
    </x:row>
    <x:row r="1458" ht="22" customHeight="1">
      <x:c r="A1458" s="2" t="n">
        <x:v>101452</x:v>
      </x:c>
      <x:c r="B1458" s="10" t="n">
        <x:v>45548</x:v>
      </x:c>
      <x:c r="C1458" s="2" t="str">
        <x:v>Argentina</x:v>
      </x:c>
      <x:c r="D1458" s="2" t="str">
        <x:v>Calçados</x:v>
      </x:c>
      <x:c r="E1458" s="11" t="n">
        <x:v>31</x:v>
      </x:c>
      <x:c r="F1458" s="12" t="n">
        <x:v>199.97</x:v>
      </x:c>
      <x:c r="G1458" s="12" t="n">
        <x:v>6199.07</x:v>
      </x:c>
      <x:c r="H1458" s="13" t="n">
        <x:v>240</x:v>
      </x:c>
      <x:c r="I1458" s="13" t="n">
        <x:f>YEAR(B1458)</x:f>
        <x:v>2024</x:v>
      </x:c>
      <x:c r="J1458" s="13" t="n">
        <x:f>MONTH(B1458)</x:f>
        <x:v>9</x:v>
      </x:c>
      <x:c r="K1458" s="14" t="n">
        <x:f>ROUND(E1458*F1458-G1458,10)</x:f>
        <x:v>0</x:v>
      </x:c>
      <x:c r="L1458" s="2"/>
      <x:c r="M1458" s="2"/>
      <x:c r="N1458" s="2"/>
      <x:c r="O1458" s="2"/>
      <x:c r="P1458" s="2"/>
      <x:c r="Q1458" s="2"/>
      <x:c r="R1458" s="2"/>
    </x:row>
    <x:row r="1459" ht="22" customHeight="1">
      <x:c r="A1459" s="2" t="n">
        <x:v>101453</x:v>
      </x:c>
      <x:c r="B1459" s="10" t="n">
        <x:v>45036</x:v>
      </x:c>
      <x:c r="C1459" s="2" t="str">
        <x:v>México</x:v>
      </x:c>
      <x:c r="D1459" s="2" t="str">
        <x:v>Moda Feminina</x:v>
      </x:c>
      <x:c r="E1459" s="11" t="n">
        <x:v>14</x:v>
      </x:c>
      <x:c r="F1459" s="12" t="n">
        <x:v>20.39</x:v>
      </x:c>
      <x:c r="G1459" s="12" t="n">
        <x:v>285.46</x:v>
      </x:c>
      <x:c r="H1459" s="13" t="n">
        <x:v>67</x:v>
      </x:c>
      <x:c r="I1459" s="13" t="n">
        <x:f>YEAR(B1459)</x:f>
        <x:v>2023</x:v>
      </x:c>
      <x:c r="J1459" s="13" t="n">
        <x:f>MONTH(B1459)</x:f>
        <x:v>4</x:v>
      </x:c>
      <x:c r="K1459" s="14" t="n">
        <x:f>ROUND(E1459*F1459-G1459,10)</x:f>
        <x:v>0</x:v>
      </x:c>
      <x:c r="L1459" s="2"/>
      <x:c r="M1459" s="2"/>
      <x:c r="N1459" s="2"/>
      <x:c r="O1459" s="2"/>
      <x:c r="P1459" s="2"/>
      <x:c r="Q1459" s="2"/>
      <x:c r="R1459" s="2"/>
    </x:row>
    <x:row r="1460" ht="22" customHeight="1">
      <x:c r="A1460" s="2" t="n">
        <x:v>101454</x:v>
      </x:c>
      <x:c r="B1460" s="10" t="n">
        <x:v>45161</x:v>
      </x:c>
      <x:c r="C1460" s="2" t="str">
        <x:v>México</x:v>
      </x:c>
      <x:c r="D1460" s="2" t="str">
        <x:v>Acessórios</x:v>
      </x:c>
      <x:c r="E1460" s="11" t="n">
        <x:v>11</x:v>
      </x:c>
      <x:c r="F1460" s="12" t="n">
        <x:v>134.96</x:v>
      </x:c>
      <x:c r="G1460" s="12" t="n">
        <x:v>1484.56</x:v>
      </x:c>
      <x:c r="H1460" s="13" t="n">
        <x:v>450</x:v>
      </x:c>
      <x:c r="I1460" s="13" t="n">
        <x:f>YEAR(B1460)</x:f>
        <x:v>2023</x:v>
      </x:c>
      <x:c r="J1460" s="13" t="n">
        <x:f>MONTH(B1460)</x:f>
        <x:v>8</x:v>
      </x:c>
      <x:c r="K1460" s="14" t="n">
        <x:f>ROUND(E1460*F1460-G1460,10)</x:f>
        <x:v>0</x:v>
      </x:c>
      <x:c r="L1460" s="2"/>
      <x:c r="M1460" s="2"/>
      <x:c r="N1460" s="2"/>
      <x:c r="O1460" s="2"/>
      <x:c r="P1460" s="2"/>
      <x:c r="Q1460" s="2"/>
      <x:c r="R1460" s="2"/>
    </x:row>
    <x:row r="1461" ht="22" customHeight="1">
      <x:c r="A1461" s="2" t="n">
        <x:v>101455</x:v>
      </x:c>
      <x:c r="B1461" s="10" t="n">
        <x:v>45132</x:v>
      </x:c>
      <x:c r="C1461" s="2" t="str">
        <x:v>Chile</x:v>
      </x:c>
      <x:c r="D1461" s="2" t="str">
        <x:v>Moda Infantil</x:v>
      </x:c>
      <x:c r="E1461" s="11" t="n">
        <x:v>26</x:v>
      </x:c>
      <x:c r="F1461" s="12" t="n">
        <x:v>45.42</x:v>
      </x:c>
      <x:c r="G1461" s="12" t="n">
        <x:v>1180.92</x:v>
      </x:c>
      <x:c r="H1461" s="13" t="n">
        <x:v>275</x:v>
      </x:c>
      <x:c r="I1461" s="13" t="n">
        <x:f>YEAR(B1461)</x:f>
        <x:v>2023</x:v>
      </x:c>
      <x:c r="J1461" s="13" t="n">
        <x:f>MONTH(B1461)</x:f>
        <x:v>7</x:v>
      </x:c>
      <x:c r="K1461" s="14" t="n">
        <x:f>ROUND(E1461*F1461-G1461,10)</x:f>
        <x:v>0</x:v>
      </x:c>
      <x:c r="L1461" s="2"/>
      <x:c r="M1461" s="2"/>
      <x:c r="N1461" s="2"/>
      <x:c r="O1461" s="2"/>
      <x:c r="P1461" s="2"/>
      <x:c r="Q1461" s="2"/>
      <x:c r="R1461" s="2"/>
    </x:row>
    <x:row r="1462" ht="22" customHeight="1">
      <x:c r="A1462" s="2" t="n">
        <x:v>101456</x:v>
      </x:c>
      <x:c r="B1462" s="10" t="n">
        <x:v>45453</x:v>
      </x:c>
      <x:c r="C1462" s="2" t="str">
        <x:v>Chile</x:v>
      </x:c>
      <x:c r="D1462" s="2" t="str">
        <x:v>Moda Feminina</x:v>
      </x:c>
      <x:c r="E1462" s="11" t="n">
        <x:v>42</x:v>
      </x:c>
      <x:c r="F1462" s="12" t="n">
        <x:v>185.71</x:v>
      </x:c>
      <x:c r="G1462" s="12" t="n">
        <x:v>7799.820000000001</x:v>
      </x:c>
      <x:c r="H1462" s="13" t="n">
        <x:v>216</x:v>
      </x:c>
      <x:c r="I1462" s="13" t="n">
        <x:f>YEAR(B1462)</x:f>
        <x:v>2024</x:v>
      </x:c>
      <x:c r="J1462" s="13" t="n">
        <x:f>MONTH(B1462)</x:f>
        <x:v>6</x:v>
      </x:c>
      <x:c r="K1462" s="14" t="n">
        <x:f>ROUND(E1462*F1462-G1462,10)</x:f>
        <x:v>0</x:v>
      </x:c>
      <x:c r="L1462" s="2"/>
      <x:c r="M1462" s="2"/>
      <x:c r="N1462" s="2"/>
      <x:c r="O1462" s="2"/>
      <x:c r="P1462" s="2"/>
      <x:c r="Q1462" s="2"/>
      <x:c r="R1462" s="2"/>
    </x:row>
    <x:row r="1463" ht="22" customHeight="1">
      <x:c r="A1463" s="2" t="n">
        <x:v>101457</x:v>
      </x:c>
      <x:c r="B1463" s="10" t="n">
        <x:v>45478</x:v>
      </x:c>
      <x:c r="C1463" s="2" t="str">
        <x:v>Colômbia</x:v>
      </x:c>
      <x:c r="D1463" s="2" t="str">
        <x:v>Acessórios</x:v>
      </x:c>
      <x:c r="E1463" s="11" t="n">
        <x:v>27</x:v>
      </x:c>
      <x:c r="F1463" s="12" t="n">
        <x:v>36.85</x:v>
      </x:c>
      <x:c r="G1463" s="12" t="n">
        <x:v>994.95</x:v>
      </x:c>
      <x:c r="H1463" s="13" t="n">
        <x:v>120</x:v>
      </x:c>
      <x:c r="I1463" s="13" t="n">
        <x:f>YEAR(B1463)</x:f>
        <x:v>2024</x:v>
      </x:c>
      <x:c r="J1463" s="13" t="n">
        <x:f>MONTH(B1463)</x:f>
        <x:v>7</x:v>
      </x:c>
      <x:c r="K1463" s="14" t="n">
        <x:f>ROUND(E1463*F1463-G1463,10)</x:f>
        <x:v>0</x:v>
      </x:c>
      <x:c r="L1463" s="2"/>
      <x:c r="M1463" s="2"/>
      <x:c r="N1463" s="2"/>
      <x:c r="O1463" s="2"/>
      <x:c r="P1463" s="2"/>
      <x:c r="Q1463" s="2"/>
      <x:c r="R1463" s="2"/>
    </x:row>
    <x:row r="1464" ht="22" customHeight="1">
      <x:c r="A1464" s="2" t="n">
        <x:v>101458</x:v>
      </x:c>
      <x:c r="B1464" s="10" t="n">
        <x:v>45619</x:v>
      </x:c>
      <x:c r="C1464" s="2" t="str">
        <x:v>Brasil</x:v>
      </x:c>
      <x:c r="D1464" s="2" t="str">
        <x:v>Moda Feminina</x:v>
      </x:c>
      <x:c r="E1464" s="11" t="n">
        <x:v>11</x:v>
      </x:c>
      <x:c r="F1464" s="12" t="n">
        <x:v>191.91</x:v>
      </x:c>
      <x:c r="G1464" s="12" t="n">
        <x:v>2111.01</x:v>
      </x:c>
      <x:c r="H1464" s="13" t="n">
        <x:v>411</x:v>
      </x:c>
      <x:c r="I1464" s="13" t="n">
        <x:f>YEAR(B1464)</x:f>
        <x:v>2024</x:v>
      </x:c>
      <x:c r="J1464" s="13" t="n">
        <x:f>MONTH(B1464)</x:f>
        <x:v>11</x:v>
      </x:c>
      <x:c r="K1464" s="14" t="n">
        <x:f>ROUND(E1464*F1464-G1464,10)</x:f>
        <x:v>0</x:v>
      </x:c>
      <x:c r="L1464" s="2"/>
      <x:c r="M1464" s="2"/>
      <x:c r="N1464" s="2"/>
      <x:c r="O1464" s="2"/>
      <x:c r="P1464" s="2"/>
      <x:c r="Q1464" s="2"/>
      <x:c r="R1464" s="2"/>
    </x:row>
    <x:row r="1465" ht="22" customHeight="1">
      <x:c r="A1465" s="2" t="n">
        <x:v>101459</x:v>
      </x:c>
      <x:c r="B1465" s="10" t="n">
        <x:v>45384</x:v>
      </x:c>
      <x:c r="C1465" s="2" t="str">
        <x:v>Chile</x:v>
      </x:c>
      <x:c r="D1465" s="2" t="str">
        <x:v>Moda Feminina</x:v>
      </x:c>
      <x:c r="E1465" s="11" t="n">
        <x:v>38</x:v>
      </x:c>
      <x:c r="F1465" s="12" t="n">
        <x:v>129.97</x:v>
      </x:c>
      <x:c r="G1465" s="12" t="n">
        <x:v>4938.86</x:v>
      </x:c>
      <x:c r="H1465" s="13" t="n">
        <x:v>103</x:v>
      </x:c>
      <x:c r="I1465" s="13" t="n">
        <x:f>YEAR(B1465)</x:f>
        <x:v>2024</x:v>
      </x:c>
      <x:c r="J1465" s="13" t="n">
        <x:f>MONTH(B1465)</x:f>
        <x:v>4</x:v>
      </x:c>
      <x:c r="K1465" s="14" t="n">
        <x:f>ROUND(E1465*F1465-G1465,10)</x:f>
        <x:v>0</x:v>
      </x:c>
      <x:c r="L1465" s="2"/>
      <x:c r="M1465" s="2"/>
      <x:c r="N1465" s="2"/>
      <x:c r="O1465" s="2"/>
      <x:c r="P1465" s="2"/>
      <x:c r="Q1465" s="2"/>
      <x:c r="R1465" s="2"/>
    </x:row>
    <x:row r="1466" ht="22" customHeight="1">
      <x:c r="A1466" s="2" t="n">
        <x:v>101460</x:v>
      </x:c>
      <x:c r="B1466" s="10" t="n">
        <x:v>45171</x:v>
      </x:c>
      <x:c r="C1466" s="2" t="str">
        <x:v>Chile</x:v>
      </x:c>
      <x:c r="D1466" s="2" t="str">
        <x:v>Calçados</x:v>
      </x:c>
      <x:c r="E1466" s="11" t="n">
        <x:v>34</x:v>
      </x:c>
      <x:c r="F1466" s="12" t="n">
        <x:v>20.23</x:v>
      </x:c>
      <x:c r="G1466" s="12" t="n">
        <x:v>687.82</x:v>
      </x:c>
      <x:c r="H1466" s="13" t="n">
        <x:v>294</x:v>
      </x:c>
      <x:c r="I1466" s="13" t="n">
        <x:f>YEAR(B1466)</x:f>
        <x:v>2023</x:v>
      </x:c>
      <x:c r="J1466" s="13" t="n">
        <x:f>MONTH(B1466)</x:f>
        <x:v>9</x:v>
      </x:c>
      <x:c r="K1466" s="14" t="n">
        <x:f>ROUND(E1466*F1466-G1466,10)</x:f>
        <x:v>0</x:v>
      </x:c>
      <x:c r="L1466" s="2"/>
      <x:c r="M1466" s="2"/>
      <x:c r="N1466" s="2"/>
      <x:c r="O1466" s="2"/>
      <x:c r="P1466" s="2"/>
      <x:c r="Q1466" s="2"/>
      <x:c r="R1466" s="2"/>
    </x:row>
    <x:row r="1467" ht="22" customHeight="1">
      <x:c r="A1467" s="2" t="n">
        <x:v>101461</x:v>
      </x:c>
      <x:c r="B1467" s="10" t="n">
        <x:v>45266</x:v>
      </x:c>
      <x:c r="C1467" s="2" t="str">
        <x:v>Peru</x:v>
      </x:c>
      <x:c r="D1467" s="2" t="str">
        <x:v>Acessórios</x:v>
      </x:c>
      <x:c r="E1467" s="11" t="n">
        <x:v>43</x:v>
      </x:c>
      <x:c r="F1467" s="12" t="n">
        <x:v>180.92</x:v>
      </x:c>
      <x:c r="G1467" s="12" t="n">
        <x:v>7779.559999999999</x:v>
      </x:c>
      <x:c r="H1467" s="13" t="n">
        <x:v>399</x:v>
      </x:c>
      <x:c r="I1467" s="13" t="n">
        <x:f>YEAR(B1467)</x:f>
        <x:v>2023</x:v>
      </x:c>
      <x:c r="J1467" s="13" t="n">
        <x:f>MONTH(B1467)</x:f>
        <x:v>12</x:v>
      </x:c>
      <x:c r="K1467" s="14" t="n">
        <x:f>ROUND(E1467*F1467-G1467,10)</x:f>
        <x:v>0</x:v>
      </x:c>
      <x:c r="L1467" s="2"/>
      <x:c r="M1467" s="2"/>
      <x:c r="N1467" s="2"/>
      <x:c r="O1467" s="2"/>
      <x:c r="P1467" s="2"/>
      <x:c r="Q1467" s="2"/>
      <x:c r="R1467" s="2"/>
    </x:row>
    <x:row r="1468" ht="22" customHeight="1">
      <x:c r="A1468" s="2" t="n">
        <x:v>101462</x:v>
      </x:c>
      <x:c r="B1468" s="10" t="n">
        <x:v>45011</x:v>
      </x:c>
      <x:c r="C1468" s="2" t="str">
        <x:v>Argentina</x:v>
      </x:c>
      <x:c r="D1468" s="2" t="str">
        <x:v>Moda Infantil</x:v>
      </x:c>
      <x:c r="E1468" s="11" t="n">
        <x:v>19</x:v>
      </x:c>
      <x:c r="F1468" s="12" t="n">
        <x:v>113.91</x:v>
      </x:c>
      <x:c r="G1468" s="12" t="n">
        <x:v>2164.29</x:v>
      </x:c>
      <x:c r="H1468" s="13" t="n">
        <x:v>125</x:v>
      </x:c>
      <x:c r="I1468" s="13" t="n">
        <x:f>YEAR(B1468)</x:f>
        <x:v>2023</x:v>
      </x:c>
      <x:c r="J1468" s="13" t="n">
        <x:f>MONTH(B1468)</x:f>
        <x:v>3</x:v>
      </x:c>
      <x:c r="K1468" s="14" t="n">
        <x:f>ROUND(E1468*F1468-G1468,10)</x:f>
        <x:v>0</x:v>
      </x:c>
      <x:c r="L1468" s="2"/>
      <x:c r="M1468" s="2"/>
      <x:c r="N1468" s="2"/>
      <x:c r="O1468" s="2"/>
      <x:c r="P1468" s="2"/>
      <x:c r="Q1468" s="2"/>
      <x:c r="R1468" s="2"/>
    </x:row>
    <x:row r="1469" ht="22" customHeight="1">
      <x:c r="A1469" s="2" t="n">
        <x:v>101463</x:v>
      </x:c>
      <x:c r="B1469" s="10" t="n">
        <x:v>45008</x:v>
      </x:c>
      <x:c r="C1469" s="2" t="str">
        <x:v>Peru</x:v>
      </x:c>
      <x:c r="D1469" s="2" t="str">
        <x:v>Moda Infantil</x:v>
      </x:c>
      <x:c r="E1469" s="11" t="n">
        <x:v>6</x:v>
      </x:c>
      <x:c r="F1469" s="12" t="n">
        <x:v>67.28</x:v>
      </x:c>
      <x:c r="G1469" s="12" t="n">
        <x:v>403.68</x:v>
      </x:c>
      <x:c r="H1469" s="13" t="n">
        <x:v>84</x:v>
      </x:c>
      <x:c r="I1469" s="13" t="n">
        <x:f>YEAR(B1469)</x:f>
        <x:v>2023</x:v>
      </x:c>
      <x:c r="J1469" s="13" t="n">
        <x:f>MONTH(B1469)</x:f>
        <x:v>3</x:v>
      </x:c>
      <x:c r="K1469" s="14" t="n">
        <x:f>ROUND(E1469*F1469-G1469,10)</x:f>
        <x:v>0</x:v>
      </x:c>
      <x:c r="L1469" s="2"/>
      <x:c r="M1469" s="2"/>
      <x:c r="N1469" s="2"/>
      <x:c r="O1469" s="2"/>
      <x:c r="P1469" s="2"/>
      <x:c r="Q1469" s="2"/>
      <x:c r="R1469" s="2"/>
    </x:row>
    <x:row r="1470" ht="22" customHeight="1">
      <x:c r="A1470" s="2" t="n">
        <x:v>101464</x:v>
      </x:c>
      <x:c r="B1470" s="10" t="n">
        <x:v>45530</x:v>
      </x:c>
      <x:c r="C1470" s="2" t="str">
        <x:v>Peru</x:v>
      </x:c>
      <x:c r="D1470" s="2" t="str">
        <x:v>Acessórios</x:v>
      </x:c>
      <x:c r="E1470" s="11" t="n">
        <x:v>46</x:v>
      </x:c>
      <x:c r="F1470" s="12" t="n">
        <x:v>158.11</x:v>
      </x:c>
      <x:c r="G1470" s="12" t="n">
        <x:v>7273.06</x:v>
      </x:c>
      <x:c r="H1470" s="13" t="n">
        <x:v>316</x:v>
      </x:c>
      <x:c r="I1470" s="13" t="n">
        <x:f>YEAR(B1470)</x:f>
        <x:v>2024</x:v>
      </x:c>
      <x:c r="J1470" s="13" t="n">
        <x:f>MONTH(B1470)</x:f>
        <x:v>8</x:v>
      </x:c>
      <x:c r="K1470" s="14" t="n">
        <x:f>ROUND(E1470*F1470-G1470,10)</x:f>
        <x:v>0</x:v>
      </x:c>
      <x:c r="L1470" s="2"/>
      <x:c r="M1470" s="2"/>
      <x:c r="N1470" s="2"/>
      <x:c r="O1470" s="2"/>
      <x:c r="P1470" s="2"/>
      <x:c r="Q1470" s="2"/>
      <x:c r="R1470" s="2"/>
    </x:row>
    <x:row r="1471" ht="22" customHeight="1">
      <x:c r="A1471" s="2" t="n">
        <x:v>101465</x:v>
      </x:c>
      <x:c r="B1471" s="10" t="n">
        <x:v>45421</x:v>
      </x:c>
      <x:c r="C1471" s="2" t="str">
        <x:v>México</x:v>
      </x:c>
      <x:c r="D1471" s="2" t="str">
        <x:v>Calçados</x:v>
      </x:c>
      <x:c r="E1471" s="11" t="n">
        <x:v>38</x:v>
      </x:c>
      <x:c r="F1471" s="12" t="n">
        <x:v>186.8</x:v>
      </x:c>
      <x:c r="G1471" s="12" t="n">
        <x:v>7098.400000000001</x:v>
      </x:c>
      <x:c r="H1471" s="13" t="n">
        <x:v>366</x:v>
      </x:c>
      <x:c r="I1471" s="13" t="n">
        <x:f>YEAR(B1471)</x:f>
        <x:v>2024</x:v>
      </x:c>
      <x:c r="J1471" s="13" t="n">
        <x:f>MONTH(B1471)</x:f>
        <x:v>5</x:v>
      </x:c>
      <x:c r="K1471" s="14" t="n">
        <x:f>ROUND(E1471*F1471-G1471,10)</x:f>
        <x:v>0</x:v>
      </x:c>
      <x:c r="L1471" s="2"/>
      <x:c r="M1471" s="2"/>
      <x:c r="N1471" s="2"/>
      <x:c r="O1471" s="2"/>
      <x:c r="P1471" s="2"/>
      <x:c r="Q1471" s="2"/>
      <x:c r="R1471" s="2"/>
    </x:row>
    <x:row r="1472" ht="22" customHeight="1">
      <x:c r="A1472" s="2" t="n">
        <x:v>101466</x:v>
      </x:c>
      <x:c r="B1472" s="10" t="n">
        <x:v>45277</x:v>
      </x:c>
      <x:c r="C1472" s="2" t="str">
        <x:v>Brasil</x:v>
      </x:c>
      <x:c r="D1472" s="2" t="str">
        <x:v>Moda Masculina</x:v>
      </x:c>
      <x:c r="E1472" s="11" t="n">
        <x:v>49</x:v>
      </x:c>
      <x:c r="F1472" s="12" t="n">
        <x:v>107.06</x:v>
      </x:c>
      <x:c r="G1472" s="12" t="n">
        <x:v>5245.940000000001</x:v>
      </x:c>
      <x:c r="H1472" s="13" t="n">
        <x:v>349</x:v>
      </x:c>
      <x:c r="I1472" s="13" t="n">
        <x:f>YEAR(B1472)</x:f>
        <x:v>2023</x:v>
      </x:c>
      <x:c r="J1472" s="13" t="n">
        <x:f>MONTH(B1472)</x:f>
        <x:v>12</x:v>
      </x:c>
      <x:c r="K1472" s="14" t="n">
        <x:f>ROUND(E1472*F1472-G1472,10)</x:f>
        <x:v>0</x:v>
      </x:c>
      <x:c r="L1472" s="2"/>
      <x:c r="M1472" s="2"/>
      <x:c r="N1472" s="2"/>
      <x:c r="O1472" s="2"/>
      <x:c r="P1472" s="2"/>
      <x:c r="Q1472" s="2"/>
      <x:c r="R1472" s="2"/>
    </x:row>
    <x:row r="1473" ht="22" customHeight="1">
      <x:c r="A1473" s="2" t="n">
        <x:v>101467</x:v>
      </x:c>
      <x:c r="B1473" s="10" t="n">
        <x:v>45578</x:v>
      </x:c>
      <x:c r="C1473" s="2" t="str">
        <x:v>Argentina</x:v>
      </x:c>
      <x:c r="D1473" s="2" t="str">
        <x:v>Moda Feminina</x:v>
      </x:c>
      <x:c r="E1473" s="11" t="n">
        <x:v>42</x:v>
      </x:c>
      <x:c r="F1473" s="12" t="n">
        <x:v>76.8</x:v>
      </x:c>
      <x:c r="G1473" s="12" t="n">
        <x:v>3225.6</x:v>
      </x:c>
      <x:c r="H1473" s="13" t="n">
        <x:v>170</x:v>
      </x:c>
      <x:c r="I1473" s="13" t="n">
        <x:f>YEAR(B1473)</x:f>
        <x:v>2024</x:v>
      </x:c>
      <x:c r="J1473" s="13" t="n">
        <x:f>MONTH(B1473)</x:f>
        <x:v>10</x:v>
      </x:c>
      <x:c r="K1473" s="14" t="n">
        <x:f>ROUND(E1473*F1473-G1473,10)</x:f>
        <x:v>0</x:v>
      </x:c>
      <x:c r="L1473" s="2"/>
      <x:c r="M1473" s="2"/>
      <x:c r="N1473" s="2"/>
      <x:c r="O1473" s="2"/>
      <x:c r="P1473" s="2"/>
      <x:c r="Q1473" s="2"/>
      <x:c r="R1473" s="2"/>
    </x:row>
    <x:row r="1474" ht="22" customHeight="1">
      <x:c r="A1474" s="2" t="n">
        <x:v>101468</x:v>
      </x:c>
      <x:c r="B1474" s="10" t="n">
        <x:v>45579</x:v>
      </x:c>
      <x:c r="C1474" s="2" t="str">
        <x:v>Colômbia</x:v>
      </x:c>
      <x:c r="D1474" s="2" t="str">
        <x:v>Calçados</x:v>
      </x:c>
      <x:c r="E1474" s="11" t="n">
        <x:v>28</x:v>
      </x:c>
      <x:c r="F1474" s="12" t="n">
        <x:v>162.01</x:v>
      </x:c>
      <x:c r="G1474" s="12" t="n">
        <x:v>4536.28</x:v>
      </x:c>
      <x:c r="H1474" s="13" t="n">
        <x:v>373</x:v>
      </x:c>
      <x:c r="I1474" s="13" t="n">
        <x:f>YEAR(B1474)</x:f>
        <x:v>2024</x:v>
      </x:c>
      <x:c r="J1474" s="13" t="n">
        <x:f>MONTH(B1474)</x:f>
        <x:v>10</x:v>
      </x:c>
      <x:c r="K1474" s="14" t="n">
        <x:f>ROUND(E1474*F1474-G1474,10)</x:f>
        <x:v>0</x:v>
      </x:c>
      <x:c r="L1474" s="2"/>
      <x:c r="M1474" s="2"/>
      <x:c r="N1474" s="2"/>
      <x:c r="O1474" s="2"/>
      <x:c r="P1474" s="2"/>
      <x:c r="Q1474" s="2"/>
      <x:c r="R1474" s="2"/>
    </x:row>
    <x:row r="1475" ht="22" customHeight="1">
      <x:c r="A1475" s="2" t="n">
        <x:v>101469</x:v>
      </x:c>
      <x:c r="B1475" s="10" t="n">
        <x:v>45018</x:v>
      </x:c>
      <x:c r="C1475" s="2" t="str">
        <x:v>Colômbia</x:v>
      </x:c>
      <x:c r="D1475" s="2" t="str">
        <x:v>Acessórios</x:v>
      </x:c>
      <x:c r="E1475" s="11" t="n">
        <x:v>1</x:v>
      </x:c>
      <x:c r="F1475" s="12" t="n">
        <x:v>142.72</x:v>
      </x:c>
      <x:c r="G1475" s="12" t="n">
        <x:v>142.72</x:v>
      </x:c>
      <x:c r="H1475" s="13" t="n">
        <x:v>74</x:v>
      </x:c>
      <x:c r="I1475" s="13" t="n">
        <x:f>YEAR(B1475)</x:f>
        <x:v>2023</x:v>
      </x:c>
      <x:c r="J1475" s="13" t="n">
        <x:f>MONTH(B1475)</x:f>
        <x:v>4</x:v>
      </x:c>
      <x:c r="K1475" s="14" t="n">
        <x:f>ROUND(E1475*F1475-G1475,10)</x:f>
        <x:v>0</x:v>
      </x:c>
      <x:c r="L1475" s="2"/>
      <x:c r="M1475" s="2"/>
      <x:c r="N1475" s="2"/>
      <x:c r="O1475" s="2"/>
      <x:c r="P1475" s="2"/>
      <x:c r="Q1475" s="2"/>
      <x:c r="R1475" s="2"/>
    </x:row>
    <x:row r="1476" ht="22" customHeight="1">
      <x:c r="A1476" s="2" t="n">
        <x:v>101470</x:v>
      </x:c>
      <x:c r="B1476" s="10" t="n">
        <x:v>45552</x:v>
      </x:c>
      <x:c r="C1476" s="2" t="str">
        <x:v>Chile</x:v>
      </x:c>
      <x:c r="D1476" s="2" t="str">
        <x:v>Moda Feminina</x:v>
      </x:c>
      <x:c r="E1476" s="11" t="n">
        <x:v>35</x:v>
      </x:c>
      <x:c r="F1476" s="12" t="n">
        <x:v>179.98</x:v>
      </x:c>
      <x:c r="G1476" s="12" t="n">
        <x:v>6299.299999999999</x:v>
      </x:c>
      <x:c r="H1476" s="13" t="n">
        <x:v>481</x:v>
      </x:c>
      <x:c r="I1476" s="13" t="n">
        <x:f>YEAR(B1476)</x:f>
        <x:v>2024</x:v>
      </x:c>
      <x:c r="J1476" s="13" t="n">
        <x:f>MONTH(B1476)</x:f>
        <x:v>9</x:v>
      </x:c>
      <x:c r="K1476" s="14" t="n">
        <x:f>ROUND(E1476*F1476-G1476,10)</x:f>
        <x:v>0</x:v>
      </x:c>
      <x:c r="L1476" s="2"/>
      <x:c r="M1476" s="2"/>
      <x:c r="N1476" s="2"/>
      <x:c r="O1476" s="2"/>
      <x:c r="P1476" s="2"/>
      <x:c r="Q1476" s="2"/>
      <x:c r="R1476" s="2"/>
    </x:row>
    <x:row r="1477" ht="22" customHeight="1">
      <x:c r="A1477" s="2" t="n">
        <x:v>101471</x:v>
      </x:c>
      <x:c r="B1477" s="10" t="n">
        <x:v>45557</x:v>
      </x:c>
      <x:c r="C1477" s="2" t="str">
        <x:v>Chile</x:v>
      </x:c>
      <x:c r="D1477" s="2" t="str">
        <x:v>Moda Infantil</x:v>
      </x:c>
      <x:c r="E1477" s="11" t="n">
        <x:v>40</x:v>
      </x:c>
      <x:c r="F1477" s="12" t="n">
        <x:v>144.65</x:v>
      </x:c>
      <x:c r="G1477" s="12" t="n">
        <x:v>5786</x:v>
      </x:c>
      <x:c r="H1477" s="13" t="n">
        <x:v>209</x:v>
      </x:c>
      <x:c r="I1477" s="13" t="n">
        <x:f>YEAR(B1477)</x:f>
        <x:v>2024</x:v>
      </x:c>
      <x:c r="J1477" s="13" t="n">
        <x:f>MONTH(B1477)</x:f>
        <x:v>9</x:v>
      </x:c>
      <x:c r="K1477" s="14" t="n">
        <x:f>ROUND(E1477*F1477-G1477,10)</x:f>
        <x:v>0</x:v>
      </x:c>
      <x:c r="L1477" s="2"/>
      <x:c r="M1477" s="2"/>
      <x:c r="N1477" s="2"/>
      <x:c r="O1477" s="2"/>
      <x:c r="P1477" s="2"/>
      <x:c r="Q1477" s="2"/>
      <x:c r="R1477" s="2"/>
    </x:row>
    <x:row r="1478" ht="22" customHeight="1">
      <x:c r="A1478" s="2" t="n">
        <x:v>101472</x:v>
      </x:c>
      <x:c r="B1478" s="10" t="n">
        <x:v>45455</x:v>
      </x:c>
      <x:c r="C1478" s="2" t="str">
        <x:v>Colômbia</x:v>
      </x:c>
      <x:c r="D1478" s="2" t="str">
        <x:v>Moda Masculina</x:v>
      </x:c>
      <x:c r="E1478" s="11" t="n">
        <x:v>8</x:v>
      </x:c>
      <x:c r="F1478" s="12" t="n">
        <x:v>63.84</x:v>
      </x:c>
      <x:c r="G1478" s="12" t="n">
        <x:v>510.72</x:v>
      </x:c>
      <x:c r="H1478" s="13" t="n">
        <x:v>133</x:v>
      </x:c>
      <x:c r="I1478" s="13" t="n">
        <x:f>YEAR(B1478)</x:f>
        <x:v>2024</x:v>
      </x:c>
      <x:c r="J1478" s="13" t="n">
        <x:f>MONTH(B1478)</x:f>
        <x:v>6</x:v>
      </x:c>
      <x:c r="K1478" s="14" t="n">
        <x:f>ROUND(E1478*F1478-G1478,10)</x:f>
        <x:v>0</x:v>
      </x:c>
      <x:c r="L1478" s="2"/>
      <x:c r="M1478" s="2"/>
      <x:c r="N1478" s="2"/>
      <x:c r="O1478" s="2"/>
      <x:c r="P1478" s="2"/>
      <x:c r="Q1478" s="2"/>
      <x:c r="R1478" s="2"/>
    </x:row>
    <x:row r="1479" ht="22" customHeight="1">
      <x:c r="A1479" s="2" t="n">
        <x:v>101473</x:v>
      </x:c>
      <x:c r="B1479" s="10" t="n">
        <x:v>45250</x:v>
      </x:c>
      <x:c r="C1479" s="2" t="str">
        <x:v>Chile</x:v>
      </x:c>
      <x:c r="D1479" s="2" t="str">
        <x:v>Moda Infantil</x:v>
      </x:c>
      <x:c r="E1479" s="11" t="n">
        <x:v>47</x:v>
      </x:c>
      <x:c r="F1479" s="12" t="n">
        <x:v>187.7</x:v>
      </x:c>
      <x:c r="G1479" s="12" t="n">
        <x:v>8821.9</x:v>
      </x:c>
      <x:c r="H1479" s="13" t="n">
        <x:v>163</x:v>
      </x:c>
      <x:c r="I1479" s="13" t="n">
        <x:f>YEAR(B1479)</x:f>
        <x:v>2023</x:v>
      </x:c>
      <x:c r="J1479" s="13" t="n">
        <x:f>MONTH(B1479)</x:f>
        <x:v>11</x:v>
      </x:c>
      <x:c r="K1479" s="14" t="n">
        <x:f>ROUND(E1479*F1479-G1479,10)</x:f>
        <x:v>0</x:v>
      </x:c>
      <x:c r="L1479" s="2"/>
      <x:c r="M1479" s="2"/>
      <x:c r="N1479" s="2"/>
      <x:c r="O1479" s="2"/>
      <x:c r="P1479" s="2"/>
      <x:c r="Q1479" s="2"/>
      <x:c r="R1479" s="2"/>
    </x:row>
    <x:row r="1480" ht="22" customHeight="1">
      <x:c r="A1480" s="2" t="n">
        <x:v>101474</x:v>
      </x:c>
      <x:c r="B1480" s="10" t="n">
        <x:v>45343</x:v>
      </x:c>
      <x:c r="C1480" s="2" t="str">
        <x:v>Brasil</x:v>
      </x:c>
      <x:c r="D1480" s="2" t="str">
        <x:v>Acessórios</x:v>
      </x:c>
      <x:c r="E1480" s="11" t="n">
        <x:v>7</x:v>
      </x:c>
      <x:c r="F1480" s="12" t="n">
        <x:v>38.87</x:v>
      </x:c>
      <x:c r="G1480" s="12" t="n">
        <x:v>272.09</x:v>
      </x:c>
      <x:c r="H1480" s="13" t="n">
        <x:v>272</x:v>
      </x:c>
      <x:c r="I1480" s="13" t="n">
        <x:f>YEAR(B1480)</x:f>
        <x:v>2024</x:v>
      </x:c>
      <x:c r="J1480" s="13" t="n">
        <x:f>MONTH(B1480)</x:f>
        <x:v>2</x:v>
      </x:c>
      <x:c r="K1480" s="14" t="n">
        <x:f>ROUND(E1480*F1480-G1480,10)</x:f>
        <x:v>0</x:v>
      </x:c>
      <x:c r="L1480" s="2"/>
      <x:c r="M1480" s="2"/>
      <x:c r="N1480" s="2"/>
      <x:c r="O1480" s="2"/>
      <x:c r="P1480" s="2"/>
      <x:c r="Q1480" s="2"/>
      <x:c r="R1480" s="2"/>
    </x:row>
    <x:row r="1481" ht="22" customHeight="1">
      <x:c r="A1481" s="2" t="n">
        <x:v>101475</x:v>
      </x:c>
      <x:c r="B1481" s="10" t="n">
        <x:v>45393</x:v>
      </x:c>
      <x:c r="C1481" s="2" t="str">
        <x:v>Peru</x:v>
      </x:c>
      <x:c r="D1481" s="2" t="str">
        <x:v>Moda Feminina</x:v>
      </x:c>
      <x:c r="E1481" s="11" t="n">
        <x:v>11</x:v>
      </x:c>
      <x:c r="F1481" s="12" t="n">
        <x:v>68.23</x:v>
      </x:c>
      <x:c r="G1481" s="12" t="n">
        <x:v>750.5300000000001</x:v>
      </x:c>
      <x:c r="H1481" s="13" t="n">
        <x:v>437</x:v>
      </x:c>
      <x:c r="I1481" s="13" t="n">
        <x:f>YEAR(B1481)</x:f>
        <x:v>2024</x:v>
      </x:c>
      <x:c r="J1481" s="13" t="n">
        <x:f>MONTH(B1481)</x:f>
        <x:v>4</x:v>
      </x:c>
      <x:c r="K1481" s="14" t="n">
        <x:f>ROUND(E1481*F1481-G1481,10)</x:f>
        <x:v>0</x:v>
      </x:c>
      <x:c r="L1481" s="2"/>
      <x:c r="M1481" s="2"/>
      <x:c r="N1481" s="2"/>
      <x:c r="O1481" s="2"/>
      <x:c r="P1481" s="2"/>
      <x:c r="Q1481" s="2"/>
      <x:c r="R1481" s="2"/>
    </x:row>
    <x:row r="1482" ht="22" customHeight="1">
      <x:c r="A1482" s="2" t="n">
        <x:v>101476</x:v>
      </x:c>
      <x:c r="B1482" s="10" t="n">
        <x:v>45272</x:v>
      </x:c>
      <x:c r="C1482" s="2" t="str">
        <x:v>Chile</x:v>
      </x:c>
      <x:c r="D1482" s="2" t="str">
        <x:v>Acessórios</x:v>
      </x:c>
      <x:c r="E1482" s="11" t="n">
        <x:v>39</x:v>
      </x:c>
      <x:c r="F1482" s="12" t="n">
        <x:v>113.64</x:v>
      </x:c>
      <x:c r="G1482" s="12" t="n">
        <x:v>4431.96</x:v>
      </x:c>
      <x:c r="H1482" s="13" t="n">
        <x:v>215</x:v>
      </x:c>
      <x:c r="I1482" s="13" t="n">
        <x:f>YEAR(B1482)</x:f>
        <x:v>2023</x:v>
      </x:c>
      <x:c r="J1482" s="13" t="n">
        <x:f>MONTH(B1482)</x:f>
        <x:v>12</x:v>
      </x:c>
      <x:c r="K1482" s="14" t="n">
        <x:f>ROUND(E1482*F1482-G1482,10)</x:f>
        <x:v>0</x:v>
      </x:c>
      <x:c r="L1482" s="2"/>
      <x:c r="M1482" s="2"/>
      <x:c r="N1482" s="2"/>
      <x:c r="O1482" s="2"/>
      <x:c r="P1482" s="2"/>
      <x:c r="Q1482" s="2"/>
      <x:c r="R1482" s="2"/>
    </x:row>
    <x:row r="1483" ht="22" customHeight="1">
      <x:c r="A1483" s="2" t="n">
        <x:v>101477</x:v>
      </x:c>
      <x:c r="B1483" s="10" t="n">
        <x:v>45346</x:v>
      </x:c>
      <x:c r="C1483" s="2" t="str">
        <x:v>México</x:v>
      </x:c>
      <x:c r="D1483" s="2" t="str">
        <x:v>Moda Feminina</x:v>
      </x:c>
      <x:c r="E1483" s="11" t="n">
        <x:v>4</x:v>
      </x:c>
      <x:c r="F1483" s="12" t="n">
        <x:v>121.83</x:v>
      </x:c>
      <x:c r="G1483" s="12" t="n">
        <x:v>487.32</x:v>
      </x:c>
      <x:c r="H1483" s="13" t="n">
        <x:v>240</x:v>
      </x:c>
      <x:c r="I1483" s="13" t="n">
        <x:f>YEAR(B1483)</x:f>
        <x:v>2024</x:v>
      </x:c>
      <x:c r="J1483" s="13" t="n">
        <x:f>MONTH(B1483)</x:f>
        <x:v>2</x:v>
      </x:c>
      <x:c r="K1483" s="14" t="n">
        <x:f>ROUND(E1483*F1483-G1483,10)</x:f>
        <x:v>0</x:v>
      </x:c>
      <x:c r="L1483" s="2"/>
      <x:c r="M1483" s="2"/>
      <x:c r="N1483" s="2"/>
      <x:c r="O1483" s="2"/>
      <x:c r="P1483" s="2"/>
      <x:c r="Q1483" s="2"/>
      <x:c r="R1483" s="2"/>
    </x:row>
    <x:row r="1484" ht="22" customHeight="1">
      <x:c r="A1484" s="2" t="n">
        <x:v>101478</x:v>
      </x:c>
      <x:c r="B1484" s="10" t="n">
        <x:v>45338</x:v>
      </x:c>
      <x:c r="C1484" s="2" t="str">
        <x:v>Chile</x:v>
      </x:c>
      <x:c r="D1484" s="2" t="str">
        <x:v>Calçados</x:v>
      </x:c>
      <x:c r="E1484" s="11" t="n">
        <x:v>25</x:v>
      </x:c>
      <x:c r="F1484" s="12" t="n">
        <x:v>22.76</x:v>
      </x:c>
      <x:c r="G1484" s="12" t="n">
        <x:v>569</x:v>
      </x:c>
      <x:c r="H1484" s="13" t="n">
        <x:v>224</x:v>
      </x:c>
      <x:c r="I1484" s="13" t="n">
        <x:f>YEAR(B1484)</x:f>
        <x:v>2024</x:v>
      </x:c>
      <x:c r="J1484" s="13" t="n">
        <x:f>MONTH(B1484)</x:f>
        <x:v>2</x:v>
      </x:c>
      <x:c r="K1484" s="14" t="n">
        <x:f>ROUND(E1484*F1484-G1484,10)</x:f>
        <x:v>0</x:v>
      </x:c>
      <x:c r="L1484" s="2"/>
      <x:c r="M1484" s="2"/>
      <x:c r="N1484" s="2"/>
      <x:c r="O1484" s="2"/>
      <x:c r="P1484" s="2"/>
      <x:c r="Q1484" s="2"/>
      <x:c r="R1484" s="2"/>
    </x:row>
    <x:row r="1485" ht="22" customHeight="1">
      <x:c r="A1485" s="2" t="n">
        <x:v>101479</x:v>
      </x:c>
      <x:c r="B1485" s="10" t="n">
        <x:v>45234</x:v>
      </x:c>
      <x:c r="C1485" s="2" t="str">
        <x:v>Argentina</x:v>
      </x:c>
      <x:c r="D1485" s="2" t="str">
        <x:v>Moda Masculina</x:v>
      </x:c>
      <x:c r="E1485" s="11" t="n">
        <x:v>12</x:v>
      </x:c>
      <x:c r="F1485" s="12" t="n">
        <x:v>160.5</x:v>
      </x:c>
      <x:c r="G1485" s="12" t="n">
        <x:v>1926</x:v>
      </x:c>
      <x:c r="H1485" s="13" t="n">
        <x:v>50</x:v>
      </x:c>
      <x:c r="I1485" s="13" t="n">
        <x:f>YEAR(B1485)</x:f>
        <x:v>2023</x:v>
      </x:c>
      <x:c r="J1485" s="13" t="n">
        <x:f>MONTH(B1485)</x:f>
        <x:v>11</x:v>
      </x:c>
      <x:c r="K1485" s="14" t="n">
        <x:f>ROUND(E1485*F1485-G1485,10)</x:f>
        <x:v>0</x:v>
      </x:c>
      <x:c r="L1485" s="2"/>
      <x:c r="M1485" s="2"/>
      <x:c r="N1485" s="2"/>
      <x:c r="O1485" s="2"/>
      <x:c r="P1485" s="2"/>
      <x:c r="Q1485" s="2"/>
      <x:c r="R1485" s="2"/>
    </x:row>
    <x:row r="1486" ht="22" customHeight="1">
      <x:c r="A1486" s="2" t="n">
        <x:v>101480</x:v>
      </x:c>
      <x:c r="B1486" s="10" t="n">
        <x:v>45195</x:v>
      </x:c>
      <x:c r="C1486" s="2" t="str">
        <x:v>Brasil</x:v>
      </x:c>
      <x:c r="D1486" s="2" t="str">
        <x:v>Calçados</x:v>
      </x:c>
      <x:c r="E1486" s="11" t="n">
        <x:v>26</x:v>
      </x:c>
      <x:c r="F1486" s="12" t="n">
        <x:v>85.09</x:v>
      </x:c>
      <x:c r="G1486" s="12" t="n">
        <x:v>2212.34</x:v>
      </x:c>
      <x:c r="H1486" s="13" t="n">
        <x:v>436</x:v>
      </x:c>
      <x:c r="I1486" s="13" t="n">
        <x:f>YEAR(B1486)</x:f>
        <x:v>2023</x:v>
      </x:c>
      <x:c r="J1486" s="13" t="n">
        <x:f>MONTH(B1486)</x:f>
        <x:v>9</x:v>
      </x:c>
      <x:c r="K1486" s="14" t="n">
        <x:f>ROUND(E1486*F1486-G1486,10)</x:f>
        <x:v>0</x:v>
      </x:c>
      <x:c r="L1486" s="2"/>
      <x:c r="M1486" s="2"/>
      <x:c r="N1486" s="2"/>
      <x:c r="O1486" s="2"/>
      <x:c r="P1486" s="2"/>
      <x:c r="Q1486" s="2"/>
      <x:c r="R1486" s="2"/>
    </x:row>
    <x:row r="1487" ht="22" customHeight="1">
      <x:c r="A1487" s="2" t="n">
        <x:v>101481</x:v>
      </x:c>
      <x:c r="B1487" s="10" t="n">
        <x:v>45024</x:v>
      </x:c>
      <x:c r="C1487" s="2" t="str">
        <x:v>Argentina</x:v>
      </x:c>
      <x:c r="D1487" s="2" t="str">
        <x:v>Calçados</x:v>
      </x:c>
      <x:c r="E1487" s="11" t="n">
        <x:v>38</x:v>
      </x:c>
      <x:c r="F1487" s="12" t="n">
        <x:v>93.16</x:v>
      </x:c>
      <x:c r="G1487" s="12" t="n">
        <x:v>3540.08</x:v>
      </x:c>
      <x:c r="H1487" s="13" t="n">
        <x:v>278</x:v>
      </x:c>
      <x:c r="I1487" s="13" t="n">
        <x:f>YEAR(B1487)</x:f>
        <x:v>2023</x:v>
      </x:c>
      <x:c r="J1487" s="13" t="n">
        <x:f>MONTH(B1487)</x:f>
        <x:v>4</x:v>
      </x:c>
      <x:c r="K1487" s="14" t="n">
        <x:f>ROUND(E1487*F1487-G1487,10)</x:f>
        <x:v>0</x:v>
      </x:c>
      <x:c r="L1487" s="2"/>
      <x:c r="M1487" s="2"/>
      <x:c r="N1487" s="2"/>
      <x:c r="O1487" s="2"/>
      <x:c r="P1487" s="2"/>
      <x:c r="Q1487" s="2"/>
      <x:c r="R1487" s="2"/>
    </x:row>
    <x:row r="1488" ht="22" customHeight="1">
      <x:c r="A1488" s="2" t="n">
        <x:v>101482</x:v>
      </x:c>
      <x:c r="B1488" s="10" t="n">
        <x:v>45496</x:v>
      </x:c>
      <x:c r="C1488" s="2" t="str">
        <x:v>Argentina</x:v>
      </x:c>
      <x:c r="D1488" s="2" t="str">
        <x:v>Acessórios</x:v>
      </x:c>
      <x:c r="E1488" s="11" t="n">
        <x:v>46</x:v>
      </x:c>
      <x:c r="F1488" s="12" t="n">
        <x:v>165.69</x:v>
      </x:c>
      <x:c r="G1488" s="12" t="n">
        <x:v>7621.74</x:v>
      </x:c>
      <x:c r="H1488" s="13" t="n">
        <x:v>135</x:v>
      </x:c>
      <x:c r="I1488" s="13" t="n">
        <x:f>YEAR(B1488)</x:f>
        <x:v>2024</x:v>
      </x:c>
      <x:c r="J1488" s="13" t="n">
        <x:f>MONTH(B1488)</x:f>
        <x:v>7</x:v>
      </x:c>
      <x:c r="K1488" s="14" t="n">
        <x:f>ROUND(E1488*F1488-G1488,10)</x:f>
        <x:v>0</x:v>
      </x:c>
      <x:c r="L1488" s="2"/>
      <x:c r="M1488" s="2"/>
      <x:c r="N1488" s="2"/>
      <x:c r="O1488" s="2"/>
      <x:c r="P1488" s="2"/>
      <x:c r="Q1488" s="2"/>
      <x:c r="R1488" s="2"/>
    </x:row>
    <x:row r="1489" ht="22" customHeight="1">
      <x:c r="A1489" s="2" t="n">
        <x:v>101483</x:v>
      </x:c>
      <x:c r="B1489" s="10" t="n">
        <x:v>45251</x:v>
      </x:c>
      <x:c r="C1489" s="2" t="str">
        <x:v>México</x:v>
      </x:c>
      <x:c r="D1489" s="2" t="str">
        <x:v>Moda Masculina</x:v>
      </x:c>
      <x:c r="E1489" s="11" t="n">
        <x:v>12</x:v>
      </x:c>
      <x:c r="F1489" s="12" t="n">
        <x:v>88.27</x:v>
      </x:c>
      <x:c r="G1489" s="12" t="n">
        <x:v>1059.24</x:v>
      </x:c>
      <x:c r="H1489" s="13" t="n">
        <x:v>111</x:v>
      </x:c>
      <x:c r="I1489" s="13" t="n">
        <x:f>YEAR(B1489)</x:f>
        <x:v>2023</x:v>
      </x:c>
      <x:c r="J1489" s="13" t="n">
        <x:f>MONTH(B1489)</x:f>
        <x:v>11</x:v>
      </x:c>
      <x:c r="K1489" s="14" t="n">
        <x:f>ROUND(E1489*F1489-G1489,10)</x:f>
        <x:v>0</x:v>
      </x:c>
      <x:c r="L1489" s="2"/>
      <x:c r="M1489" s="2"/>
      <x:c r="N1489" s="2"/>
      <x:c r="O1489" s="2"/>
      <x:c r="P1489" s="2"/>
      <x:c r="Q1489" s="2"/>
      <x:c r="R1489" s="2"/>
    </x:row>
    <x:row r="1490" ht="22" customHeight="1">
      <x:c r="A1490" s="2" t="n">
        <x:v>101484</x:v>
      </x:c>
      <x:c r="B1490" s="10" t="n">
        <x:v>45039</x:v>
      </x:c>
      <x:c r="C1490" s="2" t="str">
        <x:v>Brasil</x:v>
      </x:c>
      <x:c r="D1490" s="2" t="str">
        <x:v>Moda Feminina</x:v>
      </x:c>
      <x:c r="E1490" s="11" t="n">
        <x:v>43</x:v>
      </x:c>
      <x:c r="F1490" s="12" t="n">
        <x:v>28.5</x:v>
      </x:c>
      <x:c r="G1490" s="12" t="n">
        <x:v>1225.5</x:v>
      </x:c>
      <x:c r="H1490" s="13" t="n">
        <x:v>369</x:v>
      </x:c>
      <x:c r="I1490" s="13" t="n">
        <x:f>YEAR(B1490)</x:f>
        <x:v>2023</x:v>
      </x:c>
      <x:c r="J1490" s="13" t="n">
        <x:f>MONTH(B1490)</x:f>
        <x:v>4</x:v>
      </x:c>
      <x:c r="K1490" s="14" t="n">
        <x:f>ROUND(E1490*F1490-G1490,10)</x:f>
        <x:v>0</x:v>
      </x:c>
      <x:c r="L1490" s="2"/>
      <x:c r="M1490" s="2"/>
      <x:c r="N1490" s="2"/>
      <x:c r="O1490" s="2"/>
      <x:c r="P1490" s="2"/>
      <x:c r="Q1490" s="2"/>
      <x:c r="R1490" s="2"/>
    </x:row>
    <x:row r="1491" ht="22" customHeight="1">
      <x:c r="A1491" s="2" t="n">
        <x:v>101485</x:v>
      </x:c>
      <x:c r="B1491" s="10" t="n">
        <x:v>45282</x:v>
      </x:c>
      <x:c r="C1491" s="2" t="str">
        <x:v>Brasil</x:v>
      </x:c>
      <x:c r="D1491" s="2" t="str">
        <x:v>Moda Feminina</x:v>
      </x:c>
      <x:c r="E1491" s="11" t="n">
        <x:v>37</x:v>
      </x:c>
      <x:c r="F1491" s="12" t="n">
        <x:v>51.76</x:v>
      </x:c>
      <x:c r="G1491" s="12" t="n">
        <x:v>1915.12</x:v>
      </x:c>
      <x:c r="H1491" s="13" t="n">
        <x:v>450</x:v>
      </x:c>
      <x:c r="I1491" s="13" t="n">
        <x:f>YEAR(B1491)</x:f>
        <x:v>2023</x:v>
      </x:c>
      <x:c r="J1491" s="13" t="n">
        <x:f>MONTH(B1491)</x:f>
        <x:v>12</x:v>
      </x:c>
      <x:c r="K1491" s="14" t="n">
        <x:f>ROUND(E1491*F1491-G1491,10)</x:f>
        <x:v>0</x:v>
      </x:c>
      <x:c r="L1491" s="2"/>
      <x:c r="M1491" s="2"/>
      <x:c r="N1491" s="2"/>
      <x:c r="O1491" s="2"/>
      <x:c r="P1491" s="2"/>
      <x:c r="Q1491" s="2"/>
      <x:c r="R1491" s="2"/>
    </x:row>
    <x:row r="1492" ht="22" customHeight="1">
      <x:c r="A1492" s="2" t="n">
        <x:v>101486</x:v>
      </x:c>
      <x:c r="B1492" s="10" t="n">
        <x:v>45344</x:v>
      </x:c>
      <x:c r="C1492" s="2" t="str">
        <x:v>Brasil</x:v>
      </x:c>
      <x:c r="D1492" s="2" t="str">
        <x:v>Moda Infantil</x:v>
      </x:c>
      <x:c r="E1492" s="11" t="n">
        <x:v>46</x:v>
      </x:c>
      <x:c r="F1492" s="12" t="n">
        <x:v>192.06</x:v>
      </x:c>
      <x:c r="G1492" s="12" t="n">
        <x:v>8834.76</x:v>
      </x:c>
      <x:c r="H1492" s="13" t="n">
        <x:v>431</x:v>
      </x:c>
      <x:c r="I1492" s="13" t="n">
        <x:f>YEAR(B1492)</x:f>
        <x:v>2024</x:v>
      </x:c>
      <x:c r="J1492" s="13" t="n">
        <x:f>MONTH(B1492)</x:f>
        <x:v>2</x:v>
      </x:c>
      <x:c r="K1492" s="14" t="n">
        <x:f>ROUND(E1492*F1492-G1492,10)</x:f>
        <x:v>0</x:v>
      </x:c>
      <x:c r="L1492" s="2"/>
      <x:c r="M1492" s="2"/>
      <x:c r="N1492" s="2"/>
      <x:c r="O1492" s="2"/>
      <x:c r="P1492" s="2"/>
      <x:c r="Q1492" s="2"/>
      <x:c r="R1492" s="2"/>
    </x:row>
    <x:row r="1493" ht="22" customHeight="1">
      <x:c r="A1493" s="2" t="n">
        <x:v>101487</x:v>
      </x:c>
      <x:c r="B1493" s="10" t="n">
        <x:v>45316</x:v>
      </x:c>
      <x:c r="C1493" s="2" t="str">
        <x:v>Brasil</x:v>
      </x:c>
      <x:c r="D1493" s="2" t="str">
        <x:v>Moda Feminina</x:v>
      </x:c>
      <x:c r="E1493" s="11" t="n">
        <x:v>24</x:v>
      </x:c>
      <x:c r="F1493" s="12" t="n">
        <x:v>32.67</x:v>
      </x:c>
      <x:c r="G1493" s="12" t="n">
        <x:v>784.08</x:v>
      </x:c>
      <x:c r="H1493" s="13" t="n">
        <x:v>255</x:v>
      </x:c>
      <x:c r="I1493" s="13" t="n">
        <x:f>YEAR(B1493)</x:f>
        <x:v>2024</x:v>
      </x:c>
      <x:c r="J1493" s="13" t="n">
        <x:f>MONTH(B1493)</x:f>
        <x:v>1</x:v>
      </x:c>
      <x:c r="K1493" s="14" t="n">
        <x:f>ROUND(E1493*F1493-G1493,10)</x:f>
        <x:v>0</x:v>
      </x:c>
      <x:c r="L1493" s="2"/>
      <x:c r="M1493" s="2"/>
      <x:c r="N1493" s="2"/>
      <x:c r="O1493" s="2"/>
      <x:c r="P1493" s="2"/>
      <x:c r="Q1493" s="2"/>
      <x:c r="R1493" s="2"/>
    </x:row>
    <x:row r="1494" ht="22" customHeight="1">
      <x:c r="A1494" s="2" t="n">
        <x:v>101488</x:v>
      </x:c>
      <x:c r="B1494" s="10" t="n">
        <x:v>45547</x:v>
      </x:c>
      <x:c r="C1494" s="2" t="str">
        <x:v>Brasil</x:v>
      </x:c>
      <x:c r="D1494" s="2" t="str">
        <x:v>Acessórios</x:v>
      </x:c>
      <x:c r="E1494" s="11" t="n">
        <x:v>16</x:v>
      </x:c>
      <x:c r="F1494" s="12" t="n">
        <x:v>83.89</x:v>
      </x:c>
      <x:c r="G1494" s="12" t="n">
        <x:v>1342.24</x:v>
      </x:c>
      <x:c r="H1494" s="13" t="n">
        <x:v>154</x:v>
      </x:c>
      <x:c r="I1494" s="13" t="n">
        <x:f>YEAR(B1494)</x:f>
        <x:v>2024</x:v>
      </x:c>
      <x:c r="J1494" s="13" t="n">
        <x:f>MONTH(B1494)</x:f>
        <x:v>9</x:v>
      </x:c>
      <x:c r="K1494" s="14" t="n">
        <x:f>ROUND(E1494*F1494-G1494,10)</x:f>
        <x:v>0</x:v>
      </x:c>
      <x:c r="L1494" s="2"/>
      <x:c r="M1494" s="2"/>
      <x:c r="N1494" s="2"/>
      <x:c r="O1494" s="2"/>
      <x:c r="P1494" s="2"/>
      <x:c r="Q1494" s="2"/>
      <x:c r="R1494" s="2"/>
    </x:row>
    <x:row r="1495" ht="22" customHeight="1">
      <x:c r="A1495" s="2" t="n">
        <x:v>101489</x:v>
      </x:c>
      <x:c r="B1495" s="10" t="n">
        <x:v>45129</x:v>
      </x:c>
      <x:c r="C1495" s="2" t="str">
        <x:v>México</x:v>
      </x:c>
      <x:c r="D1495" s="2" t="str">
        <x:v>Calçados</x:v>
      </x:c>
      <x:c r="E1495" s="11" t="n">
        <x:v>13</x:v>
      </x:c>
      <x:c r="F1495" s="12" t="n">
        <x:v>110.57</x:v>
      </x:c>
      <x:c r="G1495" s="12" t="n">
        <x:v>1437.41</x:v>
      </x:c>
      <x:c r="H1495" s="13" t="n">
        <x:v>367</x:v>
      </x:c>
      <x:c r="I1495" s="13" t="n">
        <x:f>YEAR(B1495)</x:f>
        <x:v>2023</x:v>
      </x:c>
      <x:c r="J1495" s="13" t="n">
        <x:f>MONTH(B1495)</x:f>
        <x:v>7</x:v>
      </x:c>
      <x:c r="K1495" s="14" t="n">
        <x:f>ROUND(E1495*F1495-G1495,10)</x:f>
        <x:v>0</x:v>
      </x:c>
      <x:c r="L1495" s="2"/>
      <x:c r="M1495" s="2"/>
      <x:c r="N1495" s="2"/>
      <x:c r="O1495" s="2"/>
      <x:c r="P1495" s="2"/>
      <x:c r="Q1495" s="2"/>
      <x:c r="R1495" s="2"/>
    </x:row>
    <x:row r="1496" ht="22" customHeight="1">
      <x:c r="A1496" s="2" t="n">
        <x:v>101490</x:v>
      </x:c>
      <x:c r="B1496" s="10" t="n">
        <x:v>45476</x:v>
      </x:c>
      <x:c r="C1496" s="2" t="str">
        <x:v>Chile</x:v>
      </x:c>
      <x:c r="D1496" s="2" t="str">
        <x:v>Calçados</x:v>
      </x:c>
      <x:c r="E1496" s="11" t="n">
        <x:v>25</x:v>
      </x:c>
      <x:c r="F1496" s="12" t="n">
        <x:v>108.79</x:v>
      </x:c>
      <x:c r="G1496" s="12" t="n">
        <x:v>2719.75</x:v>
      </x:c>
      <x:c r="H1496" s="13" t="n">
        <x:v>340</x:v>
      </x:c>
      <x:c r="I1496" s="13" t="n">
        <x:f>YEAR(B1496)</x:f>
        <x:v>2024</x:v>
      </x:c>
      <x:c r="J1496" s="13" t="n">
        <x:f>MONTH(B1496)</x:f>
        <x:v>7</x:v>
      </x:c>
      <x:c r="K1496" s="14" t="n">
        <x:f>ROUND(E1496*F1496-G1496,10)</x:f>
        <x:v>0</x:v>
      </x:c>
      <x:c r="L1496" s="2"/>
      <x:c r="M1496" s="2"/>
      <x:c r="N1496" s="2"/>
      <x:c r="O1496" s="2"/>
      <x:c r="P1496" s="2"/>
      <x:c r="Q1496" s="2"/>
      <x:c r="R1496" s="2"/>
    </x:row>
    <x:row r="1497" ht="22" customHeight="1">
      <x:c r="A1497" s="2" t="n">
        <x:v>101491</x:v>
      </x:c>
      <x:c r="B1497" s="10" t="n">
        <x:v>45302</x:v>
      </x:c>
      <x:c r="C1497" s="2" t="str">
        <x:v>Argentina</x:v>
      </x:c>
      <x:c r="D1497" s="2" t="str">
        <x:v>Calçados</x:v>
      </x:c>
      <x:c r="E1497" s="11" t="n">
        <x:v>4</x:v>
      </x:c>
      <x:c r="F1497" s="12" t="n">
        <x:v>20.71</x:v>
      </x:c>
      <x:c r="G1497" s="12" t="n">
        <x:v>82.84</x:v>
      </x:c>
      <x:c r="H1497" s="13" t="n">
        <x:v>299</x:v>
      </x:c>
      <x:c r="I1497" s="13" t="n">
        <x:f>YEAR(B1497)</x:f>
        <x:v>2024</x:v>
      </x:c>
      <x:c r="J1497" s="13" t="n">
        <x:f>MONTH(B1497)</x:f>
        <x:v>1</x:v>
      </x:c>
      <x:c r="K1497" s="14" t="n">
        <x:f>ROUND(E1497*F1497-G1497,10)</x:f>
        <x:v>0</x:v>
      </x:c>
      <x:c r="L1497" s="2"/>
      <x:c r="M1497" s="2"/>
      <x:c r="N1497" s="2"/>
      <x:c r="O1497" s="2"/>
      <x:c r="P1497" s="2"/>
      <x:c r="Q1497" s="2"/>
      <x:c r="R1497" s="2"/>
    </x:row>
    <x:row r="1498" ht="22" customHeight="1">
      <x:c r="A1498" s="2" t="n">
        <x:v>101492</x:v>
      </x:c>
      <x:c r="B1498" s="10" t="n">
        <x:v>45434</x:v>
      </x:c>
      <x:c r="C1498" s="2" t="str">
        <x:v>Brasil</x:v>
      </x:c>
      <x:c r="D1498" s="2" t="str">
        <x:v>Moda Masculina</x:v>
      </x:c>
      <x:c r="E1498" s="11" t="n">
        <x:v>11</x:v>
      </x:c>
      <x:c r="F1498" s="12" t="n">
        <x:v>110.21</x:v>
      </x:c>
      <x:c r="G1498" s="12" t="n">
        <x:v>1212.31</x:v>
      </x:c>
      <x:c r="H1498" s="13" t="n">
        <x:v>62</x:v>
      </x:c>
      <x:c r="I1498" s="13" t="n">
        <x:f>YEAR(B1498)</x:f>
        <x:v>2024</x:v>
      </x:c>
      <x:c r="J1498" s="13" t="n">
        <x:f>MONTH(B1498)</x:f>
        <x:v>5</x:v>
      </x:c>
      <x:c r="K1498" s="14" t="n">
        <x:f>ROUND(E1498*F1498-G1498,10)</x:f>
        <x:v>0</x:v>
      </x:c>
      <x:c r="L1498" s="2"/>
      <x:c r="M1498" s="2"/>
      <x:c r="N1498" s="2"/>
      <x:c r="O1498" s="2"/>
      <x:c r="P1498" s="2"/>
      <x:c r="Q1498" s="2"/>
      <x:c r="R1498" s="2"/>
    </x:row>
    <x:row r="1499" ht="22" customHeight="1">
      <x:c r="A1499" s="2" t="n">
        <x:v>101493</x:v>
      </x:c>
      <x:c r="B1499" s="10" t="n">
        <x:v>45035</x:v>
      </x:c>
      <x:c r="C1499" s="2" t="str">
        <x:v>Chile</x:v>
      </x:c>
      <x:c r="D1499" s="2" t="str">
        <x:v>Moda Feminina</x:v>
      </x:c>
      <x:c r="E1499" s="11" t="n">
        <x:v>32</x:v>
      </x:c>
      <x:c r="F1499" s="12" t="n">
        <x:v>89.08</x:v>
      </x:c>
      <x:c r="G1499" s="12" t="n">
        <x:v>2850.56</x:v>
      </x:c>
      <x:c r="H1499" s="13" t="n">
        <x:v>212</x:v>
      </x:c>
      <x:c r="I1499" s="13" t="n">
        <x:f>YEAR(B1499)</x:f>
        <x:v>2023</x:v>
      </x:c>
      <x:c r="J1499" s="13" t="n">
        <x:f>MONTH(B1499)</x:f>
        <x:v>4</x:v>
      </x:c>
      <x:c r="K1499" s="14" t="n">
        <x:f>ROUND(E1499*F1499-G1499,10)</x:f>
        <x:v>0</x:v>
      </x:c>
      <x:c r="L1499" s="2"/>
      <x:c r="M1499" s="2"/>
      <x:c r="N1499" s="2"/>
      <x:c r="O1499" s="2"/>
      <x:c r="P1499" s="2"/>
      <x:c r="Q1499" s="2"/>
      <x:c r="R1499" s="2"/>
    </x:row>
    <x:row r="1500" ht="22" customHeight="1">
      <x:c r="A1500" s="2" t="n">
        <x:v>101494</x:v>
      </x:c>
      <x:c r="B1500" s="10" t="n">
        <x:v>45247</x:v>
      </x:c>
      <x:c r="C1500" s="2" t="str">
        <x:v>Chile</x:v>
      </x:c>
      <x:c r="D1500" s="2" t="str">
        <x:v>Acessórios</x:v>
      </x:c>
      <x:c r="E1500" s="11" t="n">
        <x:v>49</x:v>
      </x:c>
      <x:c r="F1500" s="12" t="n">
        <x:v>194.97</x:v>
      </x:c>
      <x:c r="G1500" s="12" t="n">
        <x:v>9553.53</x:v>
      </x:c>
      <x:c r="H1500" s="13" t="n">
        <x:v>92</x:v>
      </x:c>
      <x:c r="I1500" s="13" t="n">
        <x:f>YEAR(B1500)</x:f>
        <x:v>2023</x:v>
      </x:c>
      <x:c r="J1500" s="13" t="n">
        <x:f>MONTH(B1500)</x:f>
        <x:v>11</x:v>
      </x:c>
      <x:c r="K1500" s="14" t="n">
        <x:f>ROUND(E1500*F1500-G1500,10)</x:f>
        <x:v>0</x:v>
      </x:c>
      <x:c r="L1500" s="2"/>
      <x:c r="M1500" s="2"/>
      <x:c r="N1500" s="2"/>
      <x:c r="O1500" s="2"/>
      <x:c r="P1500" s="2"/>
      <x:c r="Q1500" s="2"/>
      <x:c r="R1500" s="2"/>
    </x:row>
    <x:row r="1501" ht="22" customHeight="1">
      <x:c r="A1501" s="2" t="n">
        <x:v>101495</x:v>
      </x:c>
      <x:c r="B1501" s="10" t="n">
        <x:v>45524</x:v>
      </x:c>
      <x:c r="C1501" s="2" t="str">
        <x:v>Argentina</x:v>
      </x:c>
      <x:c r="D1501" s="2" t="str">
        <x:v>Moda Masculina</x:v>
      </x:c>
      <x:c r="E1501" s="11" t="n">
        <x:v>7</x:v>
      </x:c>
      <x:c r="F1501" s="12" t="n">
        <x:v>48.65</x:v>
      </x:c>
      <x:c r="G1501" s="12" t="n">
        <x:v>340.55</x:v>
      </x:c>
      <x:c r="H1501" s="13" t="n">
        <x:v>435</x:v>
      </x:c>
      <x:c r="I1501" s="13" t="n">
        <x:f>YEAR(B1501)</x:f>
        <x:v>2024</x:v>
      </x:c>
      <x:c r="J1501" s="13" t="n">
        <x:f>MONTH(B1501)</x:f>
        <x:v>8</x:v>
      </x:c>
      <x:c r="K1501" s="14" t="n">
        <x:f>ROUND(E1501*F1501-G1501,10)</x:f>
        <x:v>0</x:v>
      </x:c>
      <x:c r="L1501" s="2"/>
      <x:c r="M1501" s="2"/>
      <x:c r="N1501" s="2"/>
      <x:c r="O1501" s="2"/>
      <x:c r="P1501" s="2"/>
      <x:c r="Q1501" s="2"/>
      <x:c r="R1501" s="2"/>
    </x:row>
    <x:row r="1502" ht="22" customHeight="1">
      <x:c r="A1502" s="2" t="n">
        <x:v>101496</x:v>
      </x:c>
      <x:c r="B1502" s="10" t="n">
        <x:v>45186</x:v>
      </x:c>
      <x:c r="C1502" s="2" t="str">
        <x:v>México</x:v>
      </x:c>
      <x:c r="D1502" s="2" t="str">
        <x:v>Moda Infantil</x:v>
      </x:c>
      <x:c r="E1502" s="11" t="n">
        <x:v>46</x:v>
      </x:c>
      <x:c r="F1502" s="12" t="n">
        <x:v>83.75</x:v>
      </x:c>
      <x:c r="G1502" s="12" t="n">
        <x:v>3852.5</x:v>
      </x:c>
      <x:c r="H1502" s="13" t="n">
        <x:v>489</x:v>
      </x:c>
      <x:c r="I1502" s="13" t="n">
        <x:f>YEAR(B1502)</x:f>
        <x:v>2023</x:v>
      </x:c>
      <x:c r="J1502" s="13" t="n">
        <x:f>MONTH(B1502)</x:f>
        <x:v>9</x:v>
      </x:c>
      <x:c r="K1502" s="14" t="n">
        <x:f>ROUND(E1502*F1502-G1502,10)</x:f>
        <x:v>0</x:v>
      </x:c>
      <x:c r="L1502" s="2"/>
      <x:c r="M1502" s="2"/>
      <x:c r="N1502" s="2"/>
      <x:c r="O1502" s="2"/>
      <x:c r="P1502" s="2"/>
      <x:c r="Q1502" s="2"/>
      <x:c r="R1502" s="2"/>
    </x:row>
    <x:row r="1503" ht="22" customHeight="1">
      <x:c r="A1503" s="2" t="n">
        <x:v>101497</x:v>
      </x:c>
      <x:c r="B1503" s="10" t="n">
        <x:v>45156</x:v>
      </x:c>
      <x:c r="C1503" s="2" t="str">
        <x:v>Colômbia</x:v>
      </x:c>
      <x:c r="D1503" s="2" t="str">
        <x:v>Acessórios</x:v>
      </x:c>
      <x:c r="E1503" s="11" t="n">
        <x:v>11</x:v>
      </x:c>
      <x:c r="F1503" s="12" t="n">
        <x:v>95.51</x:v>
      </x:c>
      <x:c r="G1503" s="12" t="n">
        <x:v>1050.61</x:v>
      </x:c>
      <x:c r="H1503" s="13" t="n">
        <x:v>160</x:v>
      </x:c>
      <x:c r="I1503" s="13" t="n">
        <x:f>YEAR(B1503)</x:f>
        <x:v>2023</x:v>
      </x:c>
      <x:c r="J1503" s="13" t="n">
        <x:f>MONTH(B1503)</x:f>
        <x:v>8</x:v>
      </x:c>
      <x:c r="K1503" s="14" t="n">
        <x:f>ROUND(E1503*F1503-G1503,10)</x:f>
        <x:v>0</x:v>
      </x:c>
      <x:c r="L1503" s="2"/>
      <x:c r="M1503" s="2"/>
      <x:c r="N1503" s="2"/>
      <x:c r="O1503" s="2"/>
      <x:c r="P1503" s="2"/>
      <x:c r="Q1503" s="2"/>
      <x:c r="R1503" s="2"/>
    </x:row>
    <x:row r="1504" ht="22" customHeight="1">
      <x:c r="A1504" s="2" t="n">
        <x:v>101498</x:v>
      </x:c>
      <x:c r="B1504" s="10" t="n">
        <x:v>45388</x:v>
      </x:c>
      <x:c r="C1504" s="2" t="str">
        <x:v>Colômbia</x:v>
      </x:c>
      <x:c r="D1504" s="2" t="str">
        <x:v>Acessórios</x:v>
      </x:c>
      <x:c r="E1504" s="11" t="n">
        <x:v>28</x:v>
      </x:c>
      <x:c r="F1504" s="12" t="n">
        <x:v>90.32</x:v>
      </x:c>
      <x:c r="G1504" s="12" t="n">
        <x:v>2528.96</x:v>
      </x:c>
      <x:c r="H1504" s="13" t="n">
        <x:v>254</x:v>
      </x:c>
      <x:c r="I1504" s="13" t="n">
        <x:f>YEAR(B1504)</x:f>
        <x:v>2024</x:v>
      </x:c>
      <x:c r="J1504" s="13" t="n">
        <x:f>MONTH(B1504)</x:f>
        <x:v>4</x:v>
      </x:c>
      <x:c r="K1504" s="14" t="n">
        <x:f>ROUND(E1504*F1504-G1504,10)</x:f>
        <x:v>0</x:v>
      </x:c>
      <x:c r="L1504" s="2"/>
      <x:c r="M1504" s="2"/>
      <x:c r="N1504" s="2"/>
      <x:c r="O1504" s="2"/>
      <x:c r="P1504" s="2"/>
      <x:c r="Q1504" s="2"/>
      <x:c r="R1504" s="2"/>
    </x:row>
    <x:row r="1505" ht="22" customHeight="1">
      <x:c r="A1505" s="2" t="n">
        <x:v>101499</x:v>
      </x:c>
      <x:c r="B1505" s="10" t="n">
        <x:v>45584</x:v>
      </x:c>
      <x:c r="C1505" s="2" t="str">
        <x:v>Chile</x:v>
      </x:c>
      <x:c r="D1505" s="2" t="str">
        <x:v>Acessórios</x:v>
      </x:c>
      <x:c r="E1505" s="11" t="n">
        <x:v>41</x:v>
      </x:c>
      <x:c r="F1505" s="12" t="n">
        <x:v>139.85</x:v>
      </x:c>
      <x:c r="G1505" s="12" t="n">
        <x:v>5733.849999999999</x:v>
      </x:c>
      <x:c r="H1505" s="13" t="n">
        <x:v>433</x:v>
      </x:c>
      <x:c r="I1505" s="13" t="n">
        <x:f>YEAR(B1505)</x:f>
        <x:v>2024</x:v>
      </x:c>
      <x:c r="J1505" s="13" t="n">
        <x:f>MONTH(B1505)</x:f>
        <x:v>10</x:v>
      </x:c>
      <x:c r="K1505" s="14" t="n">
        <x:f>ROUND(E1505*F1505-G1505,10)</x:f>
        <x:v>0</x:v>
      </x:c>
      <x:c r="L1505" s="2"/>
      <x:c r="M1505" s="2"/>
      <x:c r="N1505" s="2"/>
      <x:c r="O1505" s="2"/>
      <x:c r="P1505" s="2"/>
      <x:c r="Q1505" s="2"/>
      <x:c r="R1505" s="2"/>
    </x:row>
    <x:row r="1506" ht="22" customHeight="1">
      <x:c r="A1506" s="2" t="n">
        <x:v>101500</x:v>
      </x:c>
      <x:c r="B1506" s="10" t="n">
        <x:v>45052</x:v>
      </x:c>
      <x:c r="C1506" s="2" t="str">
        <x:v>Peru</x:v>
      </x:c>
      <x:c r="D1506" s="2" t="str">
        <x:v>Calçados</x:v>
      </x:c>
      <x:c r="E1506" s="11" t="n">
        <x:v>23</x:v>
      </x:c>
      <x:c r="F1506" s="12" t="n">
        <x:v>58.79</x:v>
      </x:c>
      <x:c r="G1506" s="12" t="n">
        <x:v>1352.17</x:v>
      </x:c>
      <x:c r="H1506" s="13" t="n">
        <x:v>305</x:v>
      </x:c>
      <x:c r="I1506" s="13" t="n">
        <x:f>YEAR(B1506)</x:f>
        <x:v>2023</x:v>
      </x:c>
      <x:c r="J1506" s="13" t="n">
        <x:f>MONTH(B1506)</x:f>
        <x:v>5</x:v>
      </x:c>
      <x:c r="K1506" s="14" t="n">
        <x:f>ROUND(E1506*F1506-G1506,10)</x:f>
        <x:v>0</x:v>
      </x:c>
      <x:c r="L1506" s="2"/>
      <x:c r="M1506" s="2"/>
      <x:c r="N1506" s="2"/>
      <x:c r="O1506" s="2"/>
      <x:c r="P1506" s="2"/>
      <x:c r="Q1506" s="2"/>
      <x:c r="R1506" s="2"/>
    </x:row>
    <x:row r="1507" ht="22" customHeight="1">
      <x:c r="A1507" s="2" t="n">
        <x:v>101501</x:v>
      </x:c>
      <x:c r="B1507" s="10" t="n">
        <x:v>44989</x:v>
      </x:c>
      <x:c r="C1507" s="2" t="str">
        <x:v>Peru</x:v>
      </x:c>
      <x:c r="D1507" s="2" t="str">
        <x:v>Acessórios</x:v>
      </x:c>
      <x:c r="E1507" s="11" t="n">
        <x:v>45</x:v>
      </x:c>
      <x:c r="F1507" s="12" t="n">
        <x:v>59.79</x:v>
      </x:c>
      <x:c r="G1507" s="12" t="n">
        <x:v>2690.55</x:v>
      </x:c>
      <x:c r="H1507" s="13" t="n">
        <x:v>356</x:v>
      </x:c>
      <x:c r="I1507" s="13" t="n">
        <x:f>YEAR(B1507)</x:f>
        <x:v>2023</x:v>
      </x:c>
      <x:c r="J1507" s="13" t="n">
        <x:f>MONTH(B1507)</x:f>
        <x:v>3</x:v>
      </x:c>
      <x:c r="K1507" s="14" t="n">
        <x:f>ROUND(E1507*F1507-G1507,10)</x:f>
        <x:v>0</x:v>
      </x:c>
      <x:c r="L1507" s="2"/>
      <x:c r="M1507" s="2"/>
      <x:c r="N1507" s="2"/>
      <x:c r="O1507" s="2"/>
      <x:c r="P1507" s="2"/>
      <x:c r="Q1507" s="2"/>
      <x:c r="R1507" s="2"/>
    </x:row>
    <x:row r="1508" ht="22" customHeight="1">
      <x:c r="A1508" s="2" t="n">
        <x:v>101502</x:v>
      </x:c>
      <x:c r="B1508" s="10" t="n">
        <x:v>45447</x:v>
      </x:c>
      <x:c r="C1508" s="2" t="str">
        <x:v>Argentina</x:v>
      </x:c>
      <x:c r="D1508" s="2" t="str">
        <x:v>Moda Feminina</x:v>
      </x:c>
      <x:c r="E1508" s="11" t="n">
        <x:v>23</x:v>
      </x:c>
      <x:c r="F1508" s="12" t="n">
        <x:v>151.26</x:v>
      </x:c>
      <x:c r="G1508" s="12" t="n">
        <x:v>3478.98</x:v>
      </x:c>
      <x:c r="H1508" s="13" t="n">
        <x:v>487</x:v>
      </x:c>
      <x:c r="I1508" s="13" t="n">
        <x:f>YEAR(B1508)</x:f>
        <x:v>2024</x:v>
      </x:c>
      <x:c r="J1508" s="13" t="n">
        <x:f>MONTH(B1508)</x:f>
        <x:v>6</x:v>
      </x:c>
      <x:c r="K1508" s="14" t="n">
        <x:f>ROUND(E1508*F1508-G1508,10)</x:f>
        <x:v>0</x:v>
      </x:c>
      <x:c r="L1508" s="2"/>
      <x:c r="M1508" s="2"/>
      <x:c r="N1508" s="2"/>
      <x:c r="O1508" s="2"/>
      <x:c r="P1508" s="2"/>
      <x:c r="Q1508" s="2"/>
      <x:c r="R1508" s="2"/>
    </x:row>
    <x:row r="1509" ht="22" customHeight="1">
      <x:c r="A1509" s="2" t="n">
        <x:v>101503</x:v>
      </x:c>
      <x:c r="B1509" s="10" t="n">
        <x:v>45454</x:v>
      </x:c>
      <x:c r="C1509" s="2" t="str">
        <x:v>Colômbia</x:v>
      </x:c>
      <x:c r="D1509" s="2" t="str">
        <x:v>Acessórios</x:v>
      </x:c>
      <x:c r="E1509" s="11" t="n">
        <x:v>28</x:v>
      </x:c>
      <x:c r="F1509" s="12" t="n">
        <x:v>110.05</x:v>
      </x:c>
      <x:c r="G1509" s="12" t="n">
        <x:v>3081.4</x:v>
      </x:c>
      <x:c r="H1509" s="13" t="n">
        <x:v>193</x:v>
      </x:c>
      <x:c r="I1509" s="13" t="n">
        <x:f>YEAR(B1509)</x:f>
        <x:v>2024</x:v>
      </x:c>
      <x:c r="J1509" s="13" t="n">
        <x:f>MONTH(B1509)</x:f>
        <x:v>6</x:v>
      </x:c>
      <x:c r="K1509" s="14" t="n">
        <x:f>ROUND(E1509*F1509-G1509,10)</x:f>
        <x:v>0</x:v>
      </x:c>
      <x:c r="L1509" s="2"/>
      <x:c r="M1509" s="2"/>
      <x:c r="N1509" s="2"/>
      <x:c r="O1509" s="2"/>
      <x:c r="P1509" s="2"/>
      <x:c r="Q1509" s="2"/>
      <x:c r="R1509" s="2"/>
    </x:row>
    <x:row r="1510" ht="22" customHeight="1">
      <x:c r="A1510" s="2" t="n">
        <x:v>101504</x:v>
      </x:c>
      <x:c r="B1510" s="10" t="n">
        <x:v>45368</x:v>
      </x:c>
      <x:c r="C1510" s="2" t="str">
        <x:v>Chile</x:v>
      </x:c>
      <x:c r="D1510" s="2" t="str">
        <x:v>Calçados</x:v>
      </x:c>
      <x:c r="E1510" s="11" t="n">
        <x:v>43</x:v>
      </x:c>
      <x:c r="F1510" s="12" t="n">
        <x:v>94.73</x:v>
      </x:c>
      <x:c r="G1510" s="12" t="n">
        <x:v>4073.39</x:v>
      </x:c>
      <x:c r="H1510" s="13" t="n">
        <x:v>195</x:v>
      </x:c>
      <x:c r="I1510" s="13" t="n">
        <x:f>YEAR(B1510)</x:f>
        <x:v>2024</x:v>
      </x:c>
      <x:c r="J1510" s="13" t="n">
        <x:f>MONTH(B1510)</x:f>
        <x:v>3</x:v>
      </x:c>
      <x:c r="K1510" s="14" t="n">
        <x:f>ROUND(E1510*F1510-G1510,10)</x:f>
        <x:v>0</x:v>
      </x:c>
      <x:c r="L1510" s="2"/>
      <x:c r="M1510" s="2"/>
      <x:c r="N1510" s="2"/>
      <x:c r="O1510" s="2"/>
      <x:c r="P1510" s="2"/>
      <x:c r="Q1510" s="2"/>
      <x:c r="R1510" s="2"/>
    </x:row>
    <x:row r="1511" ht="22" customHeight="1">
      <x:c r="A1511" s="2" t="n">
        <x:v>101505</x:v>
      </x:c>
      <x:c r="B1511" s="10" t="n">
        <x:v>45110</x:v>
      </x:c>
      <x:c r="C1511" s="2" t="str">
        <x:v>México</x:v>
      </x:c>
      <x:c r="D1511" s="2" t="str">
        <x:v>Acessórios</x:v>
      </x:c>
      <x:c r="E1511" s="11" t="n">
        <x:v>47</x:v>
      </x:c>
      <x:c r="F1511" s="12" t="n">
        <x:v>50.46</x:v>
      </x:c>
      <x:c r="G1511" s="12" t="n">
        <x:v>2371.62</x:v>
      </x:c>
      <x:c r="H1511" s="13" t="n">
        <x:v>440</x:v>
      </x:c>
      <x:c r="I1511" s="13" t="n">
        <x:f>YEAR(B1511)</x:f>
        <x:v>2023</x:v>
      </x:c>
      <x:c r="J1511" s="13" t="n">
        <x:f>MONTH(B1511)</x:f>
        <x:v>7</x:v>
      </x:c>
      <x:c r="K1511" s="14" t="n">
        <x:f>ROUND(E1511*F1511-G1511,10)</x:f>
        <x:v>0</x:v>
      </x:c>
      <x:c r="L1511" s="2"/>
      <x:c r="M1511" s="2"/>
      <x:c r="N1511" s="2"/>
      <x:c r="O1511" s="2"/>
      <x:c r="P1511" s="2"/>
      <x:c r="Q1511" s="2"/>
      <x:c r="R1511" s="2"/>
    </x:row>
    <x:row r="1512" ht="22" customHeight="1">
      <x:c r="A1512" s="2" t="n">
        <x:v>101506</x:v>
      </x:c>
      <x:c r="B1512" s="10" t="n">
        <x:v>45019</x:v>
      </x:c>
      <x:c r="C1512" s="2" t="str">
        <x:v>Colômbia</x:v>
      </x:c>
      <x:c r="D1512" s="2" t="str">
        <x:v>Moda Infantil</x:v>
      </x:c>
      <x:c r="E1512" s="11" t="n">
        <x:v>26</x:v>
      </x:c>
      <x:c r="F1512" s="12" t="n">
        <x:v>53.75</x:v>
      </x:c>
      <x:c r="G1512" s="12" t="n">
        <x:v>1397.5</x:v>
      </x:c>
      <x:c r="H1512" s="13" t="n">
        <x:v>350</x:v>
      </x:c>
      <x:c r="I1512" s="13" t="n">
        <x:f>YEAR(B1512)</x:f>
        <x:v>2023</x:v>
      </x:c>
      <x:c r="J1512" s="13" t="n">
        <x:f>MONTH(B1512)</x:f>
        <x:v>4</x:v>
      </x:c>
      <x:c r="K1512" s="14" t="n">
        <x:f>ROUND(E1512*F1512-G1512,10)</x:f>
        <x:v>0</x:v>
      </x:c>
      <x:c r="L1512" s="2"/>
      <x:c r="M1512" s="2"/>
      <x:c r="N1512" s="2"/>
      <x:c r="O1512" s="2"/>
      <x:c r="P1512" s="2"/>
      <x:c r="Q1512" s="2"/>
      <x:c r="R1512" s="2"/>
    </x:row>
    <x:row r="1513" ht="22" customHeight="1">
      <x:c r="A1513" s="2" t="n">
        <x:v>101507</x:v>
      </x:c>
      <x:c r="B1513" s="10" t="n">
        <x:v>45325</x:v>
      </x:c>
      <x:c r="C1513" s="2" t="str">
        <x:v>Chile</x:v>
      </x:c>
      <x:c r="D1513" s="2" t="str">
        <x:v>Moda Infantil</x:v>
      </x:c>
      <x:c r="E1513" s="11" t="n">
        <x:v>25</x:v>
      </x:c>
      <x:c r="F1513" s="12" t="n">
        <x:v>21.9</x:v>
      </x:c>
      <x:c r="G1513" s="12" t="n">
        <x:v>547.5</x:v>
      </x:c>
      <x:c r="H1513" s="13" t="n">
        <x:v>213</x:v>
      </x:c>
      <x:c r="I1513" s="13" t="n">
        <x:f>YEAR(B1513)</x:f>
        <x:v>2024</x:v>
      </x:c>
      <x:c r="J1513" s="13" t="n">
        <x:f>MONTH(B1513)</x:f>
        <x:v>2</x:v>
      </x:c>
      <x:c r="K1513" s="14" t="n">
        <x:f>ROUND(E1513*F1513-G1513,10)</x:f>
        <x:v>0</x:v>
      </x:c>
      <x:c r="L1513" s="2"/>
      <x:c r="M1513" s="2"/>
      <x:c r="N1513" s="2"/>
      <x:c r="O1513" s="2"/>
      <x:c r="P1513" s="2"/>
      <x:c r="Q1513" s="2"/>
      <x:c r="R1513" s="2"/>
    </x:row>
    <x:row r="1514" ht="22" customHeight="1">
      <x:c r="A1514" s="2" t="n">
        <x:v>101508</x:v>
      </x:c>
      <x:c r="B1514" s="10" t="n">
        <x:v>45125</x:v>
      </x:c>
      <x:c r="C1514" s="2" t="str">
        <x:v>Chile</x:v>
      </x:c>
      <x:c r="D1514" s="2" t="str">
        <x:v>Calçados</x:v>
      </x:c>
      <x:c r="E1514" s="11" t="n">
        <x:v>29</x:v>
      </x:c>
      <x:c r="F1514" s="12" t="n">
        <x:v>36.46</x:v>
      </x:c>
      <x:c r="G1514" s="12" t="n">
        <x:v>1057.34</x:v>
      </x:c>
      <x:c r="H1514" s="13" t="n">
        <x:v>218</x:v>
      </x:c>
      <x:c r="I1514" s="13" t="n">
        <x:f>YEAR(B1514)</x:f>
        <x:v>2023</x:v>
      </x:c>
      <x:c r="J1514" s="13" t="n">
        <x:f>MONTH(B1514)</x:f>
        <x:v>7</x:v>
      </x:c>
      <x:c r="K1514" s="14" t="n">
        <x:f>ROUND(E1514*F1514-G1514,10)</x:f>
        <x:v>0</x:v>
      </x:c>
      <x:c r="L1514" s="2"/>
      <x:c r="M1514" s="2"/>
      <x:c r="N1514" s="2"/>
      <x:c r="O1514" s="2"/>
      <x:c r="P1514" s="2"/>
      <x:c r="Q1514" s="2"/>
      <x:c r="R1514" s="2"/>
    </x:row>
    <x:row r="1515" ht="22" customHeight="1">
      <x:c r="A1515" s="2" t="n">
        <x:v>101509</x:v>
      </x:c>
      <x:c r="B1515" s="10" t="n">
        <x:v>45312</x:v>
      </x:c>
      <x:c r="C1515" s="2" t="str">
        <x:v>Brasil</x:v>
      </x:c>
      <x:c r="D1515" s="2" t="str">
        <x:v>Moda Feminina</x:v>
      </x:c>
      <x:c r="E1515" s="11" t="n">
        <x:v>19</x:v>
      </x:c>
      <x:c r="F1515" s="12" t="n">
        <x:v>120.23</x:v>
      </x:c>
      <x:c r="G1515" s="12" t="n">
        <x:v>2284.37</x:v>
      </x:c>
      <x:c r="H1515" s="13" t="n">
        <x:v>347</x:v>
      </x:c>
      <x:c r="I1515" s="13" t="n">
        <x:f>YEAR(B1515)</x:f>
        <x:v>2024</x:v>
      </x:c>
      <x:c r="J1515" s="13" t="n">
        <x:f>MONTH(B1515)</x:f>
        <x:v>1</x:v>
      </x:c>
      <x:c r="K1515" s="14" t="n">
        <x:f>ROUND(E1515*F1515-G1515,10)</x:f>
        <x:v>0</x:v>
      </x:c>
      <x:c r="L1515" s="2"/>
      <x:c r="M1515" s="2"/>
      <x:c r="N1515" s="2"/>
      <x:c r="O1515" s="2"/>
      <x:c r="P1515" s="2"/>
      <x:c r="Q1515" s="2"/>
      <x:c r="R1515" s="2"/>
    </x:row>
    <x:row r="1516" ht="22" customHeight="1">
      <x:c r="A1516" s="2" t="n">
        <x:v>101510</x:v>
      </x:c>
      <x:c r="B1516" s="10" t="n">
        <x:v>45422</x:v>
      </x:c>
      <x:c r="C1516" s="2" t="str">
        <x:v>México</x:v>
      </x:c>
      <x:c r="D1516" s="2" t="str">
        <x:v>Moda Feminina</x:v>
      </x:c>
      <x:c r="E1516" s="11" t="n">
        <x:v>33</x:v>
      </x:c>
      <x:c r="F1516" s="12" t="n">
        <x:v>180.54</x:v>
      </x:c>
      <x:c r="G1516" s="12" t="n">
        <x:v>5957.82</x:v>
      </x:c>
      <x:c r="H1516" s="13" t="n">
        <x:v>282</x:v>
      </x:c>
      <x:c r="I1516" s="13" t="n">
        <x:f>YEAR(B1516)</x:f>
        <x:v>2024</x:v>
      </x:c>
      <x:c r="J1516" s="13" t="n">
        <x:f>MONTH(B1516)</x:f>
        <x:v>5</x:v>
      </x:c>
      <x:c r="K1516" s="14" t="n">
        <x:f>ROUND(E1516*F1516-G1516,10)</x:f>
        <x:v>0</x:v>
      </x:c>
      <x:c r="L1516" s="2"/>
      <x:c r="M1516" s="2"/>
      <x:c r="N1516" s="2"/>
      <x:c r="O1516" s="2"/>
      <x:c r="P1516" s="2"/>
      <x:c r="Q1516" s="2"/>
      <x:c r="R1516" s="2"/>
    </x:row>
    <x:row r="1517" ht="22" customHeight="1">
      <x:c r="A1517" s="2" t="n">
        <x:v>101511</x:v>
      </x:c>
      <x:c r="B1517" s="10" t="n">
        <x:v>45153</x:v>
      </x:c>
      <x:c r="C1517" s="2" t="str">
        <x:v>Brasil</x:v>
      </x:c>
      <x:c r="D1517" s="2" t="str">
        <x:v>Moda Masculina</x:v>
      </x:c>
      <x:c r="E1517" s="11" t="n">
        <x:v>36</x:v>
      </x:c>
      <x:c r="F1517" s="12" t="n">
        <x:v>71.69</x:v>
      </x:c>
      <x:c r="G1517" s="12" t="n">
        <x:v>2580.84</x:v>
      </x:c>
      <x:c r="H1517" s="13" t="n">
        <x:v>440</x:v>
      </x:c>
      <x:c r="I1517" s="13" t="n">
        <x:f>YEAR(B1517)</x:f>
        <x:v>2023</x:v>
      </x:c>
      <x:c r="J1517" s="13" t="n">
        <x:f>MONTH(B1517)</x:f>
        <x:v>8</x:v>
      </x:c>
      <x:c r="K1517" s="14" t="n">
        <x:f>ROUND(E1517*F1517-G1517,10)</x:f>
        <x:v>0</x:v>
      </x:c>
      <x:c r="L1517" s="2"/>
      <x:c r="M1517" s="2"/>
      <x:c r="N1517" s="2"/>
      <x:c r="O1517" s="2"/>
      <x:c r="P1517" s="2"/>
      <x:c r="Q1517" s="2"/>
      <x:c r="R1517" s="2"/>
    </x:row>
    <x:row r="1518" ht="22" customHeight="1">
      <x:c r="A1518" s="2" t="n">
        <x:v>101512</x:v>
      </x:c>
      <x:c r="B1518" s="10" t="n">
        <x:v>45567</x:v>
      </x:c>
      <x:c r="C1518" s="2" t="str">
        <x:v>Argentina</x:v>
      </x:c>
      <x:c r="D1518" s="2" t="str">
        <x:v>Calçados</x:v>
      </x:c>
      <x:c r="E1518" s="11" t="n">
        <x:v>14</x:v>
      </x:c>
      <x:c r="F1518" s="12" t="n">
        <x:v>78.99</x:v>
      </x:c>
      <x:c r="G1518" s="12" t="n">
        <x:v>1105.86</x:v>
      </x:c>
      <x:c r="H1518" s="13" t="n">
        <x:v>320</x:v>
      </x:c>
      <x:c r="I1518" s="13" t="n">
        <x:f>YEAR(B1518)</x:f>
        <x:v>2024</x:v>
      </x:c>
      <x:c r="J1518" s="13" t="n">
        <x:f>MONTH(B1518)</x:f>
        <x:v>10</x:v>
      </x:c>
      <x:c r="K1518" s="14" t="n">
        <x:f>ROUND(E1518*F1518-G1518,10)</x:f>
        <x:v>0</x:v>
      </x:c>
      <x:c r="L1518" s="2"/>
      <x:c r="M1518" s="2"/>
      <x:c r="N1518" s="2"/>
      <x:c r="O1518" s="2"/>
      <x:c r="P1518" s="2"/>
      <x:c r="Q1518" s="2"/>
      <x:c r="R1518" s="2"/>
    </x:row>
    <x:row r="1519" ht="22" customHeight="1">
      <x:c r="A1519" s="2" t="n">
        <x:v>101513</x:v>
      </x:c>
      <x:c r="B1519" s="10" t="n">
        <x:v>45648</x:v>
      </x:c>
      <x:c r="C1519" s="2" t="str">
        <x:v>Brasil</x:v>
      </x:c>
      <x:c r="D1519" s="2" t="str">
        <x:v>Acessórios</x:v>
      </x:c>
      <x:c r="E1519" s="11" t="n">
        <x:v>14</x:v>
      </x:c>
      <x:c r="F1519" s="12" t="n">
        <x:v>40.81</x:v>
      </x:c>
      <x:c r="G1519" s="12" t="n">
        <x:v>571.34</x:v>
      </x:c>
      <x:c r="H1519" s="13" t="n">
        <x:v>109</x:v>
      </x:c>
      <x:c r="I1519" s="13" t="n">
        <x:f>YEAR(B1519)</x:f>
        <x:v>2024</x:v>
      </x:c>
      <x:c r="J1519" s="13" t="n">
        <x:f>MONTH(B1519)</x:f>
        <x:v>12</x:v>
      </x:c>
      <x:c r="K1519" s="14" t="n">
        <x:f>ROUND(E1519*F1519-G1519,10)</x:f>
        <x:v>0</x:v>
      </x:c>
      <x:c r="L1519" s="2"/>
      <x:c r="M1519" s="2"/>
      <x:c r="N1519" s="2"/>
      <x:c r="O1519" s="2"/>
      <x:c r="P1519" s="2"/>
      <x:c r="Q1519" s="2"/>
      <x:c r="R1519" s="2"/>
    </x:row>
    <x:row r="1520" ht="22" customHeight="1">
      <x:c r="A1520" s="2" t="n">
        <x:v>101514</x:v>
      </x:c>
      <x:c r="B1520" s="10" t="n">
        <x:v>45609</x:v>
      </x:c>
      <x:c r="C1520" s="2" t="str">
        <x:v>Brasil</x:v>
      </x:c>
      <x:c r="D1520" s="2" t="str">
        <x:v>Calçados</x:v>
      </x:c>
      <x:c r="E1520" s="11" t="n">
        <x:v>35</x:v>
      </x:c>
      <x:c r="F1520" s="12" t="n">
        <x:v>89.95</x:v>
      </x:c>
      <x:c r="G1520" s="12" t="n">
        <x:v>3148.25</x:v>
      </x:c>
      <x:c r="H1520" s="13" t="n">
        <x:v>345</x:v>
      </x:c>
      <x:c r="I1520" s="13" t="n">
        <x:f>YEAR(B1520)</x:f>
        <x:v>2024</x:v>
      </x:c>
      <x:c r="J1520" s="13" t="n">
        <x:f>MONTH(B1520)</x:f>
        <x:v>11</x:v>
      </x:c>
      <x:c r="K1520" s="14" t="n">
        <x:f>ROUND(E1520*F1520-G1520,10)</x:f>
        <x:v>0</x:v>
      </x:c>
      <x:c r="L1520" s="2"/>
      <x:c r="M1520" s="2"/>
      <x:c r="N1520" s="2"/>
      <x:c r="O1520" s="2"/>
      <x:c r="P1520" s="2"/>
      <x:c r="Q1520" s="2"/>
      <x:c r="R1520" s="2"/>
    </x:row>
    <x:row r="1521" ht="22" customHeight="1">
      <x:c r="A1521" s="2" t="n">
        <x:v>101515</x:v>
      </x:c>
      <x:c r="B1521" s="10" t="n">
        <x:v>45374</x:v>
      </x:c>
      <x:c r="C1521" s="2" t="str">
        <x:v>Colômbia</x:v>
      </x:c>
      <x:c r="D1521" s="2" t="str">
        <x:v>Moda Masculina</x:v>
      </x:c>
      <x:c r="E1521" s="11" t="n">
        <x:v>30</x:v>
      </x:c>
      <x:c r="F1521" s="12" t="n">
        <x:v>26.7</x:v>
      </x:c>
      <x:c r="G1521" s="12" t="n">
        <x:v>801</x:v>
      </x:c>
      <x:c r="H1521" s="13" t="n">
        <x:v>284</x:v>
      </x:c>
      <x:c r="I1521" s="13" t="n">
        <x:f>YEAR(B1521)</x:f>
        <x:v>2024</x:v>
      </x:c>
      <x:c r="J1521" s="13" t="n">
        <x:f>MONTH(B1521)</x:f>
        <x:v>3</x:v>
      </x:c>
      <x:c r="K1521" s="14" t="n">
        <x:f>ROUND(E1521*F1521-G1521,10)</x:f>
        <x:v>0</x:v>
      </x:c>
      <x:c r="L1521" s="2"/>
      <x:c r="M1521" s="2"/>
      <x:c r="N1521" s="2"/>
      <x:c r="O1521" s="2"/>
      <x:c r="P1521" s="2"/>
      <x:c r="Q1521" s="2"/>
      <x:c r="R1521" s="2"/>
    </x:row>
    <x:row r="1522" ht="22" customHeight="1">
      <x:c r="A1522" s="2" t="n">
        <x:v>101516</x:v>
      </x:c>
      <x:c r="B1522" s="10" t="n">
        <x:v>45349</x:v>
      </x:c>
      <x:c r="C1522" s="2" t="str">
        <x:v>Peru</x:v>
      </x:c>
      <x:c r="D1522" s="2" t="str">
        <x:v>Calçados</x:v>
      </x:c>
      <x:c r="E1522" s="11" t="n">
        <x:v>28</x:v>
      </x:c>
      <x:c r="F1522" s="12" t="n">
        <x:v>185.17</x:v>
      </x:c>
      <x:c r="G1522" s="12" t="n">
        <x:v>5184.759999999999</x:v>
      </x:c>
      <x:c r="H1522" s="13" t="n">
        <x:v>214</x:v>
      </x:c>
      <x:c r="I1522" s="13" t="n">
        <x:f>YEAR(B1522)</x:f>
        <x:v>2024</x:v>
      </x:c>
      <x:c r="J1522" s="13" t="n">
        <x:f>MONTH(B1522)</x:f>
        <x:v>2</x:v>
      </x:c>
      <x:c r="K1522" s="14" t="n">
        <x:f>ROUND(E1522*F1522-G1522,10)</x:f>
        <x:v>0</x:v>
      </x:c>
      <x:c r="L1522" s="2"/>
      <x:c r="M1522" s="2"/>
      <x:c r="N1522" s="2"/>
      <x:c r="O1522" s="2"/>
      <x:c r="P1522" s="2"/>
      <x:c r="Q1522" s="2"/>
      <x:c r="R1522" s="2"/>
    </x:row>
    <x:row r="1523" ht="22" customHeight="1">
      <x:c r="A1523" s="2" t="n">
        <x:v>101517</x:v>
      </x:c>
      <x:c r="B1523" s="10" t="n">
        <x:v>45196</x:v>
      </x:c>
      <x:c r="C1523" s="2" t="str">
        <x:v>Chile</x:v>
      </x:c>
      <x:c r="D1523" s="2" t="str">
        <x:v>Calçados</x:v>
      </x:c>
      <x:c r="E1523" s="11" t="n">
        <x:v>17</x:v>
      </x:c>
      <x:c r="F1523" s="12" t="n">
        <x:v>141.16</x:v>
      </x:c>
      <x:c r="G1523" s="12" t="n">
        <x:v>2399.72</x:v>
      </x:c>
      <x:c r="H1523" s="13" t="n">
        <x:v>243</x:v>
      </x:c>
      <x:c r="I1523" s="13" t="n">
        <x:f>YEAR(B1523)</x:f>
        <x:v>2023</x:v>
      </x:c>
      <x:c r="J1523" s="13" t="n">
        <x:f>MONTH(B1523)</x:f>
        <x:v>9</x:v>
      </x:c>
      <x:c r="K1523" s="14" t="n">
        <x:f>ROUND(E1523*F1523-G1523,10)</x:f>
        <x:v>0</x:v>
      </x:c>
      <x:c r="L1523" s="2"/>
      <x:c r="M1523" s="2"/>
      <x:c r="N1523" s="2"/>
      <x:c r="O1523" s="2"/>
      <x:c r="P1523" s="2"/>
      <x:c r="Q1523" s="2"/>
      <x:c r="R1523" s="2"/>
    </x:row>
    <x:row r="1524" ht="22" customHeight="1">
      <x:c r="A1524" s="2" t="n">
        <x:v>101518</x:v>
      </x:c>
      <x:c r="B1524" s="10" t="n">
        <x:v>44968</x:v>
      </x:c>
      <x:c r="C1524" s="2" t="str">
        <x:v>México</x:v>
      </x:c>
      <x:c r="D1524" s="2" t="str">
        <x:v>Moda Masculina</x:v>
      </x:c>
      <x:c r="E1524" s="11" t="n">
        <x:v>3</x:v>
      </x:c>
      <x:c r="F1524" s="12" t="n">
        <x:v>198.33</x:v>
      </x:c>
      <x:c r="G1524" s="12" t="n">
        <x:v>594.99</x:v>
      </x:c>
      <x:c r="H1524" s="13" t="n">
        <x:v>283</x:v>
      </x:c>
      <x:c r="I1524" s="13" t="n">
        <x:f>YEAR(B1524)</x:f>
        <x:v>2023</x:v>
      </x:c>
      <x:c r="J1524" s="13" t="n">
        <x:f>MONTH(B1524)</x:f>
        <x:v>2</x:v>
      </x:c>
      <x:c r="K1524" s="14" t="n">
        <x:f>ROUND(E1524*F1524-G1524,10)</x:f>
        <x:v>0</x:v>
      </x:c>
      <x:c r="L1524" s="2"/>
      <x:c r="M1524" s="2"/>
      <x:c r="N1524" s="2"/>
      <x:c r="O1524" s="2"/>
      <x:c r="P1524" s="2"/>
      <x:c r="Q1524" s="2"/>
      <x:c r="R1524" s="2"/>
    </x:row>
    <x:row r="1525" ht="22" customHeight="1">
      <x:c r="A1525" s="2" t="n">
        <x:v>101519</x:v>
      </x:c>
      <x:c r="B1525" s="10" t="n">
        <x:v>45576</x:v>
      </x:c>
      <x:c r="C1525" s="2" t="str">
        <x:v>Brasil</x:v>
      </x:c>
      <x:c r="D1525" s="2" t="str">
        <x:v>Moda Feminina</x:v>
      </x:c>
      <x:c r="E1525" s="11" t="n">
        <x:v>16</x:v>
      </x:c>
      <x:c r="F1525" s="12" t="n">
        <x:v>178.91</x:v>
      </x:c>
      <x:c r="G1525" s="12" t="n">
        <x:v>2862.56</x:v>
      </x:c>
      <x:c r="H1525" s="13" t="n">
        <x:v>417</x:v>
      </x:c>
      <x:c r="I1525" s="13" t="n">
        <x:f>YEAR(B1525)</x:f>
        <x:v>2024</x:v>
      </x:c>
      <x:c r="J1525" s="13" t="n">
        <x:f>MONTH(B1525)</x:f>
        <x:v>10</x:v>
      </x:c>
      <x:c r="K1525" s="14" t="n">
        <x:f>ROUND(E1525*F1525-G1525,10)</x:f>
        <x:v>0</x:v>
      </x:c>
      <x:c r="L1525" s="2"/>
      <x:c r="M1525" s="2"/>
      <x:c r="N1525" s="2"/>
      <x:c r="O1525" s="2"/>
      <x:c r="P1525" s="2"/>
      <x:c r="Q1525" s="2"/>
      <x:c r="R1525" s="2"/>
    </x:row>
    <x:row r="1526" ht="22" customHeight="1">
      <x:c r="A1526" s="2" t="n">
        <x:v>101520</x:v>
      </x:c>
      <x:c r="B1526" s="10" t="n">
        <x:v>45101</x:v>
      </x:c>
      <x:c r="C1526" s="2" t="str">
        <x:v>México</x:v>
      </x:c>
      <x:c r="D1526" s="2" t="str">
        <x:v>Acessórios</x:v>
      </x:c>
      <x:c r="E1526" s="11" t="n">
        <x:v>46</x:v>
      </x:c>
      <x:c r="F1526" s="12" t="n">
        <x:v>105.14</x:v>
      </x:c>
      <x:c r="G1526" s="12" t="n">
        <x:v>4836.44</x:v>
      </x:c>
      <x:c r="H1526" s="13" t="n">
        <x:v>232</x:v>
      </x:c>
      <x:c r="I1526" s="13" t="n">
        <x:f>YEAR(B1526)</x:f>
        <x:v>2023</x:v>
      </x:c>
      <x:c r="J1526" s="13" t="n">
        <x:f>MONTH(B1526)</x:f>
        <x:v>6</x:v>
      </x:c>
      <x:c r="K1526" s="14" t="n">
        <x:f>ROUND(E1526*F1526-G1526,10)</x:f>
        <x:v>0</x:v>
      </x:c>
      <x:c r="L1526" s="2"/>
      <x:c r="M1526" s="2"/>
      <x:c r="N1526" s="2"/>
      <x:c r="O1526" s="2"/>
      <x:c r="P1526" s="2"/>
      <x:c r="Q1526" s="2"/>
      <x:c r="R1526" s="2"/>
    </x:row>
    <x:row r="1527" ht="22" customHeight="1">
      <x:c r="A1527" s="2" t="n">
        <x:v>101521</x:v>
      </x:c>
      <x:c r="B1527" s="10" t="n">
        <x:v>45305</x:v>
      </x:c>
      <x:c r="C1527" s="2" t="str">
        <x:v>Peru</x:v>
      </x:c>
      <x:c r="D1527" s="2" t="str">
        <x:v>Moda Masculina</x:v>
      </x:c>
      <x:c r="E1527" s="11" t="n">
        <x:v>30</x:v>
      </x:c>
      <x:c r="F1527" s="12" t="n">
        <x:v>113.54</x:v>
      </x:c>
      <x:c r="G1527" s="12" t="n">
        <x:v>3406.2</x:v>
      </x:c>
      <x:c r="H1527" s="13" t="n">
        <x:v>382</x:v>
      </x:c>
      <x:c r="I1527" s="13" t="n">
        <x:f>YEAR(B1527)</x:f>
        <x:v>2024</x:v>
      </x:c>
      <x:c r="J1527" s="13" t="n">
        <x:f>MONTH(B1527)</x:f>
        <x:v>1</x:v>
      </x:c>
      <x:c r="K1527" s="14" t="n">
        <x:f>ROUND(E1527*F1527-G1527,10)</x:f>
        <x:v>0</x:v>
      </x:c>
      <x:c r="L1527" s="2"/>
      <x:c r="M1527" s="2"/>
      <x:c r="N1527" s="2"/>
      <x:c r="O1527" s="2"/>
      <x:c r="P1527" s="2"/>
      <x:c r="Q1527" s="2"/>
      <x:c r="R1527" s="2"/>
    </x:row>
    <x:row r="1528" ht="22" customHeight="1">
      <x:c r="A1528" s="2" t="n">
        <x:v>101522</x:v>
      </x:c>
      <x:c r="B1528" s="10" t="n">
        <x:v>44998</x:v>
      </x:c>
      <x:c r="C1528" s="2" t="str">
        <x:v>Peru</x:v>
      </x:c>
      <x:c r="D1528" s="2" t="str">
        <x:v>Moda Infantil</x:v>
      </x:c>
      <x:c r="E1528" s="11" t="n">
        <x:v>29</x:v>
      </x:c>
      <x:c r="F1528" s="12" t="n">
        <x:v>54.3</x:v>
      </x:c>
      <x:c r="G1528" s="12" t="n">
        <x:v>1574.7</x:v>
      </x:c>
      <x:c r="H1528" s="13" t="n">
        <x:v>281</x:v>
      </x:c>
      <x:c r="I1528" s="13" t="n">
        <x:f>YEAR(B1528)</x:f>
        <x:v>2023</x:v>
      </x:c>
      <x:c r="J1528" s="13" t="n">
        <x:f>MONTH(B1528)</x:f>
        <x:v>3</x:v>
      </x:c>
      <x:c r="K1528" s="14" t="n">
        <x:f>ROUND(E1528*F1528-G1528,10)</x:f>
        <x:v>0</x:v>
      </x:c>
      <x:c r="L1528" s="2"/>
      <x:c r="M1528" s="2"/>
      <x:c r="N1528" s="2"/>
      <x:c r="O1528" s="2"/>
      <x:c r="P1528" s="2"/>
      <x:c r="Q1528" s="2"/>
      <x:c r="R1528" s="2"/>
    </x:row>
    <x:row r="1529" ht="22" customHeight="1">
      <x:c r="A1529" s="2" t="n">
        <x:v>101523</x:v>
      </x:c>
      <x:c r="B1529" s="10" t="n">
        <x:v>45414</x:v>
      </x:c>
      <x:c r="C1529" s="2" t="str">
        <x:v>Brasil</x:v>
      </x:c>
      <x:c r="D1529" s="2" t="str">
        <x:v>Moda Feminina</x:v>
      </x:c>
      <x:c r="E1529" s="11" t="n">
        <x:v>45</x:v>
      </x:c>
      <x:c r="F1529" s="12" t="n">
        <x:v>103.17</x:v>
      </x:c>
      <x:c r="G1529" s="12" t="n">
        <x:v>4642.65</x:v>
      </x:c>
      <x:c r="H1529" s="13" t="n">
        <x:v>410</x:v>
      </x:c>
      <x:c r="I1529" s="13" t="n">
        <x:f>YEAR(B1529)</x:f>
        <x:v>2024</x:v>
      </x:c>
      <x:c r="J1529" s="13" t="n">
        <x:f>MONTH(B1529)</x:f>
        <x:v>5</x:v>
      </x:c>
      <x:c r="K1529" s="14" t="n">
        <x:f>ROUND(E1529*F1529-G1529,10)</x:f>
        <x:v>0</x:v>
      </x:c>
      <x:c r="L1529" s="2"/>
      <x:c r="M1529" s="2"/>
      <x:c r="N1529" s="2"/>
      <x:c r="O1529" s="2"/>
      <x:c r="P1529" s="2"/>
      <x:c r="Q1529" s="2"/>
      <x:c r="R1529" s="2"/>
    </x:row>
    <x:row r="1530" ht="22" customHeight="1">
      <x:c r="A1530" s="2" t="n">
        <x:v>101524</x:v>
      </x:c>
      <x:c r="B1530" s="10" t="n">
        <x:v>45008</x:v>
      </x:c>
      <x:c r="C1530" s="2" t="str">
        <x:v>Argentina</x:v>
      </x:c>
      <x:c r="D1530" s="2" t="str">
        <x:v>Moda Infantil</x:v>
      </x:c>
      <x:c r="E1530" s="11" t="n">
        <x:v>15</x:v>
      </x:c>
      <x:c r="F1530" s="12" t="n">
        <x:v>182.55</x:v>
      </x:c>
      <x:c r="G1530" s="12" t="n">
        <x:v>2738.25</x:v>
      </x:c>
      <x:c r="H1530" s="13" t="n">
        <x:v>156</x:v>
      </x:c>
      <x:c r="I1530" s="13" t="n">
        <x:f>YEAR(B1530)</x:f>
        <x:v>2023</x:v>
      </x:c>
      <x:c r="J1530" s="13" t="n">
        <x:f>MONTH(B1530)</x:f>
        <x:v>3</x:v>
      </x:c>
      <x:c r="K1530" s="14" t="n">
        <x:f>ROUND(E1530*F1530-G1530,10)</x:f>
        <x:v>0</x:v>
      </x:c>
      <x:c r="L1530" s="2"/>
      <x:c r="M1530" s="2"/>
      <x:c r="N1530" s="2"/>
      <x:c r="O1530" s="2"/>
      <x:c r="P1530" s="2"/>
      <x:c r="Q1530" s="2"/>
      <x:c r="R1530" s="2"/>
    </x:row>
    <x:row r="1531" ht="22" customHeight="1">
      <x:c r="A1531" s="2" t="n">
        <x:v>101525</x:v>
      </x:c>
      <x:c r="B1531" s="10" t="n">
        <x:v>45373</x:v>
      </x:c>
      <x:c r="C1531" s="2" t="str">
        <x:v>Brasil</x:v>
      </x:c>
      <x:c r="D1531" s="2" t="str">
        <x:v>Moda Feminina</x:v>
      </x:c>
      <x:c r="E1531" s="11" t="n">
        <x:v>46</x:v>
      </x:c>
      <x:c r="F1531" s="12" t="n">
        <x:v>29.15</x:v>
      </x:c>
      <x:c r="G1531" s="12" t="n">
        <x:v>1340.9</x:v>
      </x:c>
      <x:c r="H1531" s="13" t="n">
        <x:v>427</x:v>
      </x:c>
      <x:c r="I1531" s="13" t="n">
        <x:f>YEAR(B1531)</x:f>
        <x:v>2024</x:v>
      </x:c>
      <x:c r="J1531" s="13" t="n">
        <x:f>MONTH(B1531)</x:f>
        <x:v>3</x:v>
      </x:c>
      <x:c r="K1531" s="14" t="n">
        <x:f>ROUND(E1531*F1531-G1531,10)</x:f>
        <x:v>0</x:v>
      </x:c>
      <x:c r="L1531" s="2"/>
      <x:c r="M1531" s="2"/>
      <x:c r="N1531" s="2"/>
      <x:c r="O1531" s="2"/>
      <x:c r="P1531" s="2"/>
      <x:c r="Q1531" s="2"/>
      <x:c r="R1531" s="2"/>
    </x:row>
    <x:row r="1532" ht="22" customHeight="1">
      <x:c r="A1532" s="2" t="n">
        <x:v>101526</x:v>
      </x:c>
      <x:c r="B1532" s="10" t="n">
        <x:v>45624</x:v>
      </x:c>
      <x:c r="C1532" s="2" t="str">
        <x:v>Colômbia</x:v>
      </x:c>
      <x:c r="D1532" s="2" t="str">
        <x:v>Acessórios</x:v>
      </x:c>
      <x:c r="E1532" s="11" t="n">
        <x:v>25</x:v>
      </x:c>
      <x:c r="F1532" s="12" t="n">
        <x:v>175.44</x:v>
      </x:c>
      <x:c r="G1532" s="12" t="n">
        <x:v>4386</x:v>
      </x:c>
      <x:c r="H1532" s="13" t="n">
        <x:v>272</x:v>
      </x:c>
      <x:c r="I1532" s="13" t="n">
        <x:f>YEAR(B1532)</x:f>
        <x:v>2024</x:v>
      </x:c>
      <x:c r="J1532" s="13" t="n">
        <x:f>MONTH(B1532)</x:f>
        <x:v>11</x:v>
      </x:c>
      <x:c r="K1532" s="14" t="n">
        <x:f>ROUND(E1532*F1532-G1532,10)</x:f>
        <x:v>0</x:v>
      </x:c>
      <x:c r="L1532" s="2"/>
      <x:c r="M1532" s="2"/>
      <x:c r="N1532" s="2"/>
      <x:c r="O1532" s="2"/>
      <x:c r="P1532" s="2"/>
      <x:c r="Q1532" s="2"/>
      <x:c r="R1532" s="2"/>
    </x:row>
    <x:row r="1533" ht="22" customHeight="1">
      <x:c r="A1533" s="2" t="n">
        <x:v>101527</x:v>
      </x:c>
      <x:c r="B1533" s="10" t="n">
        <x:v>45436</x:v>
      </x:c>
      <x:c r="C1533" s="2" t="str">
        <x:v>Chile</x:v>
      </x:c>
      <x:c r="D1533" s="2" t="str">
        <x:v>Acessórios</x:v>
      </x:c>
      <x:c r="E1533" s="11" t="n">
        <x:v>38</x:v>
      </x:c>
      <x:c r="F1533" s="12" t="n">
        <x:v>81.37</x:v>
      </x:c>
      <x:c r="G1533" s="12" t="n">
        <x:v>3092.06</x:v>
      </x:c>
      <x:c r="H1533" s="13" t="n">
        <x:v>129</x:v>
      </x:c>
      <x:c r="I1533" s="13" t="n">
        <x:f>YEAR(B1533)</x:f>
        <x:v>2024</x:v>
      </x:c>
      <x:c r="J1533" s="13" t="n">
        <x:f>MONTH(B1533)</x:f>
        <x:v>5</x:v>
      </x:c>
      <x:c r="K1533" s="14" t="n">
        <x:f>ROUND(E1533*F1533-G1533,10)</x:f>
        <x:v>0</x:v>
      </x:c>
      <x:c r="L1533" s="2"/>
      <x:c r="M1533" s="2"/>
      <x:c r="N1533" s="2"/>
      <x:c r="O1533" s="2"/>
      <x:c r="P1533" s="2"/>
      <x:c r="Q1533" s="2"/>
      <x:c r="R1533" s="2"/>
    </x:row>
    <x:row r="1534" ht="22" customHeight="1">
      <x:c r="A1534" s="2" t="n">
        <x:v>101528</x:v>
      </x:c>
      <x:c r="B1534" s="10" t="n">
        <x:v>45647</x:v>
      </x:c>
      <x:c r="C1534" s="2" t="str">
        <x:v>Argentina</x:v>
      </x:c>
      <x:c r="D1534" s="2" t="str">
        <x:v>Calçados</x:v>
      </x:c>
      <x:c r="E1534" s="11" t="n">
        <x:v>42</x:v>
      </x:c>
      <x:c r="F1534" s="12" t="n">
        <x:v>181.91</x:v>
      </x:c>
      <x:c r="G1534" s="12" t="n">
        <x:v>7640.22</x:v>
      </x:c>
      <x:c r="H1534" s="13" t="n">
        <x:v>283</x:v>
      </x:c>
      <x:c r="I1534" s="13" t="n">
        <x:f>YEAR(B1534)</x:f>
        <x:v>2024</x:v>
      </x:c>
      <x:c r="J1534" s="13" t="n">
        <x:f>MONTH(B1534)</x:f>
        <x:v>12</x:v>
      </x:c>
      <x:c r="K1534" s="14" t="n">
        <x:f>ROUND(E1534*F1534-G1534,10)</x:f>
        <x:v>0</x:v>
      </x:c>
      <x:c r="L1534" s="2"/>
      <x:c r="M1534" s="2"/>
      <x:c r="N1534" s="2"/>
      <x:c r="O1534" s="2"/>
      <x:c r="P1534" s="2"/>
      <x:c r="Q1534" s="2"/>
      <x:c r="R1534" s="2"/>
    </x:row>
    <x:row r="1535" ht="22" customHeight="1">
      <x:c r="A1535" s="2" t="n">
        <x:v>101529</x:v>
      </x:c>
      <x:c r="B1535" s="10" t="n">
        <x:v>45612</x:v>
      </x:c>
      <x:c r="C1535" s="2" t="str">
        <x:v>Brasil</x:v>
      </x:c>
      <x:c r="D1535" s="2" t="str">
        <x:v>Moda Infantil</x:v>
      </x:c>
      <x:c r="E1535" s="11" t="n">
        <x:v>47</x:v>
      </x:c>
      <x:c r="F1535" s="12" t="n">
        <x:v>189.36</x:v>
      </x:c>
      <x:c r="G1535" s="12" t="n">
        <x:v>8899.92</x:v>
      </x:c>
      <x:c r="H1535" s="13" t="n">
        <x:v>430</x:v>
      </x:c>
      <x:c r="I1535" s="13" t="n">
        <x:f>YEAR(B1535)</x:f>
        <x:v>2024</x:v>
      </x:c>
      <x:c r="J1535" s="13" t="n">
        <x:f>MONTH(B1535)</x:f>
        <x:v>11</x:v>
      </x:c>
      <x:c r="K1535" s="14" t="n">
        <x:f>ROUND(E1535*F1535-G1535,10)</x:f>
        <x:v>0</x:v>
      </x:c>
      <x:c r="L1535" s="2"/>
      <x:c r="M1535" s="2"/>
      <x:c r="N1535" s="2"/>
      <x:c r="O1535" s="2"/>
      <x:c r="P1535" s="2"/>
      <x:c r="Q1535" s="2"/>
      <x:c r="R1535" s="2"/>
    </x:row>
    <x:row r="1536" ht="22" customHeight="1">
      <x:c r="A1536" s="2" t="n">
        <x:v>101530</x:v>
      </x:c>
      <x:c r="B1536" s="10" t="n">
        <x:v>45496</x:v>
      </x:c>
      <x:c r="C1536" s="2" t="str">
        <x:v>México</x:v>
      </x:c>
      <x:c r="D1536" s="2" t="str">
        <x:v>Moda Feminina</x:v>
      </x:c>
      <x:c r="E1536" s="11" t="n">
        <x:v>38</x:v>
      </x:c>
      <x:c r="F1536" s="12" t="n">
        <x:v>140.76</x:v>
      </x:c>
      <x:c r="G1536" s="12" t="n">
        <x:v>5348.879999999999</x:v>
      </x:c>
      <x:c r="H1536" s="13" t="n">
        <x:v>233</x:v>
      </x:c>
      <x:c r="I1536" s="13" t="n">
        <x:f>YEAR(B1536)</x:f>
        <x:v>2024</x:v>
      </x:c>
      <x:c r="J1536" s="13" t="n">
        <x:f>MONTH(B1536)</x:f>
        <x:v>7</x:v>
      </x:c>
      <x:c r="K1536" s="14" t="n">
        <x:f>ROUND(E1536*F1536-G1536,10)</x:f>
        <x:v>0</x:v>
      </x:c>
      <x:c r="L1536" s="2"/>
      <x:c r="M1536" s="2"/>
      <x:c r="N1536" s="2"/>
      <x:c r="O1536" s="2"/>
      <x:c r="P1536" s="2"/>
      <x:c r="Q1536" s="2"/>
      <x:c r="R1536" s="2"/>
    </x:row>
    <x:row r="1537" ht="22" customHeight="1">
      <x:c r="A1537" s="2" t="n">
        <x:v>101531</x:v>
      </x:c>
      <x:c r="B1537" s="10" t="n">
        <x:v>45514</x:v>
      </x:c>
      <x:c r="C1537" s="2" t="str">
        <x:v>Argentina</x:v>
      </x:c>
      <x:c r="D1537" s="2" t="str">
        <x:v>Acessórios</x:v>
      </x:c>
      <x:c r="E1537" s="11" t="n">
        <x:v>23</x:v>
      </x:c>
      <x:c r="F1537" s="12" t="n">
        <x:v>139.6</x:v>
      </x:c>
      <x:c r="G1537" s="12" t="n">
        <x:v>3210.8</x:v>
      </x:c>
      <x:c r="H1537" s="13" t="n">
        <x:v>477</x:v>
      </x:c>
      <x:c r="I1537" s="13" t="n">
        <x:f>YEAR(B1537)</x:f>
        <x:v>2024</x:v>
      </x:c>
      <x:c r="J1537" s="13" t="n">
        <x:f>MONTH(B1537)</x:f>
        <x:v>8</x:v>
      </x:c>
      <x:c r="K1537" s="14" t="n">
        <x:f>ROUND(E1537*F1537-G1537,10)</x:f>
        <x:v>0</x:v>
      </x:c>
      <x:c r="L1537" s="2"/>
      <x:c r="M1537" s="2"/>
      <x:c r="N1537" s="2"/>
      <x:c r="O1537" s="2"/>
      <x:c r="P1537" s="2"/>
      <x:c r="Q1537" s="2"/>
      <x:c r="R1537" s="2"/>
    </x:row>
    <x:row r="1538" ht="22" customHeight="1">
      <x:c r="A1538" s="2" t="n">
        <x:v>101532</x:v>
      </x:c>
      <x:c r="B1538" s="10" t="n">
        <x:v>45090</x:v>
      </x:c>
      <x:c r="C1538" s="2" t="str">
        <x:v>Argentina</x:v>
      </x:c>
      <x:c r="D1538" s="2" t="str">
        <x:v>Moda Masculina</x:v>
      </x:c>
      <x:c r="E1538" s="11" t="n">
        <x:v>25</x:v>
      </x:c>
      <x:c r="F1538" s="12" t="n">
        <x:v>101.5</x:v>
      </x:c>
      <x:c r="G1538" s="12" t="n">
        <x:v>2537.5</x:v>
      </x:c>
      <x:c r="H1538" s="13" t="n">
        <x:v>234</x:v>
      </x:c>
      <x:c r="I1538" s="13" t="n">
        <x:f>YEAR(B1538)</x:f>
        <x:v>2023</x:v>
      </x:c>
      <x:c r="J1538" s="13" t="n">
        <x:f>MONTH(B1538)</x:f>
        <x:v>6</x:v>
      </x:c>
      <x:c r="K1538" s="14" t="n">
        <x:f>ROUND(E1538*F1538-G1538,10)</x:f>
        <x:v>0</x:v>
      </x:c>
      <x:c r="L1538" s="2"/>
      <x:c r="M1538" s="2"/>
      <x:c r="N1538" s="2"/>
      <x:c r="O1538" s="2"/>
      <x:c r="P1538" s="2"/>
      <x:c r="Q1538" s="2"/>
      <x:c r="R1538" s="2"/>
    </x:row>
    <x:row r="1539" ht="22" customHeight="1">
      <x:c r="A1539" s="2" t="n">
        <x:v>101533</x:v>
      </x:c>
      <x:c r="B1539" s="10" t="n">
        <x:v>45616</x:v>
      </x:c>
      <x:c r="C1539" s="2" t="str">
        <x:v>Brasil</x:v>
      </x:c>
      <x:c r="D1539" s="2" t="str">
        <x:v>Acessórios</x:v>
      </x:c>
      <x:c r="E1539" s="11" t="n">
        <x:v>42</x:v>
      </x:c>
      <x:c r="F1539" s="12" t="n">
        <x:v>170.4</x:v>
      </x:c>
      <x:c r="G1539" s="12" t="n">
        <x:v>7156.8</x:v>
      </x:c>
      <x:c r="H1539" s="13" t="n">
        <x:v>183</x:v>
      </x:c>
      <x:c r="I1539" s="13" t="n">
        <x:f>YEAR(B1539)</x:f>
        <x:v>2024</x:v>
      </x:c>
      <x:c r="J1539" s="13" t="n">
        <x:f>MONTH(B1539)</x:f>
        <x:v>11</x:v>
      </x:c>
      <x:c r="K1539" s="14" t="n">
        <x:f>ROUND(E1539*F1539-G1539,10)</x:f>
        <x:v>0</x:v>
      </x:c>
      <x:c r="L1539" s="2"/>
      <x:c r="M1539" s="2"/>
      <x:c r="N1539" s="2"/>
      <x:c r="O1539" s="2"/>
      <x:c r="P1539" s="2"/>
      <x:c r="Q1539" s="2"/>
      <x:c r="R1539" s="2"/>
    </x:row>
    <x:row r="1540" ht="22" customHeight="1">
      <x:c r="A1540" s="2" t="n">
        <x:v>101534</x:v>
      </x:c>
      <x:c r="B1540" s="10" t="n">
        <x:v>44954</x:v>
      </x:c>
      <x:c r="C1540" s="2" t="str">
        <x:v>Argentina</x:v>
      </x:c>
      <x:c r="D1540" s="2" t="str">
        <x:v>Moda Masculina</x:v>
      </x:c>
      <x:c r="E1540" s="11" t="n">
        <x:v>7</x:v>
      </x:c>
      <x:c r="F1540" s="12" t="n">
        <x:v>193.09</x:v>
      </x:c>
      <x:c r="G1540" s="12" t="n">
        <x:v>1351.63</x:v>
      </x:c>
      <x:c r="H1540" s="13" t="n">
        <x:v>269</x:v>
      </x:c>
      <x:c r="I1540" s="13" t="n">
        <x:f>YEAR(B1540)</x:f>
        <x:v>2023</x:v>
      </x:c>
      <x:c r="J1540" s="13" t="n">
        <x:f>MONTH(B1540)</x:f>
        <x:v>1</x:v>
      </x:c>
      <x:c r="K1540" s="14" t="n">
        <x:f>ROUND(E1540*F1540-G1540,10)</x:f>
        <x:v>0</x:v>
      </x:c>
      <x:c r="L1540" s="2"/>
      <x:c r="M1540" s="2"/>
      <x:c r="N1540" s="2"/>
      <x:c r="O1540" s="2"/>
      <x:c r="P1540" s="2"/>
      <x:c r="Q1540" s="2"/>
      <x:c r="R1540" s="2"/>
    </x:row>
    <x:row r="1541" ht="22" customHeight="1">
      <x:c r="A1541" s="2" t="n">
        <x:v>101535</x:v>
      </x:c>
      <x:c r="B1541" s="10" t="n">
        <x:v>45414</x:v>
      </x:c>
      <x:c r="C1541" s="2" t="str">
        <x:v>México</x:v>
      </x:c>
      <x:c r="D1541" s="2" t="str">
        <x:v>Moda Feminina</x:v>
      </x:c>
      <x:c r="E1541" s="11" t="n">
        <x:v>22</x:v>
      </x:c>
      <x:c r="F1541" s="12" t="n">
        <x:v>159.51</x:v>
      </x:c>
      <x:c r="G1541" s="12" t="n">
        <x:v>3509.22</x:v>
      </x:c>
      <x:c r="H1541" s="13" t="n">
        <x:v>337</x:v>
      </x:c>
      <x:c r="I1541" s="13" t="n">
        <x:f>YEAR(B1541)</x:f>
        <x:v>2024</x:v>
      </x:c>
      <x:c r="J1541" s="13" t="n">
        <x:f>MONTH(B1541)</x:f>
        <x:v>5</x:v>
      </x:c>
      <x:c r="K1541" s="14" t="n">
        <x:f>ROUND(E1541*F1541-G1541,10)</x:f>
        <x:v>0</x:v>
      </x:c>
      <x:c r="L1541" s="2"/>
      <x:c r="M1541" s="2"/>
      <x:c r="N1541" s="2"/>
      <x:c r="O1541" s="2"/>
      <x:c r="P1541" s="2"/>
      <x:c r="Q1541" s="2"/>
      <x:c r="R1541" s="2"/>
    </x:row>
    <x:row r="1542" ht="22" customHeight="1">
      <x:c r="A1542" s="2" t="n">
        <x:v>101536</x:v>
      </x:c>
      <x:c r="B1542" s="10" t="n">
        <x:v>45032</x:v>
      </x:c>
      <x:c r="C1542" s="2" t="str">
        <x:v>Peru</x:v>
      </x:c>
      <x:c r="D1542" s="2" t="str">
        <x:v>Acessórios</x:v>
      </x:c>
      <x:c r="E1542" s="11" t="n">
        <x:v>17</x:v>
      </x:c>
      <x:c r="F1542" s="12" t="n">
        <x:v>131.95</x:v>
      </x:c>
      <x:c r="G1542" s="12" t="n">
        <x:v>2243.15</x:v>
      </x:c>
      <x:c r="H1542" s="13" t="n">
        <x:v>413</x:v>
      </x:c>
      <x:c r="I1542" s="13" t="n">
        <x:f>YEAR(B1542)</x:f>
        <x:v>2023</x:v>
      </x:c>
      <x:c r="J1542" s="13" t="n">
        <x:f>MONTH(B1542)</x:f>
        <x:v>4</x:v>
      </x:c>
      <x:c r="K1542" s="14" t="n">
        <x:f>ROUND(E1542*F1542-G1542,10)</x:f>
        <x:v>0</x:v>
      </x:c>
      <x:c r="L1542" s="2"/>
      <x:c r="M1542" s="2"/>
      <x:c r="N1542" s="2"/>
      <x:c r="O1542" s="2"/>
      <x:c r="P1542" s="2"/>
      <x:c r="Q1542" s="2"/>
      <x:c r="R1542" s="2"/>
    </x:row>
    <x:row r="1543" ht="22" customHeight="1">
      <x:c r="A1543" s="2" t="n">
        <x:v>101537</x:v>
      </x:c>
      <x:c r="B1543" s="10" t="n">
        <x:v>45563</x:v>
      </x:c>
      <x:c r="C1543" s="2" t="str">
        <x:v>Argentina</x:v>
      </x:c>
      <x:c r="D1543" s="2" t="str">
        <x:v>Acessórios</x:v>
      </x:c>
      <x:c r="E1543" s="11" t="n">
        <x:v>18</x:v>
      </x:c>
      <x:c r="F1543" s="12" t="n">
        <x:v>129.22</x:v>
      </x:c>
      <x:c r="G1543" s="12" t="n">
        <x:v>2325.96</x:v>
      </x:c>
      <x:c r="H1543" s="13" t="n">
        <x:v>251</x:v>
      </x:c>
      <x:c r="I1543" s="13" t="n">
        <x:f>YEAR(B1543)</x:f>
        <x:v>2024</x:v>
      </x:c>
      <x:c r="J1543" s="13" t="n">
        <x:f>MONTH(B1543)</x:f>
        <x:v>9</x:v>
      </x:c>
      <x:c r="K1543" s="14" t="n">
        <x:f>ROUND(E1543*F1543-G1543,10)</x:f>
        <x:v>0</x:v>
      </x:c>
      <x:c r="L1543" s="2"/>
      <x:c r="M1543" s="2"/>
      <x:c r="N1543" s="2"/>
      <x:c r="O1543" s="2"/>
      <x:c r="P1543" s="2"/>
      <x:c r="Q1543" s="2"/>
      <x:c r="R1543" s="2"/>
    </x:row>
    <x:row r="1544" ht="22" customHeight="1">
      <x:c r="A1544" s="2" t="n">
        <x:v>101538</x:v>
      </x:c>
      <x:c r="B1544" s="10" t="n">
        <x:v>45039</x:v>
      </x:c>
      <x:c r="C1544" s="2" t="str">
        <x:v>Peru</x:v>
      </x:c>
      <x:c r="D1544" s="2" t="str">
        <x:v>Moda Feminina</x:v>
      </x:c>
      <x:c r="E1544" s="11" t="n">
        <x:v>49</x:v>
      </x:c>
      <x:c r="F1544" s="12" t="n">
        <x:v>172.9</x:v>
      </x:c>
      <x:c r="G1544" s="12" t="n">
        <x:v>8472.1</x:v>
      </x:c>
      <x:c r="H1544" s="13" t="n">
        <x:v>419</x:v>
      </x:c>
      <x:c r="I1544" s="13" t="n">
        <x:f>YEAR(B1544)</x:f>
        <x:v>2023</x:v>
      </x:c>
      <x:c r="J1544" s="13" t="n">
        <x:f>MONTH(B1544)</x:f>
        <x:v>4</x:v>
      </x:c>
      <x:c r="K1544" s="14" t="n">
        <x:f>ROUND(E1544*F1544-G1544,10)</x:f>
        <x:v>0</x:v>
      </x:c>
      <x:c r="L1544" s="2"/>
      <x:c r="M1544" s="2"/>
      <x:c r="N1544" s="2"/>
      <x:c r="O1544" s="2"/>
      <x:c r="P1544" s="2"/>
      <x:c r="Q1544" s="2"/>
      <x:c r="R1544" s="2"/>
    </x:row>
    <x:row r="1545" ht="22" customHeight="1">
      <x:c r="A1545" s="2" t="n">
        <x:v>101539</x:v>
      </x:c>
      <x:c r="B1545" s="10" t="n">
        <x:v>45085</x:v>
      </x:c>
      <x:c r="C1545" s="2" t="str">
        <x:v>México</x:v>
      </x:c>
      <x:c r="D1545" s="2" t="str">
        <x:v>Acessórios</x:v>
      </x:c>
      <x:c r="E1545" s="11" t="n">
        <x:v>41</x:v>
      </x:c>
      <x:c r="F1545" s="12" t="n">
        <x:v>117.42</x:v>
      </x:c>
      <x:c r="G1545" s="12" t="n">
        <x:v>4814.22</x:v>
      </x:c>
      <x:c r="H1545" s="13" t="n">
        <x:v>195</x:v>
      </x:c>
      <x:c r="I1545" s="13" t="n">
        <x:f>YEAR(B1545)</x:f>
        <x:v>2023</x:v>
      </x:c>
      <x:c r="J1545" s="13" t="n">
        <x:f>MONTH(B1545)</x:f>
        <x:v>6</x:v>
      </x:c>
      <x:c r="K1545" s="14" t="n">
        <x:f>ROUND(E1545*F1545-G1545,10)</x:f>
        <x:v>0</x:v>
      </x:c>
      <x:c r="L1545" s="2"/>
      <x:c r="M1545" s="2"/>
      <x:c r="N1545" s="2"/>
      <x:c r="O1545" s="2"/>
      <x:c r="P1545" s="2"/>
      <x:c r="Q1545" s="2"/>
      <x:c r="R1545" s="2"/>
    </x:row>
    <x:row r="1546" ht="22" customHeight="1">
      <x:c r="A1546" s="2" t="n">
        <x:v>101540</x:v>
      </x:c>
      <x:c r="B1546" s="10" t="n">
        <x:v>45513</x:v>
      </x:c>
      <x:c r="C1546" s="2" t="str">
        <x:v>Brasil</x:v>
      </x:c>
      <x:c r="D1546" s="2" t="str">
        <x:v>Moda Masculina</x:v>
      </x:c>
      <x:c r="E1546" s="11" t="n">
        <x:v>10</x:v>
      </x:c>
      <x:c r="F1546" s="12" t="n">
        <x:v>164.69</x:v>
      </x:c>
      <x:c r="G1546" s="12" t="n">
        <x:v>1646.9</x:v>
      </x:c>
      <x:c r="H1546" s="13" t="n">
        <x:v>373</x:v>
      </x:c>
      <x:c r="I1546" s="13" t="n">
        <x:f>YEAR(B1546)</x:f>
        <x:v>2024</x:v>
      </x:c>
      <x:c r="J1546" s="13" t="n">
        <x:f>MONTH(B1546)</x:f>
        <x:v>8</x:v>
      </x:c>
      <x:c r="K1546" s="14" t="n">
        <x:f>ROUND(E1546*F1546-G1546,10)</x:f>
        <x:v>0</x:v>
      </x:c>
      <x:c r="L1546" s="2"/>
      <x:c r="M1546" s="2"/>
      <x:c r="N1546" s="2"/>
      <x:c r="O1546" s="2"/>
      <x:c r="P1546" s="2"/>
      <x:c r="Q1546" s="2"/>
      <x:c r="R1546" s="2"/>
    </x:row>
    <x:row r="1547" ht="22" customHeight="1">
      <x:c r="A1547" s="2" t="n">
        <x:v>101541</x:v>
      </x:c>
      <x:c r="B1547" s="10" t="n">
        <x:v>45358</x:v>
      </x:c>
      <x:c r="C1547" s="2" t="str">
        <x:v>Chile</x:v>
      </x:c>
      <x:c r="D1547" s="2" t="str">
        <x:v>Acessórios</x:v>
      </x:c>
      <x:c r="E1547" s="11" t="n">
        <x:v>10</x:v>
      </x:c>
      <x:c r="F1547" s="12" t="n">
        <x:v>111.6</x:v>
      </x:c>
      <x:c r="G1547" s="12" t="n">
        <x:v>1116</x:v>
      </x:c>
      <x:c r="H1547" s="13" t="n">
        <x:v>176</x:v>
      </x:c>
      <x:c r="I1547" s="13" t="n">
        <x:f>YEAR(B1547)</x:f>
        <x:v>2024</x:v>
      </x:c>
      <x:c r="J1547" s="13" t="n">
        <x:f>MONTH(B1547)</x:f>
        <x:v>3</x:v>
      </x:c>
      <x:c r="K1547" s="14" t="n">
        <x:f>ROUND(E1547*F1547-G1547,10)</x:f>
        <x:v>0</x:v>
      </x:c>
      <x:c r="L1547" s="2"/>
      <x:c r="M1547" s="2"/>
      <x:c r="N1547" s="2"/>
      <x:c r="O1547" s="2"/>
      <x:c r="P1547" s="2"/>
      <x:c r="Q1547" s="2"/>
      <x:c r="R1547" s="2"/>
    </x:row>
    <x:row r="1548" ht="22" customHeight="1">
      <x:c r="A1548" s="2" t="n">
        <x:v>101542</x:v>
      </x:c>
      <x:c r="B1548" s="10" t="n">
        <x:v>45264</x:v>
      </x:c>
      <x:c r="C1548" s="2" t="str">
        <x:v>Argentina</x:v>
      </x:c>
      <x:c r="D1548" s="2" t="str">
        <x:v>Moda Infantil</x:v>
      </x:c>
      <x:c r="E1548" s="11" t="n">
        <x:v>7</x:v>
      </x:c>
      <x:c r="F1548" s="12" t="n">
        <x:v>31.24</x:v>
      </x:c>
      <x:c r="G1548" s="12" t="n">
        <x:v>218.68</x:v>
      </x:c>
      <x:c r="H1548" s="13" t="n">
        <x:v>184</x:v>
      </x:c>
      <x:c r="I1548" s="13" t="n">
        <x:f>YEAR(B1548)</x:f>
        <x:v>2023</x:v>
      </x:c>
      <x:c r="J1548" s="13" t="n">
        <x:f>MONTH(B1548)</x:f>
        <x:v>12</x:v>
      </x:c>
      <x:c r="K1548" s="14" t="n">
        <x:f>ROUND(E1548*F1548-G1548,10)</x:f>
        <x:v>0</x:v>
      </x:c>
      <x:c r="L1548" s="2"/>
      <x:c r="M1548" s="2"/>
      <x:c r="N1548" s="2"/>
      <x:c r="O1548" s="2"/>
      <x:c r="P1548" s="2"/>
      <x:c r="Q1548" s="2"/>
      <x:c r="R1548" s="2"/>
    </x:row>
    <x:row r="1549" ht="22" customHeight="1">
      <x:c r="A1549" s="2" t="n">
        <x:v>101543</x:v>
      </x:c>
      <x:c r="B1549" s="10" t="n">
        <x:v>45362</x:v>
      </x:c>
      <x:c r="C1549" s="2" t="str">
        <x:v>Chile</x:v>
      </x:c>
      <x:c r="D1549" s="2" t="str">
        <x:v>Calçados</x:v>
      </x:c>
      <x:c r="E1549" s="11" t="n">
        <x:v>48</x:v>
      </x:c>
      <x:c r="F1549" s="12" t="n">
        <x:v>89.11</x:v>
      </x:c>
      <x:c r="G1549" s="12" t="n">
        <x:v>4277.28</x:v>
      </x:c>
      <x:c r="H1549" s="13" t="n">
        <x:v>163</x:v>
      </x:c>
      <x:c r="I1549" s="13" t="n">
        <x:f>YEAR(B1549)</x:f>
        <x:v>2024</x:v>
      </x:c>
      <x:c r="J1549" s="13" t="n">
        <x:f>MONTH(B1549)</x:f>
        <x:v>3</x:v>
      </x:c>
      <x:c r="K1549" s="14" t="n">
        <x:f>ROUND(E1549*F1549-G1549,10)</x:f>
        <x:v>0</x:v>
      </x:c>
      <x:c r="L1549" s="2"/>
      <x:c r="M1549" s="2"/>
      <x:c r="N1549" s="2"/>
      <x:c r="O1549" s="2"/>
      <x:c r="P1549" s="2"/>
      <x:c r="Q1549" s="2"/>
      <x:c r="R1549" s="2"/>
    </x:row>
    <x:row r="1550" ht="22" customHeight="1">
      <x:c r="A1550" s="2" t="n">
        <x:v>101544</x:v>
      </x:c>
      <x:c r="B1550" s="10" t="n">
        <x:v>45426</x:v>
      </x:c>
      <x:c r="C1550" s="2" t="str">
        <x:v>México</x:v>
      </x:c>
      <x:c r="D1550" s="2" t="str">
        <x:v>Moda Masculina</x:v>
      </x:c>
      <x:c r="E1550" s="11" t="n">
        <x:v>38</x:v>
      </x:c>
      <x:c r="F1550" s="12" t="n">
        <x:v>100</x:v>
      </x:c>
      <x:c r="G1550" s="12" t="n">
        <x:v>3800</x:v>
      </x:c>
      <x:c r="H1550" s="13" t="n">
        <x:v>313</x:v>
      </x:c>
      <x:c r="I1550" s="13" t="n">
        <x:f>YEAR(B1550)</x:f>
        <x:v>2024</x:v>
      </x:c>
      <x:c r="J1550" s="13" t="n">
        <x:f>MONTH(B1550)</x:f>
        <x:v>5</x:v>
      </x:c>
      <x:c r="K1550" s="14" t="n">
        <x:f>ROUND(E1550*F1550-G1550,10)</x:f>
        <x:v>0</x:v>
      </x:c>
      <x:c r="L1550" s="2"/>
      <x:c r="M1550" s="2"/>
      <x:c r="N1550" s="2"/>
      <x:c r="O1550" s="2"/>
      <x:c r="P1550" s="2"/>
      <x:c r="Q1550" s="2"/>
      <x:c r="R1550" s="2"/>
    </x:row>
    <x:row r="1551" ht="22" customHeight="1">
      <x:c r="A1551" s="2" t="n">
        <x:v>101545</x:v>
      </x:c>
      <x:c r="B1551" s="10" t="n">
        <x:v>45457</x:v>
      </x:c>
      <x:c r="C1551" s="2" t="str">
        <x:v>Argentina</x:v>
      </x:c>
      <x:c r="D1551" s="2" t="str">
        <x:v>Moda Infantil</x:v>
      </x:c>
      <x:c r="E1551" s="11" t="n">
        <x:v>27</x:v>
      </x:c>
      <x:c r="F1551" s="12" t="n">
        <x:v>45.49</x:v>
      </x:c>
      <x:c r="G1551" s="12" t="n">
        <x:v>1228.23</x:v>
      </x:c>
      <x:c r="H1551" s="13" t="n">
        <x:v>113</x:v>
      </x:c>
      <x:c r="I1551" s="13" t="n">
        <x:f>YEAR(B1551)</x:f>
        <x:v>2024</x:v>
      </x:c>
      <x:c r="J1551" s="13" t="n">
        <x:f>MONTH(B1551)</x:f>
        <x:v>6</x:v>
      </x:c>
      <x:c r="K1551" s="14" t="n">
        <x:f>ROUND(E1551*F1551-G1551,10)</x:f>
        <x:v>0</x:v>
      </x:c>
      <x:c r="L1551" s="2"/>
      <x:c r="M1551" s="2"/>
      <x:c r="N1551" s="2"/>
      <x:c r="O1551" s="2"/>
      <x:c r="P1551" s="2"/>
      <x:c r="Q1551" s="2"/>
      <x:c r="R1551" s="2"/>
    </x:row>
    <x:row r="1552" ht="22" customHeight="1">
      <x:c r="A1552" s="2" t="n">
        <x:v>101546</x:v>
      </x:c>
      <x:c r="B1552" s="10" t="n">
        <x:v>45140</x:v>
      </x:c>
      <x:c r="C1552" s="2" t="str">
        <x:v>Peru</x:v>
      </x:c>
      <x:c r="D1552" s="2" t="str">
        <x:v>Moda Feminina</x:v>
      </x:c>
      <x:c r="E1552" s="11" t="n">
        <x:v>33</x:v>
      </x:c>
      <x:c r="F1552" s="12" t="n">
        <x:v>38.45</x:v>
      </x:c>
      <x:c r="G1552" s="12" t="n">
        <x:v>1268.85</x:v>
      </x:c>
      <x:c r="H1552" s="13" t="n">
        <x:v>184</x:v>
      </x:c>
      <x:c r="I1552" s="13" t="n">
        <x:f>YEAR(B1552)</x:f>
        <x:v>2023</x:v>
      </x:c>
      <x:c r="J1552" s="13" t="n">
        <x:f>MONTH(B1552)</x:f>
        <x:v>8</x:v>
      </x:c>
      <x:c r="K1552" s="14" t="n">
        <x:f>ROUND(E1552*F1552-G1552,10)</x:f>
        <x:v>0</x:v>
      </x:c>
      <x:c r="L1552" s="2"/>
      <x:c r="M1552" s="2"/>
      <x:c r="N1552" s="2"/>
      <x:c r="O1552" s="2"/>
      <x:c r="P1552" s="2"/>
      <x:c r="Q1552" s="2"/>
      <x:c r="R1552" s="2"/>
    </x:row>
    <x:row r="1553" ht="22" customHeight="1">
      <x:c r="A1553" s="2" t="n">
        <x:v>101547</x:v>
      </x:c>
      <x:c r="B1553" s="10" t="n">
        <x:v>45347</x:v>
      </x:c>
      <x:c r="C1553" s="2" t="str">
        <x:v>Colômbia</x:v>
      </x:c>
      <x:c r="D1553" s="2" t="str">
        <x:v>Moda Masculina</x:v>
      </x:c>
      <x:c r="E1553" s="11" t="n">
        <x:v>1</x:v>
      </x:c>
      <x:c r="F1553" s="12" t="n">
        <x:v>116.38</x:v>
      </x:c>
      <x:c r="G1553" s="12" t="n">
        <x:v>116.38</x:v>
      </x:c>
      <x:c r="H1553" s="13" t="n">
        <x:v>90</x:v>
      </x:c>
      <x:c r="I1553" s="13" t="n">
        <x:f>YEAR(B1553)</x:f>
        <x:v>2024</x:v>
      </x:c>
      <x:c r="J1553" s="13" t="n">
        <x:f>MONTH(B1553)</x:f>
        <x:v>2</x:v>
      </x:c>
      <x:c r="K1553" s="14" t="n">
        <x:f>ROUND(E1553*F1553-G1553,10)</x:f>
        <x:v>0</x:v>
      </x:c>
      <x:c r="L1553" s="2"/>
      <x:c r="M1553" s="2"/>
      <x:c r="N1553" s="2"/>
      <x:c r="O1553" s="2"/>
      <x:c r="P1553" s="2"/>
      <x:c r="Q1553" s="2"/>
      <x:c r="R1553" s="2"/>
    </x:row>
    <x:row r="1554" ht="22" customHeight="1">
      <x:c r="A1554" s="2" t="n">
        <x:v>101548</x:v>
      </x:c>
      <x:c r="B1554" s="10" t="n">
        <x:v>45437</x:v>
      </x:c>
      <x:c r="C1554" s="2" t="str">
        <x:v>Chile</x:v>
      </x:c>
      <x:c r="D1554" s="2" t="str">
        <x:v>Calçados</x:v>
      </x:c>
      <x:c r="E1554" s="11" t="n">
        <x:v>44</x:v>
      </x:c>
      <x:c r="F1554" s="12" t="n">
        <x:v>35.33</x:v>
      </x:c>
      <x:c r="G1554" s="12" t="n">
        <x:v>1554.52</x:v>
      </x:c>
      <x:c r="H1554" s="13" t="n">
        <x:v>345</x:v>
      </x:c>
      <x:c r="I1554" s="13" t="n">
        <x:f>YEAR(B1554)</x:f>
        <x:v>2024</x:v>
      </x:c>
      <x:c r="J1554" s="13" t="n">
        <x:f>MONTH(B1554)</x:f>
        <x:v>5</x:v>
      </x:c>
      <x:c r="K1554" s="14" t="n">
        <x:f>ROUND(E1554*F1554-G1554,10)</x:f>
        <x:v>0</x:v>
      </x:c>
      <x:c r="L1554" s="2"/>
      <x:c r="M1554" s="2"/>
      <x:c r="N1554" s="2"/>
      <x:c r="O1554" s="2"/>
      <x:c r="P1554" s="2"/>
      <x:c r="Q1554" s="2"/>
      <x:c r="R1554" s="2"/>
    </x:row>
    <x:row r="1555" ht="22" customHeight="1">
      <x:c r="A1555" s="2" t="n">
        <x:v>101549</x:v>
      </x:c>
      <x:c r="B1555" s="10" t="n">
        <x:v>45444</x:v>
      </x:c>
      <x:c r="C1555" s="2" t="str">
        <x:v>Argentina</x:v>
      </x:c>
      <x:c r="D1555" s="2" t="str">
        <x:v>Calçados</x:v>
      </x:c>
      <x:c r="E1555" s="11" t="n">
        <x:v>34</x:v>
      </x:c>
      <x:c r="F1555" s="12" t="n">
        <x:v>74.53</x:v>
      </x:c>
      <x:c r="G1555" s="12" t="n">
        <x:v>2534.02</x:v>
      </x:c>
      <x:c r="H1555" s="13" t="n">
        <x:v>52</x:v>
      </x:c>
      <x:c r="I1555" s="13" t="n">
        <x:f>YEAR(B1555)</x:f>
        <x:v>2024</x:v>
      </x:c>
      <x:c r="J1555" s="13" t="n">
        <x:f>MONTH(B1555)</x:f>
        <x:v>6</x:v>
      </x:c>
      <x:c r="K1555" s="14" t="n">
        <x:f>ROUND(E1555*F1555-G1555,10)</x:f>
        <x:v>0</x:v>
      </x:c>
      <x:c r="L1555" s="2"/>
      <x:c r="M1555" s="2"/>
      <x:c r="N1555" s="2"/>
      <x:c r="O1555" s="2"/>
      <x:c r="P1555" s="2"/>
      <x:c r="Q1555" s="2"/>
      <x:c r="R1555" s="2"/>
    </x:row>
    <x:row r="1556" ht="22" customHeight="1">
      <x:c r="A1556" s="2" t="n">
        <x:v>101550</x:v>
      </x:c>
      <x:c r="B1556" s="10" t="n">
        <x:v>45366</x:v>
      </x:c>
      <x:c r="C1556" s="2" t="str">
        <x:v>Chile</x:v>
      </x:c>
      <x:c r="D1556" s="2" t="str">
        <x:v>Moda Feminina</x:v>
      </x:c>
      <x:c r="E1556" s="11" t="n">
        <x:v>4</x:v>
      </x:c>
      <x:c r="F1556" s="12" t="n">
        <x:v>154.03</x:v>
      </x:c>
      <x:c r="G1556" s="12" t="n">
        <x:v>616.12</x:v>
      </x:c>
      <x:c r="H1556" s="13" t="n">
        <x:v>450</x:v>
      </x:c>
      <x:c r="I1556" s="13" t="n">
        <x:f>YEAR(B1556)</x:f>
        <x:v>2024</x:v>
      </x:c>
      <x:c r="J1556" s="13" t="n">
        <x:f>MONTH(B1556)</x:f>
        <x:v>3</x:v>
      </x:c>
      <x:c r="K1556" s="14" t="n">
        <x:f>ROUND(E1556*F1556-G1556,10)</x:f>
        <x:v>0</x:v>
      </x:c>
      <x:c r="L1556" s="2"/>
      <x:c r="M1556" s="2"/>
      <x:c r="N1556" s="2"/>
      <x:c r="O1556" s="2"/>
      <x:c r="P1556" s="2"/>
      <x:c r="Q1556" s="2"/>
      <x:c r="R1556" s="2"/>
    </x:row>
    <x:row r="1557" ht="22" customHeight="1">
      <x:c r="A1557" s="2" t="n">
        <x:v>101551</x:v>
      </x:c>
      <x:c r="B1557" s="10" t="n">
        <x:v>45188</x:v>
      </x:c>
      <x:c r="C1557" s="2" t="str">
        <x:v>Argentina</x:v>
      </x:c>
      <x:c r="D1557" s="2" t="str">
        <x:v>Moda Feminina</x:v>
      </x:c>
      <x:c r="E1557" s="11" t="n">
        <x:v>17</x:v>
      </x:c>
      <x:c r="F1557" s="12" t="n">
        <x:v>193.6</x:v>
      </x:c>
      <x:c r="G1557" s="12" t="n">
        <x:v>3291.2</x:v>
      </x:c>
      <x:c r="H1557" s="13" t="n">
        <x:v>243</x:v>
      </x:c>
      <x:c r="I1557" s="13" t="n">
        <x:f>YEAR(B1557)</x:f>
        <x:v>2023</x:v>
      </x:c>
      <x:c r="J1557" s="13" t="n">
        <x:f>MONTH(B1557)</x:f>
        <x:v>9</x:v>
      </x:c>
      <x:c r="K1557" s="14" t="n">
        <x:f>ROUND(E1557*F1557-G1557,10)</x:f>
        <x:v>0</x:v>
      </x:c>
      <x:c r="L1557" s="2"/>
      <x:c r="M1557" s="2"/>
      <x:c r="N1557" s="2"/>
      <x:c r="O1557" s="2"/>
      <x:c r="P1557" s="2"/>
      <x:c r="Q1557" s="2"/>
      <x:c r="R1557" s="2"/>
    </x:row>
    <x:row r="1558" ht="22" customHeight="1">
      <x:c r="A1558" s="2" t="n">
        <x:v>101552</x:v>
      </x:c>
      <x:c r="B1558" s="10" t="n">
        <x:v>45539</x:v>
      </x:c>
      <x:c r="C1558" s="2" t="str">
        <x:v>Brasil</x:v>
      </x:c>
      <x:c r="D1558" s="2" t="str">
        <x:v>Moda Masculina</x:v>
      </x:c>
      <x:c r="E1558" s="11" t="n">
        <x:v>4</x:v>
      </x:c>
      <x:c r="F1558" s="12" t="n">
        <x:v>149.22</x:v>
      </x:c>
      <x:c r="G1558" s="12" t="n">
        <x:v>596.88</x:v>
      </x:c>
      <x:c r="H1558" s="13" t="n">
        <x:v>159</x:v>
      </x:c>
      <x:c r="I1558" s="13" t="n">
        <x:f>YEAR(B1558)</x:f>
        <x:v>2024</x:v>
      </x:c>
      <x:c r="J1558" s="13" t="n">
        <x:f>MONTH(B1558)</x:f>
        <x:v>9</x:v>
      </x:c>
      <x:c r="K1558" s="14" t="n">
        <x:f>ROUND(E1558*F1558-G1558,10)</x:f>
        <x:v>0</x:v>
      </x:c>
      <x:c r="L1558" s="2"/>
      <x:c r="M1558" s="2"/>
      <x:c r="N1558" s="2"/>
      <x:c r="O1558" s="2"/>
      <x:c r="P1558" s="2"/>
      <x:c r="Q1558" s="2"/>
      <x:c r="R1558" s="2"/>
    </x:row>
    <x:row r="1559" ht="22" customHeight="1">
      <x:c r="A1559" s="2" t="n">
        <x:v>101553</x:v>
      </x:c>
      <x:c r="B1559" s="10" t="n">
        <x:v>45438</x:v>
      </x:c>
      <x:c r="C1559" s="2" t="str">
        <x:v>Peru</x:v>
      </x:c>
      <x:c r="D1559" s="2" t="str">
        <x:v>Acessórios</x:v>
      </x:c>
      <x:c r="E1559" s="11" t="n">
        <x:v>43</x:v>
      </x:c>
      <x:c r="F1559" s="12" t="n">
        <x:v>198.67</x:v>
      </x:c>
      <x:c r="G1559" s="12" t="n">
        <x:v>8542.81</x:v>
      </x:c>
      <x:c r="H1559" s="13" t="n">
        <x:v>270</x:v>
      </x:c>
      <x:c r="I1559" s="13" t="n">
        <x:f>YEAR(B1559)</x:f>
        <x:v>2024</x:v>
      </x:c>
      <x:c r="J1559" s="13" t="n">
        <x:f>MONTH(B1559)</x:f>
        <x:v>5</x:v>
      </x:c>
      <x:c r="K1559" s="14" t="n">
        <x:f>ROUND(E1559*F1559-G1559,10)</x:f>
        <x:v>0</x:v>
      </x:c>
      <x:c r="L1559" s="2"/>
      <x:c r="M1559" s="2"/>
      <x:c r="N1559" s="2"/>
      <x:c r="O1559" s="2"/>
      <x:c r="P1559" s="2"/>
      <x:c r="Q1559" s="2"/>
      <x:c r="R1559" s="2"/>
    </x:row>
    <x:row r="1560" ht="22" customHeight="1">
      <x:c r="A1560" s="2" t="n">
        <x:v>101554</x:v>
      </x:c>
      <x:c r="B1560" s="10" t="n">
        <x:v>45252</x:v>
      </x:c>
      <x:c r="C1560" s="2" t="str">
        <x:v>Chile</x:v>
      </x:c>
      <x:c r="D1560" s="2" t="str">
        <x:v>Moda Feminina</x:v>
      </x:c>
      <x:c r="E1560" s="11" t="n">
        <x:v>26</x:v>
      </x:c>
      <x:c r="F1560" s="12" t="n">
        <x:v>145.7</x:v>
      </x:c>
      <x:c r="G1560" s="12" t="n">
        <x:v>3788.2</x:v>
      </x:c>
      <x:c r="H1560" s="13" t="n">
        <x:v>419</x:v>
      </x:c>
      <x:c r="I1560" s="13" t="n">
        <x:f>YEAR(B1560)</x:f>
        <x:v>2023</x:v>
      </x:c>
      <x:c r="J1560" s="13" t="n">
        <x:f>MONTH(B1560)</x:f>
        <x:v>11</x:v>
      </x:c>
      <x:c r="K1560" s="14" t="n">
        <x:f>ROUND(E1560*F1560-G1560,10)</x:f>
        <x:v>0</x:v>
      </x:c>
      <x:c r="L1560" s="2"/>
      <x:c r="M1560" s="2"/>
      <x:c r="N1560" s="2"/>
      <x:c r="O1560" s="2"/>
      <x:c r="P1560" s="2"/>
      <x:c r="Q1560" s="2"/>
      <x:c r="R1560" s="2"/>
    </x:row>
    <x:row r="1561" ht="22" customHeight="1">
      <x:c r="A1561" s="2" t="n">
        <x:v>101555</x:v>
      </x:c>
      <x:c r="B1561" s="10" t="n">
        <x:v>45222</x:v>
      </x:c>
      <x:c r="C1561" s="2" t="str">
        <x:v>Colômbia</x:v>
      </x:c>
      <x:c r="D1561" s="2" t="str">
        <x:v>Acessórios</x:v>
      </x:c>
      <x:c r="E1561" s="11" t="n">
        <x:v>4</x:v>
      </x:c>
      <x:c r="F1561" s="12" t="n">
        <x:v>72.88</x:v>
      </x:c>
      <x:c r="G1561" s="12" t="n">
        <x:v>291.52</x:v>
      </x:c>
      <x:c r="H1561" s="13" t="n">
        <x:v>417</x:v>
      </x:c>
      <x:c r="I1561" s="13" t="n">
        <x:f>YEAR(B1561)</x:f>
        <x:v>2023</x:v>
      </x:c>
      <x:c r="J1561" s="13" t="n">
        <x:f>MONTH(B1561)</x:f>
        <x:v>10</x:v>
      </x:c>
      <x:c r="K1561" s="14" t="n">
        <x:f>ROUND(E1561*F1561-G1561,10)</x:f>
        <x:v>0</x:v>
      </x:c>
      <x:c r="L1561" s="2"/>
      <x:c r="M1561" s="2"/>
      <x:c r="N1561" s="2"/>
      <x:c r="O1561" s="2"/>
      <x:c r="P1561" s="2"/>
      <x:c r="Q1561" s="2"/>
      <x:c r="R1561" s="2"/>
    </x:row>
    <x:row r="1562" ht="22" customHeight="1">
      <x:c r="A1562" s="2" t="n">
        <x:v>101556</x:v>
      </x:c>
      <x:c r="B1562" s="10" t="n">
        <x:v>45177</x:v>
      </x:c>
      <x:c r="C1562" s="2" t="str">
        <x:v>Colômbia</x:v>
      </x:c>
      <x:c r="D1562" s="2" t="str">
        <x:v>Moda Infantil</x:v>
      </x:c>
      <x:c r="E1562" s="11" t="n">
        <x:v>1</x:v>
      </x:c>
      <x:c r="F1562" s="12" t="n">
        <x:v>140.97</x:v>
      </x:c>
      <x:c r="G1562" s="12" t="n">
        <x:v>140.97</x:v>
      </x:c>
      <x:c r="H1562" s="13" t="n">
        <x:v>485</x:v>
      </x:c>
      <x:c r="I1562" s="13" t="n">
        <x:f>YEAR(B1562)</x:f>
        <x:v>2023</x:v>
      </x:c>
      <x:c r="J1562" s="13" t="n">
        <x:f>MONTH(B1562)</x:f>
        <x:v>9</x:v>
      </x:c>
      <x:c r="K1562" s="14" t="n">
        <x:f>ROUND(E1562*F1562-G1562,10)</x:f>
        <x:v>0</x:v>
      </x:c>
      <x:c r="L1562" s="2"/>
      <x:c r="M1562" s="2"/>
      <x:c r="N1562" s="2"/>
      <x:c r="O1562" s="2"/>
      <x:c r="P1562" s="2"/>
      <x:c r="Q1562" s="2"/>
      <x:c r="R1562" s="2"/>
    </x:row>
    <x:row r="1563" ht="22" customHeight="1">
      <x:c r="A1563" s="2" t="n">
        <x:v>101557</x:v>
      </x:c>
      <x:c r="B1563" s="10" t="n">
        <x:v>45512</x:v>
      </x:c>
      <x:c r="C1563" s="2" t="str">
        <x:v>México</x:v>
      </x:c>
      <x:c r="D1563" s="2" t="str">
        <x:v>Calçados</x:v>
      </x:c>
      <x:c r="E1563" s="11" t="n">
        <x:v>7</x:v>
      </x:c>
      <x:c r="F1563" s="12" t="n">
        <x:v>146.39</x:v>
      </x:c>
      <x:c r="G1563" s="12" t="n">
        <x:v>1024.73</x:v>
      </x:c>
      <x:c r="H1563" s="13" t="n">
        <x:v>455</x:v>
      </x:c>
      <x:c r="I1563" s="13" t="n">
        <x:f>YEAR(B1563)</x:f>
        <x:v>2024</x:v>
      </x:c>
      <x:c r="J1563" s="13" t="n">
        <x:f>MONTH(B1563)</x:f>
        <x:v>8</x:v>
      </x:c>
      <x:c r="K1563" s="14" t="n">
        <x:f>ROUND(E1563*F1563-G1563,10)</x:f>
        <x:v>0</x:v>
      </x:c>
      <x:c r="L1563" s="2"/>
      <x:c r="M1563" s="2"/>
      <x:c r="N1563" s="2"/>
      <x:c r="O1563" s="2"/>
      <x:c r="P1563" s="2"/>
      <x:c r="Q1563" s="2"/>
      <x:c r="R1563" s="2"/>
    </x:row>
    <x:row r="1564" ht="22" customHeight="1">
      <x:c r="A1564" s="2" t="n">
        <x:v>101558</x:v>
      </x:c>
      <x:c r="B1564" s="10" t="n">
        <x:v>45160</x:v>
      </x:c>
      <x:c r="C1564" s="2" t="str">
        <x:v>Argentina</x:v>
      </x:c>
      <x:c r="D1564" s="2" t="str">
        <x:v>Acessórios</x:v>
      </x:c>
      <x:c r="E1564" s="11" t="n">
        <x:v>30</x:v>
      </x:c>
      <x:c r="F1564" s="12" t="n">
        <x:v>86.91</x:v>
      </x:c>
      <x:c r="G1564" s="12" t="n">
        <x:v>2607.3</x:v>
      </x:c>
      <x:c r="H1564" s="13" t="n">
        <x:v>53</x:v>
      </x:c>
      <x:c r="I1564" s="13" t="n">
        <x:f>YEAR(B1564)</x:f>
        <x:v>2023</x:v>
      </x:c>
      <x:c r="J1564" s="13" t="n">
        <x:f>MONTH(B1564)</x:f>
        <x:v>8</x:v>
      </x:c>
      <x:c r="K1564" s="14" t="n">
        <x:f>ROUND(E1564*F1564-G1564,10)</x:f>
        <x:v>0</x:v>
      </x:c>
      <x:c r="L1564" s="2"/>
      <x:c r="M1564" s="2"/>
      <x:c r="N1564" s="2"/>
      <x:c r="O1564" s="2"/>
      <x:c r="P1564" s="2"/>
      <x:c r="Q1564" s="2"/>
      <x:c r="R1564" s="2"/>
    </x:row>
    <x:row r="1565" ht="22" customHeight="1">
      <x:c r="A1565" s="2" t="n">
        <x:v>101559</x:v>
      </x:c>
      <x:c r="B1565" s="10" t="n">
        <x:v>45109</x:v>
      </x:c>
      <x:c r="C1565" s="2" t="str">
        <x:v>Chile</x:v>
      </x:c>
      <x:c r="D1565" s="2" t="str">
        <x:v>Calçados</x:v>
      </x:c>
      <x:c r="E1565" s="11" t="n">
        <x:v>9</x:v>
      </x:c>
      <x:c r="F1565" s="12" t="n">
        <x:v>23.19</x:v>
      </x:c>
      <x:c r="G1565" s="12" t="n">
        <x:v>208.71</x:v>
      </x:c>
      <x:c r="H1565" s="13" t="n">
        <x:v>293</x:v>
      </x:c>
      <x:c r="I1565" s="13" t="n">
        <x:f>YEAR(B1565)</x:f>
        <x:v>2023</x:v>
      </x:c>
      <x:c r="J1565" s="13" t="n">
        <x:f>MONTH(B1565)</x:f>
        <x:v>7</x:v>
      </x:c>
      <x:c r="K1565" s="14" t="n">
        <x:f>ROUND(E1565*F1565-G1565,10)</x:f>
        <x:v>0</x:v>
      </x:c>
      <x:c r="L1565" s="2"/>
      <x:c r="M1565" s="2"/>
      <x:c r="N1565" s="2"/>
      <x:c r="O1565" s="2"/>
      <x:c r="P1565" s="2"/>
      <x:c r="Q1565" s="2"/>
      <x:c r="R1565" s="2"/>
    </x:row>
    <x:row r="1566" ht="22" customHeight="1">
      <x:c r="A1566" s="2" t="n">
        <x:v>101560</x:v>
      </x:c>
      <x:c r="B1566" s="10" t="n">
        <x:v>44931</x:v>
      </x:c>
      <x:c r="C1566" s="2" t="str">
        <x:v>México</x:v>
      </x:c>
      <x:c r="D1566" s="2" t="str">
        <x:v>Acessórios</x:v>
      </x:c>
      <x:c r="E1566" s="11" t="n">
        <x:v>35</x:v>
      </x:c>
      <x:c r="F1566" s="12" t="n">
        <x:v>146.58</x:v>
      </x:c>
      <x:c r="G1566" s="12" t="n">
        <x:v>5130.3</x:v>
      </x:c>
      <x:c r="H1566" s="13" t="n">
        <x:v>439</x:v>
      </x:c>
      <x:c r="I1566" s="13" t="n">
        <x:f>YEAR(B1566)</x:f>
        <x:v>2023</x:v>
      </x:c>
      <x:c r="J1566" s="13" t="n">
        <x:f>MONTH(B1566)</x:f>
        <x:v>1</x:v>
      </x:c>
      <x:c r="K1566" s="14" t="n">
        <x:f>ROUND(E1566*F1566-G1566,10)</x:f>
        <x:v>0</x:v>
      </x:c>
      <x:c r="L1566" s="2"/>
      <x:c r="M1566" s="2"/>
      <x:c r="N1566" s="2"/>
      <x:c r="O1566" s="2"/>
      <x:c r="P1566" s="2"/>
      <x:c r="Q1566" s="2"/>
      <x:c r="R1566" s="2"/>
    </x:row>
    <x:row r="1567" ht="22" customHeight="1">
      <x:c r="A1567" s="2" t="n">
        <x:v>101561</x:v>
      </x:c>
      <x:c r="B1567" s="10" t="n">
        <x:v>45189</x:v>
      </x:c>
      <x:c r="C1567" s="2" t="str">
        <x:v>Chile</x:v>
      </x:c>
      <x:c r="D1567" s="2" t="str">
        <x:v>Moda Infantil</x:v>
      </x:c>
      <x:c r="E1567" s="11" t="n">
        <x:v>8</x:v>
      </x:c>
      <x:c r="F1567" s="12" t="n">
        <x:v>23.91</x:v>
      </x:c>
      <x:c r="G1567" s="12" t="n">
        <x:v>191.28</x:v>
      </x:c>
      <x:c r="H1567" s="13" t="n">
        <x:v>215</x:v>
      </x:c>
      <x:c r="I1567" s="13" t="n">
        <x:f>YEAR(B1567)</x:f>
        <x:v>2023</x:v>
      </x:c>
      <x:c r="J1567" s="13" t="n">
        <x:f>MONTH(B1567)</x:f>
        <x:v>9</x:v>
      </x:c>
      <x:c r="K1567" s="14" t="n">
        <x:f>ROUND(E1567*F1567-G1567,10)</x:f>
        <x:v>0</x:v>
      </x:c>
      <x:c r="L1567" s="2"/>
      <x:c r="M1567" s="2"/>
      <x:c r="N1567" s="2"/>
      <x:c r="O1567" s="2"/>
      <x:c r="P1567" s="2"/>
      <x:c r="Q1567" s="2"/>
      <x:c r="R1567" s="2"/>
    </x:row>
    <x:row r="1568" ht="22" customHeight="1">
      <x:c r="A1568" s="2" t="n">
        <x:v>101562</x:v>
      </x:c>
      <x:c r="B1568" s="10" t="n">
        <x:v>45004</x:v>
      </x:c>
      <x:c r="C1568" s="2" t="str">
        <x:v>Argentina</x:v>
      </x:c>
      <x:c r="D1568" s="2" t="str">
        <x:v>Moda Feminina</x:v>
      </x:c>
      <x:c r="E1568" s="11" t="n">
        <x:v>24</x:v>
      </x:c>
      <x:c r="F1568" s="12" t="n">
        <x:v>133.61</x:v>
      </x:c>
      <x:c r="G1568" s="12" t="n">
        <x:v>3206.64</x:v>
      </x:c>
      <x:c r="H1568" s="13" t="n">
        <x:v>75</x:v>
      </x:c>
      <x:c r="I1568" s="13" t="n">
        <x:f>YEAR(B1568)</x:f>
        <x:v>2023</x:v>
      </x:c>
      <x:c r="J1568" s="13" t="n">
        <x:f>MONTH(B1568)</x:f>
        <x:v>3</x:v>
      </x:c>
      <x:c r="K1568" s="14" t="n">
        <x:f>ROUND(E1568*F1568-G1568,10)</x:f>
        <x:v>0</x:v>
      </x:c>
      <x:c r="L1568" s="2"/>
      <x:c r="M1568" s="2"/>
      <x:c r="N1568" s="2"/>
      <x:c r="O1568" s="2"/>
      <x:c r="P1568" s="2"/>
      <x:c r="Q1568" s="2"/>
      <x:c r="R1568" s="2"/>
    </x:row>
    <x:row r="1569" ht="22" customHeight="1">
      <x:c r="A1569" s="2" t="n">
        <x:v>101563</x:v>
      </x:c>
      <x:c r="B1569" s="10" t="n">
        <x:v>45405</x:v>
      </x:c>
      <x:c r="C1569" s="2" t="str">
        <x:v>Colômbia</x:v>
      </x:c>
      <x:c r="D1569" s="2" t="str">
        <x:v>Moda Infantil</x:v>
      </x:c>
      <x:c r="E1569" s="11" t="n">
        <x:v>19</x:v>
      </x:c>
      <x:c r="F1569" s="12" t="n">
        <x:v>49.45</x:v>
      </x:c>
      <x:c r="G1569" s="12" t="n">
        <x:v>939.5500000000001</x:v>
      </x:c>
      <x:c r="H1569" s="13" t="n">
        <x:v>444</x:v>
      </x:c>
      <x:c r="I1569" s="13" t="n">
        <x:f>YEAR(B1569)</x:f>
        <x:v>2024</x:v>
      </x:c>
      <x:c r="J1569" s="13" t="n">
        <x:f>MONTH(B1569)</x:f>
        <x:v>4</x:v>
      </x:c>
      <x:c r="K1569" s="14" t="n">
        <x:f>ROUND(E1569*F1569-G1569,10)</x:f>
        <x:v>0</x:v>
      </x:c>
      <x:c r="L1569" s="2"/>
      <x:c r="M1569" s="2"/>
      <x:c r="N1569" s="2"/>
      <x:c r="O1569" s="2"/>
      <x:c r="P1569" s="2"/>
      <x:c r="Q1569" s="2"/>
      <x:c r="R1569" s="2"/>
    </x:row>
    <x:row r="1570" ht="22" customHeight="1">
      <x:c r="A1570" s="2" t="n">
        <x:v>101564</x:v>
      </x:c>
      <x:c r="B1570" s="10" t="n">
        <x:v>45498</x:v>
      </x:c>
      <x:c r="C1570" s="2" t="str">
        <x:v>Brasil</x:v>
      </x:c>
      <x:c r="D1570" s="2" t="str">
        <x:v>Moda Feminina</x:v>
      </x:c>
      <x:c r="E1570" s="11" t="n">
        <x:v>36</x:v>
      </x:c>
      <x:c r="F1570" s="12" t="n">
        <x:v>121.81</x:v>
      </x:c>
      <x:c r="G1570" s="12" t="n">
        <x:v>4385.16</x:v>
      </x:c>
      <x:c r="H1570" s="13" t="n">
        <x:v>66</x:v>
      </x:c>
      <x:c r="I1570" s="13" t="n">
        <x:f>YEAR(B1570)</x:f>
        <x:v>2024</x:v>
      </x:c>
      <x:c r="J1570" s="13" t="n">
        <x:f>MONTH(B1570)</x:f>
        <x:v>7</x:v>
      </x:c>
      <x:c r="K1570" s="14" t="n">
        <x:f>ROUND(E1570*F1570-G1570,10)</x:f>
        <x:v>0</x:v>
      </x:c>
      <x:c r="L1570" s="2"/>
      <x:c r="M1570" s="2"/>
      <x:c r="N1570" s="2"/>
      <x:c r="O1570" s="2"/>
      <x:c r="P1570" s="2"/>
      <x:c r="Q1570" s="2"/>
      <x:c r="R1570" s="2"/>
    </x:row>
    <x:row r="1571" ht="22" customHeight="1">
      <x:c r="A1571" s="2" t="n">
        <x:v>101565</x:v>
      </x:c>
      <x:c r="B1571" s="10" t="n">
        <x:v>45606</x:v>
      </x:c>
      <x:c r="C1571" s="2" t="str">
        <x:v>Colômbia</x:v>
      </x:c>
      <x:c r="D1571" s="2" t="str">
        <x:v>Moda Feminina</x:v>
      </x:c>
      <x:c r="E1571" s="11" t="n">
        <x:v>43</x:v>
      </x:c>
      <x:c r="F1571" s="12" t="n">
        <x:v>110.7</x:v>
      </x:c>
      <x:c r="G1571" s="12" t="n">
        <x:v>4760.1</x:v>
      </x:c>
      <x:c r="H1571" s="13" t="n">
        <x:v>265</x:v>
      </x:c>
      <x:c r="I1571" s="13" t="n">
        <x:f>YEAR(B1571)</x:f>
        <x:v>2024</x:v>
      </x:c>
      <x:c r="J1571" s="13" t="n">
        <x:f>MONTH(B1571)</x:f>
        <x:v>11</x:v>
      </x:c>
      <x:c r="K1571" s="14" t="n">
        <x:f>ROUND(E1571*F1571-G1571,10)</x:f>
        <x:v>0</x:v>
      </x:c>
      <x:c r="L1571" s="2"/>
      <x:c r="M1571" s="2"/>
      <x:c r="N1571" s="2"/>
      <x:c r="O1571" s="2"/>
      <x:c r="P1571" s="2"/>
      <x:c r="Q1571" s="2"/>
      <x:c r="R1571" s="2"/>
    </x:row>
    <x:row r="1572" ht="22" customHeight="1">
      <x:c r="A1572" s="2" t="n">
        <x:v>101566</x:v>
      </x:c>
      <x:c r="B1572" s="10" t="n">
        <x:v>45581</x:v>
      </x:c>
      <x:c r="C1572" s="2" t="str">
        <x:v>México</x:v>
      </x:c>
      <x:c r="D1572" s="2" t="str">
        <x:v>Calçados</x:v>
      </x:c>
      <x:c r="E1572" s="11" t="n">
        <x:v>27</x:v>
      </x:c>
      <x:c r="F1572" s="12" t="n">
        <x:v>22.43</x:v>
      </x:c>
      <x:c r="G1572" s="12" t="n">
        <x:v>605.61</x:v>
      </x:c>
      <x:c r="H1572" s="13" t="n">
        <x:v>141</x:v>
      </x:c>
      <x:c r="I1572" s="13" t="n">
        <x:f>YEAR(B1572)</x:f>
        <x:v>2024</x:v>
      </x:c>
      <x:c r="J1572" s="13" t="n">
        <x:f>MONTH(B1572)</x:f>
        <x:v>10</x:v>
      </x:c>
      <x:c r="K1572" s="14" t="n">
        <x:f>ROUND(E1572*F1572-G1572,10)</x:f>
        <x:v>0</x:v>
      </x:c>
      <x:c r="L1572" s="2"/>
      <x:c r="M1572" s="2"/>
      <x:c r="N1572" s="2"/>
      <x:c r="O1572" s="2"/>
      <x:c r="P1572" s="2"/>
      <x:c r="Q1572" s="2"/>
      <x:c r="R1572" s="2"/>
    </x:row>
    <x:row r="1573" ht="22" customHeight="1">
      <x:c r="A1573" s="2" t="n">
        <x:v>101567</x:v>
      </x:c>
      <x:c r="B1573" s="10" t="n">
        <x:v>45413</x:v>
      </x:c>
      <x:c r="C1573" s="2" t="str">
        <x:v>Peru</x:v>
      </x:c>
      <x:c r="D1573" s="2" t="str">
        <x:v>Moda Infantil</x:v>
      </x:c>
      <x:c r="E1573" s="11" t="n">
        <x:v>32</x:v>
      </x:c>
      <x:c r="F1573" s="12" t="n">
        <x:v>85.32</x:v>
      </x:c>
      <x:c r="G1573" s="12" t="n">
        <x:v>2730.24</x:v>
      </x:c>
      <x:c r="H1573" s="13" t="n">
        <x:v>80</x:v>
      </x:c>
      <x:c r="I1573" s="13" t="n">
        <x:f>YEAR(B1573)</x:f>
        <x:v>2024</x:v>
      </x:c>
      <x:c r="J1573" s="13" t="n">
        <x:f>MONTH(B1573)</x:f>
        <x:v>5</x:v>
      </x:c>
      <x:c r="K1573" s="14" t="n">
        <x:f>ROUND(E1573*F1573-G1573,10)</x:f>
        <x:v>0</x:v>
      </x:c>
      <x:c r="L1573" s="2"/>
      <x:c r="M1573" s="2"/>
      <x:c r="N1573" s="2"/>
      <x:c r="O1573" s="2"/>
      <x:c r="P1573" s="2"/>
      <x:c r="Q1573" s="2"/>
      <x:c r="R1573" s="2"/>
    </x:row>
    <x:row r="1574" ht="22" customHeight="1">
      <x:c r="A1574" s="2" t="n">
        <x:v>101568</x:v>
      </x:c>
      <x:c r="B1574" s="10" t="n">
        <x:v>45563</x:v>
      </x:c>
      <x:c r="C1574" s="2" t="str">
        <x:v>Brasil</x:v>
      </x:c>
      <x:c r="D1574" s="2" t="str">
        <x:v>Acessórios</x:v>
      </x:c>
      <x:c r="E1574" s="11" t="n">
        <x:v>14</x:v>
      </x:c>
      <x:c r="F1574" s="12" t="n">
        <x:v>128.2</x:v>
      </x:c>
      <x:c r="G1574" s="12" t="n">
        <x:v>1794.8</x:v>
      </x:c>
      <x:c r="H1574" s="13" t="n">
        <x:v>254</x:v>
      </x:c>
      <x:c r="I1574" s="13" t="n">
        <x:f>YEAR(B1574)</x:f>
        <x:v>2024</x:v>
      </x:c>
      <x:c r="J1574" s="13" t="n">
        <x:f>MONTH(B1574)</x:f>
        <x:v>9</x:v>
      </x:c>
      <x:c r="K1574" s="14" t="n">
        <x:f>ROUND(E1574*F1574-G1574,10)</x:f>
        <x:v>0</x:v>
      </x:c>
      <x:c r="L1574" s="2"/>
      <x:c r="M1574" s="2"/>
      <x:c r="N1574" s="2"/>
      <x:c r="O1574" s="2"/>
      <x:c r="P1574" s="2"/>
      <x:c r="Q1574" s="2"/>
      <x:c r="R1574" s="2"/>
    </x:row>
    <x:row r="1575" ht="22" customHeight="1">
      <x:c r="A1575" s="2" t="n">
        <x:v>101569</x:v>
      </x:c>
      <x:c r="B1575" s="10" t="n">
        <x:v>45509</x:v>
      </x:c>
      <x:c r="C1575" s="2" t="str">
        <x:v>México</x:v>
      </x:c>
      <x:c r="D1575" s="2" t="str">
        <x:v>Moda Infantil</x:v>
      </x:c>
      <x:c r="E1575" s="11" t="n">
        <x:v>18</x:v>
      </x:c>
      <x:c r="F1575" s="12" t="n">
        <x:v>172.75</x:v>
      </x:c>
      <x:c r="G1575" s="12" t="n">
        <x:v>3109.5</x:v>
      </x:c>
      <x:c r="H1575" s="13" t="n">
        <x:v>468</x:v>
      </x:c>
      <x:c r="I1575" s="13" t="n">
        <x:f>YEAR(B1575)</x:f>
        <x:v>2024</x:v>
      </x:c>
      <x:c r="J1575" s="13" t="n">
        <x:f>MONTH(B1575)</x:f>
        <x:v>8</x:v>
      </x:c>
      <x:c r="K1575" s="14" t="n">
        <x:f>ROUND(E1575*F1575-G1575,10)</x:f>
        <x:v>0</x:v>
      </x:c>
      <x:c r="L1575" s="2"/>
      <x:c r="M1575" s="2"/>
      <x:c r="N1575" s="2"/>
      <x:c r="O1575" s="2"/>
      <x:c r="P1575" s="2"/>
      <x:c r="Q1575" s="2"/>
      <x:c r="R1575" s="2"/>
    </x:row>
    <x:row r="1576" ht="22" customHeight="1">
      <x:c r="A1576" s="2" t="n">
        <x:v>101570</x:v>
      </x:c>
      <x:c r="B1576" s="10" t="n">
        <x:v>45327</x:v>
      </x:c>
      <x:c r="C1576" s="2" t="str">
        <x:v>Argentina</x:v>
      </x:c>
      <x:c r="D1576" s="2" t="str">
        <x:v>Calçados</x:v>
      </x:c>
      <x:c r="E1576" s="11" t="n">
        <x:v>28</x:v>
      </x:c>
      <x:c r="F1576" s="12" t="n">
        <x:v>179.96</x:v>
      </x:c>
      <x:c r="G1576" s="12" t="n">
        <x:v>5038.88</x:v>
      </x:c>
      <x:c r="H1576" s="13" t="n">
        <x:v>449</x:v>
      </x:c>
      <x:c r="I1576" s="13" t="n">
        <x:f>YEAR(B1576)</x:f>
        <x:v>2024</x:v>
      </x:c>
      <x:c r="J1576" s="13" t="n">
        <x:f>MONTH(B1576)</x:f>
        <x:v>2</x:v>
      </x:c>
      <x:c r="K1576" s="14" t="n">
        <x:f>ROUND(E1576*F1576-G1576,10)</x:f>
        <x:v>0</x:v>
      </x:c>
      <x:c r="L1576" s="2"/>
      <x:c r="M1576" s="2"/>
      <x:c r="N1576" s="2"/>
      <x:c r="O1576" s="2"/>
      <x:c r="P1576" s="2"/>
      <x:c r="Q1576" s="2"/>
      <x:c r="R1576" s="2"/>
    </x:row>
    <x:row r="1577" ht="22" customHeight="1">
      <x:c r="A1577" s="2" t="n">
        <x:v>101571</x:v>
      </x:c>
      <x:c r="B1577" s="10" t="n">
        <x:v>45511</x:v>
      </x:c>
      <x:c r="C1577" s="2" t="str">
        <x:v>Brasil</x:v>
      </x:c>
      <x:c r="D1577" s="2" t="str">
        <x:v>Moda Feminina</x:v>
      </x:c>
      <x:c r="E1577" s="11" t="n">
        <x:v>29</x:v>
      </x:c>
      <x:c r="F1577" s="12" t="n">
        <x:v>107.09</x:v>
      </x:c>
      <x:c r="G1577" s="12" t="n">
        <x:v>3105.61</x:v>
      </x:c>
      <x:c r="H1577" s="13" t="n">
        <x:v>256</x:v>
      </x:c>
      <x:c r="I1577" s="13" t="n">
        <x:f>YEAR(B1577)</x:f>
        <x:v>2024</x:v>
      </x:c>
      <x:c r="J1577" s="13" t="n">
        <x:f>MONTH(B1577)</x:f>
        <x:v>8</x:v>
      </x:c>
      <x:c r="K1577" s="14" t="n">
        <x:f>ROUND(E1577*F1577-G1577,10)</x:f>
        <x:v>0</x:v>
      </x:c>
      <x:c r="L1577" s="2"/>
      <x:c r="M1577" s="2"/>
      <x:c r="N1577" s="2"/>
      <x:c r="O1577" s="2"/>
      <x:c r="P1577" s="2"/>
      <x:c r="Q1577" s="2"/>
      <x:c r="R1577" s="2"/>
    </x:row>
    <x:row r="1578" ht="22" customHeight="1">
      <x:c r="A1578" s="2" t="n">
        <x:v>101572</x:v>
      </x:c>
      <x:c r="B1578" s="10" t="n">
        <x:v>45091</x:v>
      </x:c>
      <x:c r="C1578" s="2" t="str">
        <x:v>México</x:v>
      </x:c>
      <x:c r="D1578" s="2" t="str">
        <x:v>Calçados</x:v>
      </x:c>
      <x:c r="E1578" s="11" t="n">
        <x:v>16</x:v>
      </x:c>
      <x:c r="F1578" s="12" t="n">
        <x:v>151.12</x:v>
      </x:c>
      <x:c r="G1578" s="12" t="n">
        <x:v>2417.92</x:v>
      </x:c>
      <x:c r="H1578" s="13" t="n">
        <x:v>156</x:v>
      </x:c>
      <x:c r="I1578" s="13" t="n">
        <x:f>YEAR(B1578)</x:f>
        <x:v>2023</x:v>
      </x:c>
      <x:c r="J1578" s="13" t="n">
        <x:f>MONTH(B1578)</x:f>
        <x:v>6</x:v>
      </x:c>
      <x:c r="K1578" s="14" t="n">
        <x:f>ROUND(E1578*F1578-G1578,10)</x:f>
        <x:v>0</x:v>
      </x:c>
      <x:c r="L1578" s="2"/>
      <x:c r="M1578" s="2"/>
      <x:c r="N1578" s="2"/>
      <x:c r="O1578" s="2"/>
      <x:c r="P1578" s="2"/>
      <x:c r="Q1578" s="2"/>
      <x:c r="R1578" s="2"/>
    </x:row>
    <x:row r="1579" ht="22" customHeight="1">
      <x:c r="A1579" s="2" t="n">
        <x:v>101573</x:v>
      </x:c>
      <x:c r="B1579" s="10" t="n">
        <x:v>45079</x:v>
      </x:c>
      <x:c r="C1579" s="2" t="str">
        <x:v>Argentina</x:v>
      </x:c>
      <x:c r="D1579" s="2" t="str">
        <x:v>Moda Masculina</x:v>
      </x:c>
      <x:c r="E1579" s="11" t="n">
        <x:v>35</x:v>
      </x:c>
      <x:c r="F1579" s="12" t="n">
        <x:v>76.96</x:v>
      </x:c>
      <x:c r="G1579" s="12" t="n">
        <x:v>2693.6</x:v>
      </x:c>
      <x:c r="H1579" s="13" t="n">
        <x:v>195</x:v>
      </x:c>
      <x:c r="I1579" s="13" t="n">
        <x:f>YEAR(B1579)</x:f>
        <x:v>2023</x:v>
      </x:c>
      <x:c r="J1579" s="13" t="n">
        <x:f>MONTH(B1579)</x:f>
        <x:v>6</x:v>
      </x:c>
      <x:c r="K1579" s="14" t="n">
        <x:f>ROUND(E1579*F1579-G1579,10)</x:f>
        <x:v>0</x:v>
      </x:c>
      <x:c r="L1579" s="2"/>
      <x:c r="M1579" s="2"/>
      <x:c r="N1579" s="2"/>
      <x:c r="O1579" s="2"/>
      <x:c r="P1579" s="2"/>
      <x:c r="Q1579" s="2"/>
      <x:c r="R1579" s="2"/>
    </x:row>
    <x:row r="1580" ht="22" customHeight="1">
      <x:c r="A1580" s="2" t="n">
        <x:v>101574</x:v>
      </x:c>
      <x:c r="B1580" s="10" t="n">
        <x:v>45551</x:v>
      </x:c>
      <x:c r="C1580" s="2" t="str">
        <x:v>Colômbia</x:v>
      </x:c>
      <x:c r="D1580" s="2" t="str">
        <x:v>Moda Masculina</x:v>
      </x:c>
      <x:c r="E1580" s="11" t="n">
        <x:v>47</x:v>
      </x:c>
      <x:c r="F1580" s="12" t="n">
        <x:v>81.59</x:v>
      </x:c>
      <x:c r="G1580" s="12" t="n">
        <x:v>3834.73</x:v>
      </x:c>
      <x:c r="H1580" s="13" t="n">
        <x:v>416</x:v>
      </x:c>
      <x:c r="I1580" s="13" t="n">
        <x:f>YEAR(B1580)</x:f>
        <x:v>2024</x:v>
      </x:c>
      <x:c r="J1580" s="13" t="n">
        <x:f>MONTH(B1580)</x:f>
        <x:v>9</x:v>
      </x:c>
      <x:c r="K1580" s="14" t="n">
        <x:f>ROUND(E1580*F1580-G1580,10)</x:f>
        <x:v>0</x:v>
      </x:c>
      <x:c r="L1580" s="2"/>
      <x:c r="M1580" s="2"/>
      <x:c r="N1580" s="2"/>
      <x:c r="O1580" s="2"/>
      <x:c r="P1580" s="2"/>
      <x:c r="Q1580" s="2"/>
      <x:c r="R1580" s="2"/>
    </x:row>
    <x:row r="1581" ht="22" customHeight="1">
      <x:c r="A1581" s="2" t="n">
        <x:v>101575</x:v>
      </x:c>
      <x:c r="B1581" s="10" t="n">
        <x:v>45538</x:v>
      </x:c>
      <x:c r="C1581" s="2" t="str">
        <x:v>Peru</x:v>
      </x:c>
      <x:c r="D1581" s="2" t="str">
        <x:v>Acessórios</x:v>
      </x:c>
      <x:c r="E1581" s="11" t="n">
        <x:v>31</x:v>
      </x:c>
      <x:c r="F1581" s="12" t="n">
        <x:v>55</x:v>
      </x:c>
      <x:c r="G1581" s="12" t="n">
        <x:v>1705</x:v>
      </x:c>
      <x:c r="H1581" s="13" t="n">
        <x:v>150</x:v>
      </x:c>
      <x:c r="I1581" s="13" t="n">
        <x:f>YEAR(B1581)</x:f>
        <x:v>2024</x:v>
      </x:c>
      <x:c r="J1581" s="13" t="n">
        <x:f>MONTH(B1581)</x:f>
        <x:v>9</x:v>
      </x:c>
      <x:c r="K1581" s="14" t="n">
        <x:f>ROUND(E1581*F1581-G1581,10)</x:f>
        <x:v>0</x:v>
      </x:c>
      <x:c r="L1581" s="2"/>
      <x:c r="M1581" s="2"/>
      <x:c r="N1581" s="2"/>
      <x:c r="O1581" s="2"/>
      <x:c r="P1581" s="2"/>
      <x:c r="Q1581" s="2"/>
      <x:c r="R1581" s="2"/>
    </x:row>
    <x:row r="1582" ht="22" customHeight="1">
      <x:c r="A1582" s="2" t="n">
        <x:v>101576</x:v>
      </x:c>
      <x:c r="B1582" s="10" t="n">
        <x:v>44997</x:v>
      </x:c>
      <x:c r="C1582" s="2" t="str">
        <x:v>Argentina</x:v>
      </x:c>
      <x:c r="D1582" s="2" t="str">
        <x:v>Calçados</x:v>
      </x:c>
      <x:c r="E1582" s="11" t="n">
        <x:v>4</x:v>
      </x:c>
      <x:c r="F1582" s="12" t="n">
        <x:v>121.15</x:v>
      </x:c>
      <x:c r="G1582" s="12" t="n">
        <x:v>484.6</x:v>
      </x:c>
      <x:c r="H1582" s="13" t="n">
        <x:v>417</x:v>
      </x:c>
      <x:c r="I1582" s="13" t="n">
        <x:f>YEAR(B1582)</x:f>
        <x:v>2023</x:v>
      </x:c>
      <x:c r="J1582" s="13" t="n">
        <x:f>MONTH(B1582)</x:f>
        <x:v>3</x:v>
      </x:c>
      <x:c r="K1582" s="14" t="n">
        <x:f>ROUND(E1582*F1582-G1582,10)</x:f>
        <x:v>0</x:v>
      </x:c>
      <x:c r="L1582" s="2"/>
      <x:c r="M1582" s="2"/>
      <x:c r="N1582" s="2"/>
      <x:c r="O1582" s="2"/>
      <x:c r="P1582" s="2"/>
      <x:c r="Q1582" s="2"/>
      <x:c r="R1582" s="2"/>
    </x:row>
    <x:row r="1583" ht="22" customHeight="1">
      <x:c r="A1583" s="2" t="n">
        <x:v>101577</x:v>
      </x:c>
      <x:c r="B1583" s="10" t="n">
        <x:v>45563</x:v>
      </x:c>
      <x:c r="C1583" s="2" t="str">
        <x:v>Chile</x:v>
      </x:c>
      <x:c r="D1583" s="2" t="str">
        <x:v>Acessórios</x:v>
      </x:c>
      <x:c r="E1583" s="11" t="n">
        <x:v>37</x:v>
      </x:c>
      <x:c r="F1583" s="12" t="n">
        <x:v>76.62</x:v>
      </x:c>
      <x:c r="G1583" s="12" t="n">
        <x:v>2834.94</x:v>
      </x:c>
      <x:c r="H1583" s="13" t="n">
        <x:v>367</x:v>
      </x:c>
      <x:c r="I1583" s="13" t="n">
        <x:f>YEAR(B1583)</x:f>
        <x:v>2024</x:v>
      </x:c>
      <x:c r="J1583" s="13" t="n">
        <x:f>MONTH(B1583)</x:f>
        <x:v>9</x:v>
      </x:c>
      <x:c r="K1583" s="14" t="n">
        <x:f>ROUND(E1583*F1583-G1583,10)</x:f>
        <x:v>0</x:v>
      </x:c>
      <x:c r="L1583" s="2"/>
      <x:c r="M1583" s="2"/>
      <x:c r="N1583" s="2"/>
      <x:c r="O1583" s="2"/>
      <x:c r="P1583" s="2"/>
      <x:c r="Q1583" s="2"/>
      <x:c r="R1583" s="2"/>
    </x:row>
    <x:row r="1584" ht="22" customHeight="1">
      <x:c r="A1584" s="2" t="n">
        <x:v>101578</x:v>
      </x:c>
      <x:c r="B1584" s="10" t="n">
        <x:v>45601</x:v>
      </x:c>
      <x:c r="C1584" s="2" t="str">
        <x:v>Argentina</x:v>
      </x:c>
      <x:c r="D1584" s="2" t="str">
        <x:v>Acessórios</x:v>
      </x:c>
      <x:c r="E1584" s="11" t="n">
        <x:v>17</x:v>
      </x:c>
      <x:c r="F1584" s="12" t="n">
        <x:v>35.19</x:v>
      </x:c>
      <x:c r="G1584" s="12" t="n">
        <x:v>598.23</x:v>
      </x:c>
      <x:c r="H1584" s="13" t="n">
        <x:v>417</x:v>
      </x:c>
      <x:c r="I1584" s="13" t="n">
        <x:f>YEAR(B1584)</x:f>
        <x:v>2024</x:v>
      </x:c>
      <x:c r="J1584" s="13" t="n">
        <x:f>MONTH(B1584)</x:f>
        <x:v>11</x:v>
      </x:c>
      <x:c r="K1584" s="14" t="n">
        <x:f>ROUND(E1584*F1584-G1584,10)</x:f>
        <x:v>0</x:v>
      </x:c>
      <x:c r="L1584" s="2"/>
      <x:c r="M1584" s="2"/>
      <x:c r="N1584" s="2"/>
      <x:c r="O1584" s="2"/>
      <x:c r="P1584" s="2"/>
      <x:c r="Q1584" s="2"/>
      <x:c r="R1584" s="2"/>
    </x:row>
    <x:row r="1585" ht="22" customHeight="1">
      <x:c r="A1585" s="2" t="n">
        <x:v>101579</x:v>
      </x:c>
      <x:c r="B1585" s="10" t="n">
        <x:v>45296</x:v>
      </x:c>
      <x:c r="C1585" s="2" t="str">
        <x:v>Argentina</x:v>
      </x:c>
      <x:c r="D1585" s="2" t="str">
        <x:v>Moda Masculina</x:v>
      </x:c>
      <x:c r="E1585" s="11" t="n">
        <x:v>39</x:v>
      </x:c>
      <x:c r="F1585" s="12" t="n">
        <x:v>143.3</x:v>
      </x:c>
      <x:c r="G1585" s="12" t="n">
        <x:v>5588.700000000001</x:v>
      </x:c>
      <x:c r="H1585" s="13" t="n">
        <x:v>290</x:v>
      </x:c>
      <x:c r="I1585" s="13" t="n">
        <x:f>YEAR(B1585)</x:f>
        <x:v>2024</x:v>
      </x:c>
      <x:c r="J1585" s="13" t="n">
        <x:f>MONTH(B1585)</x:f>
        <x:v>1</x:v>
      </x:c>
      <x:c r="K1585" s="14" t="n">
        <x:f>ROUND(E1585*F1585-G1585,10)</x:f>
        <x:v>0</x:v>
      </x:c>
      <x:c r="L1585" s="2"/>
      <x:c r="M1585" s="2"/>
      <x:c r="N1585" s="2"/>
      <x:c r="O1585" s="2"/>
      <x:c r="P1585" s="2"/>
      <x:c r="Q1585" s="2"/>
      <x:c r="R1585" s="2"/>
    </x:row>
    <x:row r="1586" ht="22" customHeight="1">
      <x:c r="A1586" s="2" t="n">
        <x:v>101580</x:v>
      </x:c>
      <x:c r="B1586" s="10" t="n">
        <x:v>45129</x:v>
      </x:c>
      <x:c r="C1586" s="2" t="str">
        <x:v>Peru</x:v>
      </x:c>
      <x:c r="D1586" s="2" t="str">
        <x:v>Acessórios</x:v>
      </x:c>
      <x:c r="E1586" s="11" t="n">
        <x:v>48</x:v>
      </x:c>
      <x:c r="F1586" s="12" t="n">
        <x:v>147.4</x:v>
      </x:c>
      <x:c r="G1586" s="12" t="n">
        <x:v>7075.200000000001</x:v>
      </x:c>
      <x:c r="H1586" s="13" t="n">
        <x:v>460</x:v>
      </x:c>
      <x:c r="I1586" s="13" t="n">
        <x:f>YEAR(B1586)</x:f>
        <x:v>2023</x:v>
      </x:c>
      <x:c r="J1586" s="13" t="n">
        <x:f>MONTH(B1586)</x:f>
        <x:v>7</x:v>
      </x:c>
      <x:c r="K1586" s="14" t="n">
        <x:f>ROUND(E1586*F1586-G1586,10)</x:f>
        <x:v>0</x:v>
      </x:c>
      <x:c r="L1586" s="2"/>
      <x:c r="M1586" s="2"/>
      <x:c r="N1586" s="2"/>
      <x:c r="O1586" s="2"/>
      <x:c r="P1586" s="2"/>
      <x:c r="Q1586" s="2"/>
      <x:c r="R1586" s="2"/>
    </x:row>
    <x:row r="1587" ht="22" customHeight="1">
      <x:c r="A1587" s="2" t="n">
        <x:v>101581</x:v>
      </x:c>
      <x:c r="B1587" s="10" t="n">
        <x:v>45451</x:v>
      </x:c>
      <x:c r="C1587" s="2" t="str">
        <x:v>Chile</x:v>
      </x:c>
      <x:c r="D1587" s="2" t="str">
        <x:v>Moda Masculina</x:v>
      </x:c>
      <x:c r="E1587" s="11" t="n">
        <x:v>46</x:v>
      </x:c>
      <x:c r="F1587" s="12" t="n">
        <x:v>84.8</x:v>
      </x:c>
      <x:c r="G1587" s="12" t="n">
        <x:v>3900.8</x:v>
      </x:c>
      <x:c r="H1587" s="13" t="n">
        <x:v>296</x:v>
      </x:c>
      <x:c r="I1587" s="13" t="n">
        <x:f>YEAR(B1587)</x:f>
        <x:v>2024</x:v>
      </x:c>
      <x:c r="J1587" s="13" t="n">
        <x:f>MONTH(B1587)</x:f>
        <x:v>6</x:v>
      </x:c>
      <x:c r="K1587" s="14" t="n">
        <x:f>ROUND(E1587*F1587-G1587,10)</x:f>
        <x:v>0</x:v>
      </x:c>
      <x:c r="L1587" s="2"/>
      <x:c r="M1587" s="2"/>
      <x:c r="N1587" s="2"/>
      <x:c r="O1587" s="2"/>
      <x:c r="P1587" s="2"/>
      <x:c r="Q1587" s="2"/>
      <x:c r="R1587" s="2"/>
    </x:row>
    <x:row r="1588" ht="22" customHeight="1">
      <x:c r="A1588" s="2" t="n">
        <x:v>101582</x:v>
      </x:c>
      <x:c r="B1588" s="10" t="n">
        <x:v>45141</x:v>
      </x:c>
      <x:c r="C1588" s="2" t="str">
        <x:v>México</x:v>
      </x:c>
      <x:c r="D1588" s="2" t="str">
        <x:v>Moda Feminina</x:v>
      </x:c>
      <x:c r="E1588" s="11" t="n">
        <x:v>26</x:v>
      </x:c>
      <x:c r="F1588" s="12" t="n">
        <x:v>33.81</x:v>
      </x:c>
      <x:c r="G1588" s="12" t="n">
        <x:v>879.0600000000001</x:v>
      </x:c>
      <x:c r="H1588" s="13" t="n">
        <x:v>212</x:v>
      </x:c>
      <x:c r="I1588" s="13" t="n">
        <x:f>YEAR(B1588)</x:f>
        <x:v>2023</x:v>
      </x:c>
      <x:c r="J1588" s="13" t="n">
        <x:f>MONTH(B1588)</x:f>
        <x:v>8</x:v>
      </x:c>
      <x:c r="K1588" s="14" t="n">
        <x:f>ROUND(E1588*F1588-G1588,10)</x:f>
        <x:v>0</x:v>
      </x:c>
      <x:c r="L1588" s="2"/>
      <x:c r="M1588" s="2"/>
      <x:c r="N1588" s="2"/>
      <x:c r="O1588" s="2"/>
      <x:c r="P1588" s="2"/>
      <x:c r="Q1588" s="2"/>
      <x:c r="R1588" s="2"/>
    </x:row>
    <x:row r="1589" ht="22" customHeight="1">
      <x:c r="A1589" s="2" t="n">
        <x:v>101583</x:v>
      </x:c>
      <x:c r="B1589" s="10" t="n">
        <x:v>45615</x:v>
      </x:c>
      <x:c r="C1589" s="2" t="str">
        <x:v>México</x:v>
      </x:c>
      <x:c r="D1589" s="2" t="str">
        <x:v>Calçados</x:v>
      </x:c>
      <x:c r="E1589" s="11" t="n">
        <x:v>48</x:v>
      </x:c>
      <x:c r="F1589" s="12" t="n">
        <x:v>96.73</x:v>
      </x:c>
      <x:c r="G1589" s="12" t="n">
        <x:v>4643.04</x:v>
      </x:c>
      <x:c r="H1589" s="13" t="n">
        <x:v>421</x:v>
      </x:c>
      <x:c r="I1589" s="13" t="n">
        <x:f>YEAR(B1589)</x:f>
        <x:v>2024</x:v>
      </x:c>
      <x:c r="J1589" s="13" t="n">
        <x:f>MONTH(B1589)</x:f>
        <x:v>11</x:v>
      </x:c>
      <x:c r="K1589" s="14" t="n">
        <x:f>ROUND(E1589*F1589-G1589,10)</x:f>
        <x:v>0</x:v>
      </x:c>
      <x:c r="L1589" s="2"/>
      <x:c r="M1589" s="2"/>
      <x:c r="N1589" s="2"/>
      <x:c r="O1589" s="2"/>
      <x:c r="P1589" s="2"/>
      <x:c r="Q1589" s="2"/>
      <x:c r="R1589" s="2"/>
    </x:row>
    <x:row r="1590" ht="22" customHeight="1">
      <x:c r="A1590" s="2" t="n">
        <x:v>101584</x:v>
      </x:c>
      <x:c r="B1590" s="10" t="n">
        <x:v>45526</x:v>
      </x:c>
      <x:c r="C1590" s="2" t="str">
        <x:v>Argentina</x:v>
      </x:c>
      <x:c r="D1590" s="2" t="str">
        <x:v>Acessórios</x:v>
      </x:c>
      <x:c r="E1590" s="11" t="n">
        <x:v>39</x:v>
      </x:c>
      <x:c r="F1590" s="12" t="n">
        <x:v>99.62</x:v>
      </x:c>
      <x:c r="G1590" s="12" t="n">
        <x:v>3885.18</x:v>
      </x:c>
      <x:c r="H1590" s="13" t="n">
        <x:v>222</x:v>
      </x:c>
      <x:c r="I1590" s="13" t="n">
        <x:f>YEAR(B1590)</x:f>
        <x:v>2024</x:v>
      </x:c>
      <x:c r="J1590" s="13" t="n">
        <x:f>MONTH(B1590)</x:f>
        <x:v>8</x:v>
      </x:c>
      <x:c r="K1590" s="14" t="n">
        <x:f>ROUND(E1590*F1590-G1590,10)</x:f>
        <x:v>0</x:v>
      </x:c>
      <x:c r="L1590" s="2"/>
      <x:c r="M1590" s="2"/>
      <x:c r="N1590" s="2"/>
      <x:c r="O1590" s="2"/>
      <x:c r="P1590" s="2"/>
      <x:c r="Q1590" s="2"/>
      <x:c r="R1590" s="2"/>
    </x:row>
    <x:row r="1591" ht="22" customHeight="1">
      <x:c r="A1591" s="2" t="n">
        <x:v>101585</x:v>
      </x:c>
      <x:c r="B1591" s="10" t="n">
        <x:v>45302</x:v>
      </x:c>
      <x:c r="C1591" s="2" t="str">
        <x:v>Chile</x:v>
      </x:c>
      <x:c r="D1591" s="2" t="str">
        <x:v>Moda Masculina</x:v>
      </x:c>
      <x:c r="E1591" s="11" t="n">
        <x:v>41</x:v>
      </x:c>
      <x:c r="F1591" s="12" t="n">
        <x:v>140.36</x:v>
      </x:c>
      <x:c r="G1591" s="12" t="n">
        <x:v>5754.76</x:v>
      </x:c>
      <x:c r="H1591" s="13" t="n">
        <x:v>84</x:v>
      </x:c>
      <x:c r="I1591" s="13" t="n">
        <x:f>YEAR(B1591)</x:f>
        <x:v>2024</x:v>
      </x:c>
      <x:c r="J1591" s="13" t="n">
        <x:f>MONTH(B1591)</x:f>
        <x:v>1</x:v>
      </x:c>
      <x:c r="K1591" s="14" t="n">
        <x:f>ROUND(E1591*F1591-G1591,10)</x:f>
        <x:v>0</x:v>
      </x:c>
      <x:c r="L1591" s="2"/>
      <x:c r="M1591" s="2"/>
      <x:c r="N1591" s="2"/>
      <x:c r="O1591" s="2"/>
      <x:c r="P1591" s="2"/>
      <x:c r="Q1591" s="2"/>
      <x:c r="R1591" s="2"/>
    </x:row>
    <x:row r="1592" ht="22" customHeight="1">
      <x:c r="A1592" s="2" t="n">
        <x:v>101586</x:v>
      </x:c>
      <x:c r="B1592" s="10" t="n">
        <x:v>45115</x:v>
      </x:c>
      <x:c r="C1592" s="2" t="str">
        <x:v>Chile</x:v>
      </x:c>
      <x:c r="D1592" s="2" t="str">
        <x:v>Moda Infantil</x:v>
      </x:c>
      <x:c r="E1592" s="11" t="n">
        <x:v>4</x:v>
      </x:c>
      <x:c r="F1592" s="12" t="n">
        <x:v>76.77</x:v>
      </x:c>
      <x:c r="G1592" s="12" t="n">
        <x:v>307.08</x:v>
      </x:c>
      <x:c r="H1592" s="13" t="n">
        <x:v>333</x:v>
      </x:c>
      <x:c r="I1592" s="13" t="n">
        <x:f>YEAR(B1592)</x:f>
        <x:v>2023</x:v>
      </x:c>
      <x:c r="J1592" s="13" t="n">
        <x:f>MONTH(B1592)</x:f>
        <x:v>7</x:v>
      </x:c>
      <x:c r="K1592" s="14" t="n">
        <x:f>ROUND(E1592*F1592-G1592,10)</x:f>
        <x:v>0</x:v>
      </x:c>
      <x:c r="L1592" s="2"/>
      <x:c r="M1592" s="2"/>
      <x:c r="N1592" s="2"/>
      <x:c r="O1592" s="2"/>
      <x:c r="P1592" s="2"/>
      <x:c r="Q1592" s="2"/>
      <x:c r="R1592" s="2"/>
    </x:row>
    <x:row r="1593" ht="22" customHeight="1">
      <x:c r="A1593" s="2" t="n">
        <x:v>101587</x:v>
      </x:c>
      <x:c r="B1593" s="10" t="n">
        <x:v>45207</x:v>
      </x:c>
      <x:c r="C1593" s="2" t="str">
        <x:v>Peru</x:v>
      </x:c>
      <x:c r="D1593" s="2" t="str">
        <x:v>Acessórios</x:v>
      </x:c>
      <x:c r="E1593" s="11" t="n">
        <x:v>30</x:v>
      </x:c>
      <x:c r="F1593" s="12" t="n">
        <x:v>142.87</x:v>
      </x:c>
      <x:c r="G1593" s="12" t="n">
        <x:v>4286.1</x:v>
      </x:c>
      <x:c r="H1593" s="13" t="n">
        <x:v>408</x:v>
      </x:c>
      <x:c r="I1593" s="13" t="n">
        <x:f>YEAR(B1593)</x:f>
        <x:v>2023</x:v>
      </x:c>
      <x:c r="J1593" s="13" t="n">
        <x:f>MONTH(B1593)</x:f>
        <x:v>10</x:v>
      </x:c>
      <x:c r="K1593" s="14" t="n">
        <x:f>ROUND(E1593*F1593-G1593,10)</x:f>
        <x:v>0</x:v>
      </x:c>
      <x:c r="L1593" s="2"/>
      <x:c r="M1593" s="2"/>
      <x:c r="N1593" s="2"/>
      <x:c r="O1593" s="2"/>
      <x:c r="P1593" s="2"/>
      <x:c r="Q1593" s="2"/>
      <x:c r="R1593" s="2"/>
    </x:row>
    <x:row r="1594" ht="22" customHeight="1">
      <x:c r="A1594" s="2" t="n">
        <x:v>101588</x:v>
      </x:c>
      <x:c r="B1594" s="10" t="n">
        <x:v>45343</x:v>
      </x:c>
      <x:c r="C1594" s="2" t="str">
        <x:v>Colômbia</x:v>
      </x:c>
      <x:c r="D1594" s="2" t="str">
        <x:v>Moda Feminina</x:v>
      </x:c>
      <x:c r="E1594" s="11" t="n">
        <x:v>30</x:v>
      </x:c>
      <x:c r="F1594" s="12" t="n">
        <x:v>176.87</x:v>
      </x:c>
      <x:c r="G1594" s="12" t="n">
        <x:v>5306.1</x:v>
      </x:c>
      <x:c r="H1594" s="13" t="n">
        <x:v>430</x:v>
      </x:c>
      <x:c r="I1594" s="13" t="n">
        <x:f>YEAR(B1594)</x:f>
        <x:v>2024</x:v>
      </x:c>
      <x:c r="J1594" s="13" t="n">
        <x:f>MONTH(B1594)</x:f>
        <x:v>2</x:v>
      </x:c>
      <x:c r="K1594" s="14" t="n">
        <x:f>ROUND(E1594*F1594-G1594,10)</x:f>
        <x:v>0</x:v>
      </x:c>
      <x:c r="L1594" s="2"/>
      <x:c r="M1594" s="2"/>
      <x:c r="N1594" s="2"/>
      <x:c r="O1594" s="2"/>
      <x:c r="P1594" s="2"/>
      <x:c r="Q1594" s="2"/>
      <x:c r="R1594" s="2"/>
    </x:row>
    <x:row r="1595" ht="22" customHeight="1">
      <x:c r="A1595" s="2" t="n">
        <x:v>101589</x:v>
      </x:c>
      <x:c r="B1595" s="10" t="n">
        <x:v>45132</x:v>
      </x:c>
      <x:c r="C1595" s="2" t="str">
        <x:v>México</x:v>
      </x:c>
      <x:c r="D1595" s="2" t="str">
        <x:v>Moda Feminina</x:v>
      </x:c>
      <x:c r="E1595" s="11" t="n">
        <x:v>22</x:v>
      </x:c>
      <x:c r="F1595" s="12" t="n">
        <x:v>62.75</x:v>
      </x:c>
      <x:c r="G1595" s="12" t="n">
        <x:v>1380.5</x:v>
      </x:c>
      <x:c r="H1595" s="13" t="n">
        <x:v>407</x:v>
      </x:c>
      <x:c r="I1595" s="13" t="n">
        <x:f>YEAR(B1595)</x:f>
        <x:v>2023</x:v>
      </x:c>
      <x:c r="J1595" s="13" t="n">
        <x:f>MONTH(B1595)</x:f>
        <x:v>7</x:v>
      </x:c>
      <x:c r="K1595" s="14" t="n">
        <x:f>ROUND(E1595*F1595-G1595,10)</x:f>
        <x:v>0</x:v>
      </x:c>
      <x:c r="L1595" s="2"/>
      <x:c r="M1595" s="2"/>
      <x:c r="N1595" s="2"/>
      <x:c r="O1595" s="2"/>
      <x:c r="P1595" s="2"/>
      <x:c r="Q1595" s="2"/>
      <x:c r="R1595" s="2"/>
    </x:row>
    <x:row r="1596" ht="22" customHeight="1">
      <x:c r="A1596" s="2" t="n">
        <x:v>101590</x:v>
      </x:c>
      <x:c r="B1596" s="10" t="n">
        <x:v>45026</x:v>
      </x:c>
      <x:c r="C1596" s="2" t="str">
        <x:v>Peru</x:v>
      </x:c>
      <x:c r="D1596" s="2" t="str">
        <x:v>Moda Infantil</x:v>
      </x:c>
      <x:c r="E1596" s="11" t="n">
        <x:v>11</x:v>
      </x:c>
      <x:c r="F1596" s="12" t="n">
        <x:v>196.21</x:v>
      </x:c>
      <x:c r="G1596" s="12" t="n">
        <x:v>2158.31</x:v>
      </x:c>
      <x:c r="H1596" s="13" t="n">
        <x:v>442</x:v>
      </x:c>
      <x:c r="I1596" s="13" t="n">
        <x:f>YEAR(B1596)</x:f>
        <x:v>2023</x:v>
      </x:c>
      <x:c r="J1596" s="13" t="n">
        <x:f>MONTH(B1596)</x:f>
        <x:v>4</x:v>
      </x:c>
      <x:c r="K1596" s="14" t="n">
        <x:f>ROUND(E1596*F1596-G1596,10)</x:f>
        <x:v>0</x:v>
      </x:c>
      <x:c r="L1596" s="2"/>
      <x:c r="M1596" s="2"/>
      <x:c r="N1596" s="2"/>
      <x:c r="O1596" s="2"/>
      <x:c r="P1596" s="2"/>
      <x:c r="Q1596" s="2"/>
      <x:c r="R1596" s="2"/>
    </x:row>
    <x:row r="1597" ht="22" customHeight="1">
      <x:c r="A1597" s="2" t="n">
        <x:v>101591</x:v>
      </x:c>
      <x:c r="B1597" s="10" t="n">
        <x:v>45393</x:v>
      </x:c>
      <x:c r="C1597" s="2" t="str">
        <x:v>Brasil</x:v>
      </x:c>
      <x:c r="D1597" s="2" t="str">
        <x:v>Moda Masculina</x:v>
      </x:c>
      <x:c r="E1597" s="11" t="n">
        <x:v>2</x:v>
      </x:c>
      <x:c r="F1597" s="12" t="n">
        <x:v>89.55</x:v>
      </x:c>
      <x:c r="G1597" s="12" t="n">
        <x:v>179.1</x:v>
      </x:c>
      <x:c r="H1597" s="13" t="n">
        <x:v>448</x:v>
      </x:c>
      <x:c r="I1597" s="13" t="n">
        <x:f>YEAR(B1597)</x:f>
        <x:v>2024</x:v>
      </x:c>
      <x:c r="J1597" s="13" t="n">
        <x:f>MONTH(B1597)</x:f>
        <x:v>4</x:v>
      </x:c>
      <x:c r="K1597" s="14" t="n">
        <x:f>ROUND(E1597*F1597-G1597,10)</x:f>
        <x:v>0</x:v>
      </x:c>
      <x:c r="L1597" s="2"/>
      <x:c r="M1597" s="2"/>
      <x:c r="N1597" s="2"/>
      <x:c r="O1597" s="2"/>
      <x:c r="P1597" s="2"/>
      <x:c r="Q1597" s="2"/>
      <x:c r="R1597" s="2"/>
    </x:row>
    <x:row r="1598" ht="22" customHeight="1">
      <x:c r="A1598" s="2" t="n">
        <x:v>101592</x:v>
      </x:c>
      <x:c r="B1598" s="10" t="n">
        <x:v>44973</x:v>
      </x:c>
      <x:c r="C1598" s="2" t="str">
        <x:v>México</x:v>
      </x:c>
      <x:c r="D1598" s="2" t="str">
        <x:v>Acessórios</x:v>
      </x:c>
      <x:c r="E1598" s="11" t="n">
        <x:v>44</x:v>
      </x:c>
      <x:c r="F1598" s="12" t="n">
        <x:v>68.11</x:v>
      </x:c>
      <x:c r="G1598" s="12" t="n">
        <x:v>2996.84</x:v>
      </x:c>
      <x:c r="H1598" s="13" t="n">
        <x:v>70</x:v>
      </x:c>
      <x:c r="I1598" s="13" t="n">
        <x:f>YEAR(B1598)</x:f>
        <x:v>2023</x:v>
      </x:c>
      <x:c r="J1598" s="13" t="n">
        <x:f>MONTH(B1598)</x:f>
        <x:v>2</x:v>
      </x:c>
      <x:c r="K1598" s="14" t="n">
        <x:f>ROUND(E1598*F1598-G1598,10)</x:f>
        <x:v>0</x:v>
      </x:c>
      <x:c r="L1598" s="2"/>
      <x:c r="M1598" s="2"/>
      <x:c r="N1598" s="2"/>
      <x:c r="O1598" s="2"/>
      <x:c r="P1598" s="2"/>
      <x:c r="Q1598" s="2"/>
      <x:c r="R1598" s="2"/>
    </x:row>
    <x:row r="1599" ht="22" customHeight="1">
      <x:c r="A1599" s="2" t="n">
        <x:v>101593</x:v>
      </x:c>
      <x:c r="B1599" s="10" t="n">
        <x:v>45615</x:v>
      </x:c>
      <x:c r="C1599" s="2" t="str">
        <x:v>Peru</x:v>
      </x:c>
      <x:c r="D1599" s="2" t="str">
        <x:v>Moda Masculina</x:v>
      </x:c>
      <x:c r="E1599" s="11" t="n">
        <x:v>12</x:v>
      </x:c>
      <x:c r="F1599" s="12" t="n">
        <x:v>95.87</x:v>
      </x:c>
      <x:c r="G1599" s="12" t="n">
        <x:v>1150.44</x:v>
      </x:c>
      <x:c r="H1599" s="13" t="n">
        <x:v>357</x:v>
      </x:c>
      <x:c r="I1599" s="13" t="n">
        <x:f>YEAR(B1599)</x:f>
        <x:v>2024</x:v>
      </x:c>
      <x:c r="J1599" s="13" t="n">
        <x:f>MONTH(B1599)</x:f>
        <x:v>11</x:v>
      </x:c>
      <x:c r="K1599" s="14" t="n">
        <x:f>ROUND(E1599*F1599-G1599,10)</x:f>
        <x:v>0</x:v>
      </x:c>
      <x:c r="L1599" s="2"/>
      <x:c r="M1599" s="2"/>
      <x:c r="N1599" s="2"/>
      <x:c r="O1599" s="2"/>
      <x:c r="P1599" s="2"/>
      <x:c r="Q1599" s="2"/>
      <x:c r="R1599" s="2"/>
    </x:row>
    <x:row r="1600" ht="22" customHeight="1">
      <x:c r="A1600" s="2" t="n">
        <x:v>101594</x:v>
      </x:c>
      <x:c r="B1600" s="10" t="n">
        <x:v>45618</x:v>
      </x:c>
      <x:c r="C1600" s="2" t="str">
        <x:v>México</x:v>
      </x:c>
      <x:c r="D1600" s="2" t="str">
        <x:v>Moda Feminina</x:v>
      </x:c>
      <x:c r="E1600" s="11" t="n">
        <x:v>30</x:v>
      </x:c>
      <x:c r="F1600" s="12" t="n">
        <x:v>36.99</x:v>
      </x:c>
      <x:c r="G1600" s="12" t="n">
        <x:v>1109.7</x:v>
      </x:c>
      <x:c r="H1600" s="13" t="n">
        <x:v>212</x:v>
      </x:c>
      <x:c r="I1600" s="13" t="n">
        <x:f>YEAR(B1600)</x:f>
        <x:v>2024</x:v>
      </x:c>
      <x:c r="J1600" s="13" t="n">
        <x:f>MONTH(B1600)</x:f>
        <x:v>11</x:v>
      </x:c>
      <x:c r="K1600" s="14" t="n">
        <x:f>ROUND(E1600*F1600-G1600,10)</x:f>
        <x:v>0</x:v>
      </x:c>
      <x:c r="L1600" s="2"/>
      <x:c r="M1600" s="2"/>
      <x:c r="N1600" s="2"/>
      <x:c r="O1600" s="2"/>
      <x:c r="P1600" s="2"/>
      <x:c r="Q1600" s="2"/>
      <x:c r="R1600" s="2"/>
    </x:row>
    <x:row r="1601" ht="22" customHeight="1">
      <x:c r="A1601" s="2" t="n">
        <x:v>101595</x:v>
      </x:c>
      <x:c r="B1601" s="10" t="n">
        <x:v>45324</x:v>
      </x:c>
      <x:c r="C1601" s="2" t="str">
        <x:v>Colômbia</x:v>
      </x:c>
      <x:c r="D1601" s="2" t="str">
        <x:v>Moda Masculina</x:v>
      </x:c>
      <x:c r="E1601" s="11" t="n">
        <x:v>36</x:v>
      </x:c>
      <x:c r="F1601" s="12" t="n">
        <x:v>42.63</x:v>
      </x:c>
      <x:c r="G1601" s="12" t="n">
        <x:v>1534.68</x:v>
      </x:c>
      <x:c r="H1601" s="13" t="n">
        <x:v>146</x:v>
      </x:c>
      <x:c r="I1601" s="13" t="n">
        <x:f>YEAR(B1601)</x:f>
        <x:v>2024</x:v>
      </x:c>
      <x:c r="J1601" s="13" t="n">
        <x:f>MONTH(B1601)</x:f>
        <x:v>2</x:v>
      </x:c>
      <x:c r="K1601" s="14" t="n">
        <x:f>ROUND(E1601*F1601-G1601,10)</x:f>
        <x:v>0</x:v>
      </x:c>
      <x:c r="L1601" s="2"/>
      <x:c r="M1601" s="2"/>
      <x:c r="N1601" s="2"/>
      <x:c r="O1601" s="2"/>
      <x:c r="P1601" s="2"/>
      <x:c r="Q1601" s="2"/>
      <x:c r="R1601" s="2"/>
    </x:row>
    <x:row r="1602" ht="22" customHeight="1">
      <x:c r="A1602" s="2" t="n">
        <x:v>101596</x:v>
      </x:c>
      <x:c r="B1602" s="10" t="n">
        <x:v>45040</x:v>
      </x:c>
      <x:c r="C1602" s="2" t="str">
        <x:v>Brasil</x:v>
      </x:c>
      <x:c r="D1602" s="2" t="str">
        <x:v>Moda Feminina</x:v>
      </x:c>
      <x:c r="E1602" s="11" t="n">
        <x:v>18</x:v>
      </x:c>
      <x:c r="F1602" s="12" t="n">
        <x:v>94.6</x:v>
      </x:c>
      <x:c r="G1602" s="12" t="n">
        <x:v>1702.8</x:v>
      </x:c>
      <x:c r="H1602" s="13" t="n">
        <x:v>356</x:v>
      </x:c>
      <x:c r="I1602" s="13" t="n">
        <x:f>YEAR(B1602)</x:f>
        <x:v>2023</x:v>
      </x:c>
      <x:c r="J1602" s="13" t="n">
        <x:f>MONTH(B1602)</x:f>
        <x:v>4</x:v>
      </x:c>
      <x:c r="K1602" s="14" t="n">
        <x:f>ROUND(E1602*F1602-G1602,10)</x:f>
        <x:v>0</x:v>
      </x:c>
      <x:c r="L1602" s="2"/>
      <x:c r="M1602" s="2"/>
      <x:c r="N1602" s="2"/>
      <x:c r="O1602" s="2"/>
      <x:c r="P1602" s="2"/>
      <x:c r="Q1602" s="2"/>
      <x:c r="R1602" s="2"/>
    </x:row>
    <x:row r="1603" ht="22" customHeight="1">
      <x:c r="A1603" s="2" t="n">
        <x:v>101597</x:v>
      </x:c>
      <x:c r="B1603" s="10" t="n">
        <x:v>45213</x:v>
      </x:c>
      <x:c r="C1603" s="2" t="str">
        <x:v>Colômbia</x:v>
      </x:c>
      <x:c r="D1603" s="2" t="str">
        <x:v>Moda Masculina</x:v>
      </x:c>
      <x:c r="E1603" s="11" t="n">
        <x:v>26</x:v>
      </x:c>
      <x:c r="F1603" s="12" t="n">
        <x:v>157.24</x:v>
      </x:c>
      <x:c r="G1603" s="12" t="n">
        <x:v>4088.24</x:v>
      </x:c>
      <x:c r="H1603" s="13" t="n">
        <x:v>388</x:v>
      </x:c>
      <x:c r="I1603" s="13" t="n">
        <x:f>YEAR(B1603)</x:f>
        <x:v>2023</x:v>
      </x:c>
      <x:c r="J1603" s="13" t="n">
        <x:f>MONTH(B1603)</x:f>
        <x:v>10</x:v>
      </x:c>
      <x:c r="K1603" s="14" t="n">
        <x:f>ROUND(E1603*F1603-G1603,10)</x:f>
        <x:v>0</x:v>
      </x:c>
      <x:c r="L1603" s="2"/>
      <x:c r="M1603" s="2"/>
      <x:c r="N1603" s="2"/>
      <x:c r="O1603" s="2"/>
      <x:c r="P1603" s="2"/>
      <x:c r="Q1603" s="2"/>
      <x:c r="R1603" s="2"/>
    </x:row>
    <x:row r="1604" ht="22" customHeight="1">
      <x:c r="A1604" s="2" t="n">
        <x:v>101598</x:v>
      </x:c>
      <x:c r="B1604" s="10" t="n">
        <x:v>45277</x:v>
      </x:c>
      <x:c r="C1604" s="2" t="str">
        <x:v>Brasil</x:v>
      </x:c>
      <x:c r="D1604" s="2" t="str">
        <x:v>Moda Infantil</x:v>
      </x:c>
      <x:c r="E1604" s="11" t="n">
        <x:v>7</x:v>
      </x:c>
      <x:c r="F1604" s="12" t="n">
        <x:v>182.06</x:v>
      </x:c>
      <x:c r="G1604" s="12" t="n">
        <x:v>1274.42</x:v>
      </x:c>
      <x:c r="H1604" s="13" t="n">
        <x:v>104</x:v>
      </x:c>
      <x:c r="I1604" s="13" t="n">
        <x:f>YEAR(B1604)</x:f>
        <x:v>2023</x:v>
      </x:c>
      <x:c r="J1604" s="13" t="n">
        <x:f>MONTH(B1604)</x:f>
        <x:v>12</x:v>
      </x:c>
      <x:c r="K1604" s="14" t="n">
        <x:f>ROUND(E1604*F1604-G1604,10)</x:f>
        <x:v>0</x:v>
      </x:c>
      <x:c r="L1604" s="2"/>
      <x:c r="M1604" s="2"/>
      <x:c r="N1604" s="2"/>
      <x:c r="O1604" s="2"/>
      <x:c r="P1604" s="2"/>
      <x:c r="Q1604" s="2"/>
      <x:c r="R1604" s="2"/>
    </x:row>
    <x:row r="1605" ht="22" customHeight="1">
      <x:c r="A1605" s="2" t="n">
        <x:v>101599</x:v>
      </x:c>
      <x:c r="B1605" s="10" t="n">
        <x:v>45306</x:v>
      </x:c>
      <x:c r="C1605" s="2" t="str">
        <x:v>Argentina</x:v>
      </x:c>
      <x:c r="D1605" s="2" t="str">
        <x:v>Calçados</x:v>
      </x:c>
      <x:c r="E1605" s="11" t="n">
        <x:v>1</x:v>
      </x:c>
      <x:c r="F1605" s="12" t="n">
        <x:v>139.67</x:v>
      </x:c>
      <x:c r="G1605" s="12" t="n">
        <x:v>139.67</x:v>
      </x:c>
      <x:c r="H1605" s="13" t="n">
        <x:v>382</x:v>
      </x:c>
      <x:c r="I1605" s="13" t="n">
        <x:f>YEAR(B1605)</x:f>
        <x:v>2024</x:v>
      </x:c>
      <x:c r="J1605" s="13" t="n">
        <x:f>MONTH(B1605)</x:f>
        <x:v>1</x:v>
      </x:c>
      <x:c r="K1605" s="14" t="n">
        <x:f>ROUND(E1605*F1605-G1605,10)</x:f>
        <x:v>0</x:v>
      </x:c>
      <x:c r="L1605" s="2"/>
      <x:c r="M1605" s="2"/>
      <x:c r="N1605" s="2"/>
      <x:c r="O1605" s="2"/>
      <x:c r="P1605" s="2"/>
      <x:c r="Q1605" s="2"/>
      <x:c r="R1605" s="2"/>
    </x:row>
    <x:row r="1606" ht="22" customHeight="1">
      <x:c r="A1606" s="2" t="n">
        <x:v>101600</x:v>
      </x:c>
      <x:c r="B1606" s="10" t="n">
        <x:v>45018</x:v>
      </x:c>
      <x:c r="C1606" s="2" t="str">
        <x:v>Peru</x:v>
      </x:c>
      <x:c r="D1606" s="2" t="str">
        <x:v>Moda Infantil</x:v>
      </x:c>
      <x:c r="E1606" s="11" t="n">
        <x:v>26</x:v>
      </x:c>
      <x:c r="F1606" s="12" t="n">
        <x:v>38.94</x:v>
      </x:c>
      <x:c r="G1606" s="12" t="n">
        <x:v>1012.44</x:v>
      </x:c>
      <x:c r="H1606" s="13" t="n">
        <x:v>176</x:v>
      </x:c>
      <x:c r="I1606" s="13" t="n">
        <x:f>YEAR(B1606)</x:f>
        <x:v>2023</x:v>
      </x:c>
      <x:c r="J1606" s="13" t="n">
        <x:f>MONTH(B1606)</x:f>
        <x:v>4</x:v>
      </x:c>
      <x:c r="K1606" s="14" t="n">
        <x:f>ROUND(E1606*F1606-G1606,10)</x:f>
        <x:v>0</x:v>
      </x:c>
      <x:c r="L1606" s="2"/>
      <x:c r="M1606" s="2"/>
      <x:c r="N1606" s="2"/>
      <x:c r="O1606" s="2"/>
      <x:c r="P1606" s="2"/>
      <x:c r="Q1606" s="2"/>
      <x:c r="R1606" s="2"/>
    </x:row>
    <x:row r="1607" ht="22" customHeight="1">
      <x:c r="A1607" s="2" t="n">
        <x:v>101601</x:v>
      </x:c>
      <x:c r="B1607" s="10" t="n">
        <x:v>45383</x:v>
      </x:c>
      <x:c r="C1607" s="2" t="str">
        <x:v>Brasil</x:v>
      </x:c>
      <x:c r="D1607" s="2" t="str">
        <x:v>Moda Infantil</x:v>
      </x:c>
      <x:c r="E1607" s="11" t="n">
        <x:v>23</x:v>
      </x:c>
      <x:c r="F1607" s="12" t="n">
        <x:v>140.96</x:v>
      </x:c>
      <x:c r="G1607" s="12" t="n">
        <x:v>3242.08</x:v>
      </x:c>
      <x:c r="H1607" s="13" t="n">
        <x:v>477</x:v>
      </x:c>
      <x:c r="I1607" s="13" t="n">
        <x:f>YEAR(B1607)</x:f>
        <x:v>2024</x:v>
      </x:c>
      <x:c r="J1607" s="13" t="n">
        <x:f>MONTH(B1607)</x:f>
        <x:v>4</x:v>
      </x:c>
      <x:c r="K1607" s="14" t="n">
        <x:f>ROUND(E1607*F1607-G1607,10)</x:f>
        <x:v>0</x:v>
      </x:c>
      <x:c r="L1607" s="2"/>
      <x:c r="M1607" s="2"/>
      <x:c r="N1607" s="2"/>
      <x:c r="O1607" s="2"/>
      <x:c r="P1607" s="2"/>
      <x:c r="Q1607" s="2"/>
      <x:c r="R1607" s="2"/>
    </x:row>
    <x:row r="1608" ht="22" customHeight="1">
      <x:c r="A1608" s="2" t="n">
        <x:v>101602</x:v>
      </x:c>
      <x:c r="B1608" s="10" t="n">
        <x:v>45612</x:v>
      </x:c>
      <x:c r="C1608" s="2" t="str">
        <x:v>Colômbia</x:v>
      </x:c>
      <x:c r="D1608" s="2" t="str">
        <x:v>Calçados</x:v>
      </x:c>
      <x:c r="E1608" s="11" t="n">
        <x:v>26</x:v>
      </x:c>
      <x:c r="F1608" s="12" t="n">
        <x:v>134.38</x:v>
      </x:c>
      <x:c r="G1608" s="12" t="n">
        <x:v>3493.88</x:v>
      </x:c>
      <x:c r="H1608" s="13" t="n">
        <x:v>242</x:v>
      </x:c>
      <x:c r="I1608" s="13" t="n">
        <x:f>YEAR(B1608)</x:f>
        <x:v>2024</x:v>
      </x:c>
      <x:c r="J1608" s="13" t="n">
        <x:f>MONTH(B1608)</x:f>
        <x:v>11</x:v>
      </x:c>
      <x:c r="K1608" s="14" t="n">
        <x:f>ROUND(E1608*F1608-G1608,10)</x:f>
        <x:v>0</x:v>
      </x:c>
      <x:c r="L1608" s="2"/>
      <x:c r="M1608" s="2"/>
      <x:c r="N1608" s="2"/>
      <x:c r="O1608" s="2"/>
      <x:c r="P1608" s="2"/>
      <x:c r="Q1608" s="2"/>
      <x:c r="R1608" s="2"/>
    </x:row>
    <x:row r="1609" ht="22" customHeight="1">
      <x:c r="A1609" s="2" t="n">
        <x:v>101603</x:v>
      </x:c>
      <x:c r="B1609" s="10" t="n">
        <x:v>45526</x:v>
      </x:c>
      <x:c r="C1609" s="2" t="str">
        <x:v>México</x:v>
      </x:c>
      <x:c r="D1609" s="2" t="str">
        <x:v>Calçados</x:v>
      </x:c>
      <x:c r="E1609" s="11" t="n">
        <x:v>45</x:v>
      </x:c>
      <x:c r="F1609" s="12" t="n">
        <x:v>165.04</x:v>
      </x:c>
      <x:c r="G1609" s="12" t="n">
        <x:v>7426.799999999999</x:v>
      </x:c>
      <x:c r="H1609" s="13" t="n">
        <x:v>292</x:v>
      </x:c>
      <x:c r="I1609" s="13" t="n">
        <x:f>YEAR(B1609)</x:f>
        <x:v>2024</x:v>
      </x:c>
      <x:c r="J1609" s="13" t="n">
        <x:f>MONTH(B1609)</x:f>
        <x:v>8</x:v>
      </x:c>
      <x:c r="K1609" s="14" t="n">
        <x:f>ROUND(E1609*F1609-G1609,10)</x:f>
        <x:v>0</x:v>
      </x:c>
      <x:c r="L1609" s="2"/>
      <x:c r="M1609" s="2"/>
      <x:c r="N1609" s="2"/>
      <x:c r="O1609" s="2"/>
      <x:c r="P1609" s="2"/>
      <x:c r="Q1609" s="2"/>
      <x:c r="R1609" s="2"/>
    </x:row>
    <x:row r="1610" ht="22" customHeight="1">
      <x:c r="A1610" s="2" t="n">
        <x:v>101604</x:v>
      </x:c>
      <x:c r="B1610" s="10" t="n">
        <x:v>45356</x:v>
      </x:c>
      <x:c r="C1610" s="2" t="str">
        <x:v>Brasil</x:v>
      </x:c>
      <x:c r="D1610" s="2" t="str">
        <x:v>Acessórios</x:v>
      </x:c>
      <x:c r="E1610" s="11" t="n">
        <x:v>6</x:v>
      </x:c>
      <x:c r="F1610" s="12" t="n">
        <x:v>168.54</x:v>
      </x:c>
      <x:c r="G1610" s="12" t="n">
        <x:v>1011.24</x:v>
      </x:c>
      <x:c r="H1610" s="13" t="n">
        <x:v>398</x:v>
      </x:c>
      <x:c r="I1610" s="13" t="n">
        <x:f>YEAR(B1610)</x:f>
        <x:v>2024</x:v>
      </x:c>
      <x:c r="J1610" s="13" t="n">
        <x:f>MONTH(B1610)</x:f>
        <x:v>3</x:v>
      </x:c>
      <x:c r="K1610" s="14" t="n">
        <x:f>ROUND(E1610*F1610-G1610,10)</x:f>
        <x:v>0</x:v>
      </x:c>
      <x:c r="L1610" s="2"/>
      <x:c r="M1610" s="2"/>
      <x:c r="N1610" s="2"/>
      <x:c r="O1610" s="2"/>
      <x:c r="P1610" s="2"/>
      <x:c r="Q1610" s="2"/>
      <x:c r="R1610" s="2"/>
    </x:row>
    <x:row r="1611" ht="22" customHeight="1">
      <x:c r="A1611" s="2" t="n">
        <x:v>101605</x:v>
      </x:c>
      <x:c r="B1611" s="10" t="n">
        <x:v>45410</x:v>
      </x:c>
      <x:c r="C1611" s="2" t="str">
        <x:v>Peru</x:v>
      </x:c>
      <x:c r="D1611" s="2" t="str">
        <x:v>Acessórios</x:v>
      </x:c>
      <x:c r="E1611" s="11" t="n">
        <x:v>6</x:v>
      </x:c>
      <x:c r="F1611" s="12" t="n">
        <x:v>176.28</x:v>
      </x:c>
      <x:c r="G1611" s="12" t="n">
        <x:v>1057.68</x:v>
      </x:c>
      <x:c r="H1611" s="13" t="n">
        <x:v>137</x:v>
      </x:c>
      <x:c r="I1611" s="13" t="n">
        <x:f>YEAR(B1611)</x:f>
        <x:v>2024</x:v>
      </x:c>
      <x:c r="J1611" s="13" t="n">
        <x:f>MONTH(B1611)</x:f>
        <x:v>4</x:v>
      </x:c>
      <x:c r="K1611" s="14" t="n">
        <x:f>ROUND(E1611*F1611-G1611,10)</x:f>
        <x:v>0</x:v>
      </x:c>
      <x:c r="L1611" s="2"/>
      <x:c r="M1611" s="2"/>
      <x:c r="N1611" s="2"/>
      <x:c r="O1611" s="2"/>
      <x:c r="P1611" s="2"/>
      <x:c r="Q1611" s="2"/>
      <x:c r="R1611" s="2"/>
    </x:row>
    <x:row r="1612" ht="22" customHeight="1">
      <x:c r="A1612" s="2" t="n">
        <x:v>101606</x:v>
      </x:c>
      <x:c r="B1612" s="10" t="n">
        <x:v>45331</x:v>
      </x:c>
      <x:c r="C1612" s="2" t="str">
        <x:v>Brasil</x:v>
      </x:c>
      <x:c r="D1612" s="2" t="str">
        <x:v>Moda Infantil</x:v>
      </x:c>
      <x:c r="E1612" s="11" t="n">
        <x:v>44</x:v>
      </x:c>
      <x:c r="F1612" s="12" t="n">
        <x:v>94.54</x:v>
      </x:c>
      <x:c r="G1612" s="12" t="n">
        <x:v>4159.76</x:v>
      </x:c>
      <x:c r="H1612" s="13" t="n">
        <x:v>385</x:v>
      </x:c>
      <x:c r="I1612" s="13" t="n">
        <x:f>YEAR(B1612)</x:f>
        <x:v>2024</x:v>
      </x:c>
      <x:c r="J1612" s="13" t="n">
        <x:f>MONTH(B1612)</x:f>
        <x:v>2</x:v>
      </x:c>
      <x:c r="K1612" s="14" t="n">
        <x:f>ROUND(E1612*F1612-G1612,10)</x:f>
        <x:v>0</x:v>
      </x:c>
      <x:c r="L1612" s="2"/>
      <x:c r="M1612" s="2"/>
      <x:c r="N1612" s="2"/>
      <x:c r="O1612" s="2"/>
      <x:c r="P1612" s="2"/>
      <x:c r="Q1612" s="2"/>
      <x:c r="R1612" s="2"/>
    </x:row>
    <x:row r="1613" ht="22" customHeight="1">
      <x:c r="A1613" s="2" t="n">
        <x:v>101607</x:v>
      </x:c>
      <x:c r="B1613" s="10" t="n">
        <x:v>44970</x:v>
      </x:c>
      <x:c r="C1613" s="2" t="str">
        <x:v>Chile</x:v>
      </x:c>
      <x:c r="D1613" s="2" t="str">
        <x:v>Moda Infantil</x:v>
      </x:c>
      <x:c r="E1613" s="11" t="n">
        <x:v>8</x:v>
      </x:c>
      <x:c r="F1613" s="12" t="n">
        <x:v>145.62</x:v>
      </x:c>
      <x:c r="G1613" s="12" t="n">
        <x:v>1164.96</x:v>
      </x:c>
      <x:c r="H1613" s="13" t="n">
        <x:v>458</x:v>
      </x:c>
      <x:c r="I1613" s="13" t="n">
        <x:f>YEAR(B1613)</x:f>
        <x:v>2023</x:v>
      </x:c>
      <x:c r="J1613" s="13" t="n">
        <x:f>MONTH(B1613)</x:f>
        <x:v>2</x:v>
      </x:c>
      <x:c r="K1613" s="14" t="n">
        <x:f>ROUND(E1613*F1613-G1613,10)</x:f>
        <x:v>0</x:v>
      </x:c>
      <x:c r="L1613" s="2"/>
      <x:c r="M1613" s="2"/>
      <x:c r="N1613" s="2"/>
      <x:c r="O1613" s="2"/>
      <x:c r="P1613" s="2"/>
      <x:c r="Q1613" s="2"/>
      <x:c r="R1613" s="2"/>
    </x:row>
    <x:row r="1614" ht="22" customHeight="1">
      <x:c r="A1614" s="2" t="n">
        <x:v>101608</x:v>
      </x:c>
      <x:c r="B1614" s="10" t="n">
        <x:v>45086</x:v>
      </x:c>
      <x:c r="C1614" s="2" t="str">
        <x:v>México</x:v>
      </x:c>
      <x:c r="D1614" s="2" t="str">
        <x:v>Moda Feminina</x:v>
      </x:c>
      <x:c r="E1614" s="11" t="n">
        <x:v>24</x:v>
      </x:c>
      <x:c r="F1614" s="12" t="n">
        <x:v>68.29</x:v>
      </x:c>
      <x:c r="G1614" s="12" t="n">
        <x:v>1638.96</x:v>
      </x:c>
      <x:c r="H1614" s="13" t="n">
        <x:v>264</x:v>
      </x:c>
      <x:c r="I1614" s="13" t="n">
        <x:f>YEAR(B1614)</x:f>
        <x:v>2023</x:v>
      </x:c>
      <x:c r="J1614" s="13" t="n">
        <x:f>MONTH(B1614)</x:f>
        <x:v>6</x:v>
      </x:c>
      <x:c r="K1614" s="14" t="n">
        <x:f>ROUND(E1614*F1614-G1614,10)</x:f>
        <x:v>0</x:v>
      </x:c>
      <x:c r="L1614" s="2"/>
      <x:c r="M1614" s="2"/>
      <x:c r="N1614" s="2"/>
      <x:c r="O1614" s="2"/>
      <x:c r="P1614" s="2"/>
      <x:c r="Q1614" s="2"/>
      <x:c r="R1614" s="2"/>
    </x:row>
    <x:row r="1615" ht="22" customHeight="1">
      <x:c r="A1615" s="2" t="n">
        <x:v>101609</x:v>
      </x:c>
      <x:c r="B1615" s="10" t="n">
        <x:v>45392</x:v>
      </x:c>
      <x:c r="C1615" s="2" t="str">
        <x:v>Peru</x:v>
      </x:c>
      <x:c r="D1615" s="2" t="str">
        <x:v>Moda Feminina</x:v>
      </x:c>
      <x:c r="E1615" s="11" t="n">
        <x:v>22</x:v>
      </x:c>
      <x:c r="F1615" s="12" t="n">
        <x:v>199.88</x:v>
      </x:c>
      <x:c r="G1615" s="12" t="n">
        <x:v>4397.36</x:v>
      </x:c>
      <x:c r="H1615" s="13" t="n">
        <x:v>141</x:v>
      </x:c>
      <x:c r="I1615" s="13" t="n">
        <x:f>YEAR(B1615)</x:f>
        <x:v>2024</x:v>
      </x:c>
      <x:c r="J1615" s="13" t="n">
        <x:f>MONTH(B1615)</x:f>
        <x:v>4</x:v>
      </x:c>
      <x:c r="K1615" s="14" t="n">
        <x:f>ROUND(E1615*F1615-G1615,10)</x:f>
        <x:v>0</x:v>
      </x:c>
      <x:c r="L1615" s="2"/>
      <x:c r="M1615" s="2"/>
      <x:c r="N1615" s="2"/>
      <x:c r="O1615" s="2"/>
      <x:c r="P1615" s="2"/>
      <x:c r="Q1615" s="2"/>
      <x:c r="R1615" s="2"/>
    </x:row>
    <x:row r="1616" ht="22" customHeight="1">
      <x:c r="A1616" s="2" t="n">
        <x:v>101610</x:v>
      </x:c>
      <x:c r="B1616" s="10" t="n">
        <x:v>45224</x:v>
      </x:c>
      <x:c r="C1616" s="2" t="str">
        <x:v>Peru</x:v>
      </x:c>
      <x:c r="D1616" s="2" t="str">
        <x:v>Acessórios</x:v>
      </x:c>
      <x:c r="E1616" s="11" t="n">
        <x:v>19</x:v>
      </x:c>
      <x:c r="F1616" s="12" t="n">
        <x:v>51.56</x:v>
      </x:c>
      <x:c r="G1616" s="12" t="n">
        <x:v>979.6400000000001</x:v>
      </x:c>
      <x:c r="H1616" s="13" t="n">
        <x:v>352</x:v>
      </x:c>
      <x:c r="I1616" s="13" t="n">
        <x:f>YEAR(B1616)</x:f>
        <x:v>2023</x:v>
      </x:c>
      <x:c r="J1616" s="13" t="n">
        <x:f>MONTH(B1616)</x:f>
        <x:v>10</x:v>
      </x:c>
      <x:c r="K1616" s="14" t="n">
        <x:f>ROUND(E1616*F1616-G1616,10)</x:f>
        <x:v>0</x:v>
      </x:c>
      <x:c r="L1616" s="2"/>
      <x:c r="M1616" s="2"/>
      <x:c r="N1616" s="2"/>
      <x:c r="O1616" s="2"/>
      <x:c r="P1616" s="2"/>
      <x:c r="Q1616" s="2"/>
      <x:c r="R1616" s="2"/>
    </x:row>
    <x:row r="1617" ht="22" customHeight="1">
      <x:c r="A1617" s="2" t="n">
        <x:v>101611</x:v>
      </x:c>
      <x:c r="B1617" s="10" t="n">
        <x:v>45206</x:v>
      </x:c>
      <x:c r="C1617" s="2" t="str">
        <x:v>Argentina</x:v>
      </x:c>
      <x:c r="D1617" s="2" t="str">
        <x:v>Acessórios</x:v>
      </x:c>
      <x:c r="E1617" s="11" t="n">
        <x:v>37</x:v>
      </x:c>
      <x:c r="F1617" s="12" t="n">
        <x:v>21.82</x:v>
      </x:c>
      <x:c r="G1617" s="12" t="n">
        <x:v>807.34</x:v>
      </x:c>
      <x:c r="H1617" s="13" t="n">
        <x:v>284</x:v>
      </x:c>
      <x:c r="I1617" s="13" t="n">
        <x:f>YEAR(B1617)</x:f>
        <x:v>2023</x:v>
      </x:c>
      <x:c r="J1617" s="13" t="n">
        <x:f>MONTH(B1617)</x:f>
        <x:v>10</x:v>
      </x:c>
      <x:c r="K1617" s="14" t="n">
        <x:f>ROUND(E1617*F1617-G1617,10)</x:f>
        <x:v>0</x:v>
      </x:c>
      <x:c r="L1617" s="2"/>
      <x:c r="M1617" s="2"/>
      <x:c r="N1617" s="2"/>
      <x:c r="O1617" s="2"/>
      <x:c r="P1617" s="2"/>
      <x:c r="Q1617" s="2"/>
      <x:c r="R1617" s="2"/>
    </x:row>
    <x:row r="1618" ht="22" customHeight="1">
      <x:c r="A1618" s="2" t="n">
        <x:v>101612</x:v>
      </x:c>
      <x:c r="B1618" s="10" t="n">
        <x:v>44943</x:v>
      </x:c>
      <x:c r="C1618" s="2" t="str">
        <x:v>Colômbia</x:v>
      </x:c>
      <x:c r="D1618" s="2" t="str">
        <x:v>Moda Feminina</x:v>
      </x:c>
      <x:c r="E1618" s="11" t="n">
        <x:v>18</x:v>
      </x:c>
      <x:c r="F1618" s="12" t="n">
        <x:v>46.79</x:v>
      </x:c>
      <x:c r="G1618" s="12" t="n">
        <x:v>842.22</x:v>
      </x:c>
      <x:c r="H1618" s="13" t="n">
        <x:v>233</x:v>
      </x:c>
      <x:c r="I1618" s="13" t="n">
        <x:f>YEAR(B1618)</x:f>
        <x:v>2023</x:v>
      </x:c>
      <x:c r="J1618" s="13" t="n">
        <x:f>MONTH(B1618)</x:f>
        <x:v>1</x:v>
      </x:c>
      <x:c r="K1618" s="14" t="n">
        <x:f>ROUND(E1618*F1618-G1618,10)</x:f>
        <x:v>0</x:v>
      </x:c>
      <x:c r="L1618" s="2"/>
      <x:c r="M1618" s="2"/>
      <x:c r="N1618" s="2"/>
      <x:c r="O1618" s="2"/>
      <x:c r="P1618" s="2"/>
      <x:c r="Q1618" s="2"/>
      <x:c r="R1618" s="2"/>
    </x:row>
    <x:row r="1619" ht="22" customHeight="1">
      <x:c r="A1619" s="2" t="n">
        <x:v>101613</x:v>
      </x:c>
      <x:c r="B1619" s="10" t="n">
        <x:v>45616</x:v>
      </x:c>
      <x:c r="C1619" s="2" t="str">
        <x:v>Argentina</x:v>
      </x:c>
      <x:c r="D1619" s="2" t="str">
        <x:v>Moda Feminina</x:v>
      </x:c>
      <x:c r="E1619" s="11" t="n">
        <x:v>31</x:v>
      </x:c>
      <x:c r="F1619" s="12" t="n">
        <x:v>159.66</x:v>
      </x:c>
      <x:c r="G1619" s="12" t="n">
        <x:v>4949.46</x:v>
      </x:c>
      <x:c r="H1619" s="13" t="n">
        <x:v>87</x:v>
      </x:c>
      <x:c r="I1619" s="13" t="n">
        <x:f>YEAR(B1619)</x:f>
        <x:v>2024</x:v>
      </x:c>
      <x:c r="J1619" s="13" t="n">
        <x:f>MONTH(B1619)</x:f>
        <x:v>11</x:v>
      </x:c>
      <x:c r="K1619" s="14" t="n">
        <x:f>ROUND(E1619*F1619-G1619,10)</x:f>
        <x:v>0</x:v>
      </x:c>
      <x:c r="L1619" s="2"/>
      <x:c r="M1619" s="2"/>
      <x:c r="N1619" s="2"/>
      <x:c r="O1619" s="2"/>
      <x:c r="P1619" s="2"/>
      <x:c r="Q1619" s="2"/>
      <x:c r="R1619" s="2"/>
    </x:row>
    <x:row r="1620" ht="22" customHeight="1">
      <x:c r="A1620" s="2" t="n">
        <x:v>101614</x:v>
      </x:c>
      <x:c r="B1620" s="10" t="n">
        <x:v>45427</x:v>
      </x:c>
      <x:c r="C1620" s="2" t="str">
        <x:v>Peru</x:v>
      </x:c>
      <x:c r="D1620" s="2" t="str">
        <x:v>Moda Masculina</x:v>
      </x:c>
      <x:c r="E1620" s="11" t="n">
        <x:v>37</x:v>
      </x:c>
      <x:c r="F1620" s="12" t="n">
        <x:v>100.42</x:v>
      </x:c>
      <x:c r="G1620" s="12" t="n">
        <x:v>3715.54</x:v>
      </x:c>
      <x:c r="H1620" s="13" t="n">
        <x:v>188</x:v>
      </x:c>
      <x:c r="I1620" s="13" t="n">
        <x:f>YEAR(B1620)</x:f>
        <x:v>2024</x:v>
      </x:c>
      <x:c r="J1620" s="13" t="n">
        <x:f>MONTH(B1620)</x:f>
        <x:v>5</x:v>
      </x:c>
      <x:c r="K1620" s="14" t="n">
        <x:f>ROUND(E1620*F1620-G1620,10)</x:f>
        <x:v>0</x:v>
      </x:c>
      <x:c r="L1620" s="2"/>
      <x:c r="M1620" s="2"/>
      <x:c r="N1620" s="2"/>
      <x:c r="O1620" s="2"/>
      <x:c r="P1620" s="2"/>
      <x:c r="Q1620" s="2"/>
      <x:c r="R1620" s="2"/>
    </x:row>
    <x:row r="1621" ht="22" customHeight="1">
      <x:c r="A1621" s="2" t="n">
        <x:v>101615</x:v>
      </x:c>
      <x:c r="B1621" s="10" t="n">
        <x:v>45618</x:v>
      </x:c>
      <x:c r="C1621" s="2" t="str">
        <x:v>México</x:v>
      </x:c>
      <x:c r="D1621" s="2" t="str">
        <x:v>Moda Masculina</x:v>
      </x:c>
      <x:c r="E1621" s="11" t="n">
        <x:v>30</x:v>
      </x:c>
      <x:c r="F1621" s="12" t="n">
        <x:v>100.55</x:v>
      </x:c>
      <x:c r="G1621" s="12" t="n">
        <x:v>3016.5</x:v>
      </x:c>
      <x:c r="H1621" s="13" t="n">
        <x:v>244</x:v>
      </x:c>
      <x:c r="I1621" s="13" t="n">
        <x:f>YEAR(B1621)</x:f>
        <x:v>2024</x:v>
      </x:c>
      <x:c r="J1621" s="13" t="n">
        <x:f>MONTH(B1621)</x:f>
        <x:v>11</x:v>
      </x:c>
      <x:c r="K1621" s="14" t="n">
        <x:f>ROUND(E1621*F1621-G1621,10)</x:f>
        <x:v>0</x:v>
      </x:c>
      <x:c r="L1621" s="2"/>
      <x:c r="M1621" s="2"/>
      <x:c r="N1621" s="2"/>
      <x:c r="O1621" s="2"/>
      <x:c r="P1621" s="2"/>
      <x:c r="Q1621" s="2"/>
      <x:c r="R1621" s="2"/>
    </x:row>
    <x:row r="1622" ht="22" customHeight="1">
      <x:c r="A1622" s="2" t="n">
        <x:v>101616</x:v>
      </x:c>
      <x:c r="B1622" s="10" t="n">
        <x:v>45599</x:v>
      </x:c>
      <x:c r="C1622" s="2" t="str">
        <x:v>Brasil</x:v>
      </x:c>
      <x:c r="D1622" s="2" t="str">
        <x:v>Moda Feminina</x:v>
      </x:c>
      <x:c r="E1622" s="11" t="n">
        <x:v>42</x:v>
      </x:c>
      <x:c r="F1622" s="12" t="n">
        <x:v>191.9</x:v>
      </x:c>
      <x:c r="G1622" s="12" t="n">
        <x:v>8059.8</x:v>
      </x:c>
      <x:c r="H1622" s="13" t="n">
        <x:v>64</x:v>
      </x:c>
      <x:c r="I1622" s="13" t="n">
        <x:f>YEAR(B1622)</x:f>
        <x:v>2024</x:v>
      </x:c>
      <x:c r="J1622" s="13" t="n">
        <x:f>MONTH(B1622)</x:f>
        <x:v>11</x:v>
      </x:c>
      <x:c r="K1622" s="14" t="n">
        <x:f>ROUND(E1622*F1622-G1622,10)</x:f>
        <x:v>0</x:v>
      </x:c>
      <x:c r="L1622" s="2"/>
      <x:c r="M1622" s="2"/>
      <x:c r="N1622" s="2"/>
      <x:c r="O1622" s="2"/>
      <x:c r="P1622" s="2"/>
      <x:c r="Q1622" s="2"/>
      <x:c r="R1622" s="2"/>
    </x:row>
    <x:row r="1623" ht="22" customHeight="1">
      <x:c r="A1623" s="2" t="n">
        <x:v>101617</x:v>
      </x:c>
      <x:c r="B1623" s="10" t="n">
        <x:v>44962</x:v>
      </x:c>
      <x:c r="C1623" s="2" t="str">
        <x:v>Brasil</x:v>
      </x:c>
      <x:c r="D1623" s="2" t="str">
        <x:v>Moda Masculina</x:v>
      </x:c>
      <x:c r="E1623" s="11" t="n">
        <x:v>33</x:v>
      </x:c>
      <x:c r="F1623" s="12" t="n">
        <x:v>185.53</x:v>
      </x:c>
      <x:c r="G1623" s="12" t="n">
        <x:v>6122.49</x:v>
      </x:c>
      <x:c r="H1623" s="13" t="n">
        <x:v>306</x:v>
      </x:c>
      <x:c r="I1623" s="13" t="n">
        <x:f>YEAR(B1623)</x:f>
        <x:v>2023</x:v>
      </x:c>
      <x:c r="J1623" s="13" t="n">
        <x:f>MONTH(B1623)</x:f>
        <x:v>2</x:v>
      </x:c>
      <x:c r="K1623" s="14" t="n">
        <x:f>ROUND(E1623*F1623-G1623,10)</x:f>
        <x:v>0</x:v>
      </x:c>
      <x:c r="L1623" s="2"/>
      <x:c r="M1623" s="2"/>
      <x:c r="N1623" s="2"/>
      <x:c r="O1623" s="2"/>
      <x:c r="P1623" s="2"/>
      <x:c r="Q1623" s="2"/>
      <x:c r="R1623" s="2"/>
    </x:row>
    <x:row r="1624" ht="22" customHeight="1">
      <x:c r="A1624" s="2" t="n">
        <x:v>101618</x:v>
      </x:c>
      <x:c r="B1624" s="10" t="n">
        <x:v>45394</x:v>
      </x:c>
      <x:c r="C1624" s="2" t="str">
        <x:v>México</x:v>
      </x:c>
      <x:c r="D1624" s="2" t="str">
        <x:v>Calçados</x:v>
      </x:c>
      <x:c r="E1624" s="11" t="n">
        <x:v>10</x:v>
      </x:c>
      <x:c r="F1624" s="12" t="n">
        <x:v>76.02</x:v>
      </x:c>
      <x:c r="G1624" s="12" t="n">
        <x:v>760.1999999999999</x:v>
      </x:c>
      <x:c r="H1624" s="13" t="n">
        <x:v>184</x:v>
      </x:c>
      <x:c r="I1624" s="13" t="n">
        <x:f>YEAR(B1624)</x:f>
        <x:v>2024</x:v>
      </x:c>
      <x:c r="J1624" s="13" t="n">
        <x:f>MONTH(B1624)</x:f>
        <x:v>4</x:v>
      </x:c>
      <x:c r="K1624" s="14" t="n">
        <x:f>ROUND(E1624*F1624-G1624,10)</x:f>
        <x:v>0</x:v>
      </x:c>
      <x:c r="L1624" s="2"/>
      <x:c r="M1624" s="2"/>
      <x:c r="N1624" s="2"/>
      <x:c r="O1624" s="2"/>
      <x:c r="P1624" s="2"/>
      <x:c r="Q1624" s="2"/>
      <x:c r="R1624" s="2"/>
    </x:row>
    <x:row r="1625" ht="22" customHeight="1">
      <x:c r="A1625" s="2" t="n">
        <x:v>101619</x:v>
      </x:c>
      <x:c r="B1625" s="10" t="n">
        <x:v>44978</x:v>
      </x:c>
      <x:c r="C1625" s="2" t="str">
        <x:v>Peru</x:v>
      </x:c>
      <x:c r="D1625" s="2" t="str">
        <x:v>Acessórios</x:v>
      </x:c>
      <x:c r="E1625" s="11" t="n">
        <x:v>37</x:v>
      </x:c>
      <x:c r="F1625" s="12" t="n">
        <x:v>57.63</x:v>
      </x:c>
      <x:c r="G1625" s="12" t="n">
        <x:v>2132.31</x:v>
      </x:c>
      <x:c r="H1625" s="13" t="n">
        <x:v>50</x:v>
      </x:c>
      <x:c r="I1625" s="13" t="n">
        <x:f>YEAR(B1625)</x:f>
        <x:v>2023</x:v>
      </x:c>
      <x:c r="J1625" s="13" t="n">
        <x:f>MONTH(B1625)</x:f>
        <x:v>2</x:v>
      </x:c>
      <x:c r="K1625" s="14" t="n">
        <x:f>ROUND(E1625*F1625-G1625,10)</x:f>
        <x:v>0</x:v>
      </x:c>
      <x:c r="L1625" s="2"/>
      <x:c r="M1625" s="2"/>
      <x:c r="N1625" s="2"/>
      <x:c r="O1625" s="2"/>
      <x:c r="P1625" s="2"/>
      <x:c r="Q1625" s="2"/>
      <x:c r="R1625" s="2"/>
    </x:row>
    <x:row r="1626" ht="22" customHeight="1">
      <x:c r="A1626" s="2" t="n">
        <x:v>101620</x:v>
      </x:c>
      <x:c r="B1626" s="10" t="n">
        <x:v>45139</x:v>
      </x:c>
      <x:c r="C1626" s="2" t="str">
        <x:v>Brasil</x:v>
      </x:c>
      <x:c r="D1626" s="2" t="str">
        <x:v>Acessórios</x:v>
      </x:c>
      <x:c r="E1626" s="11" t="n">
        <x:v>12</x:v>
      </x:c>
      <x:c r="F1626" s="12" t="n">
        <x:v>172.73</x:v>
      </x:c>
      <x:c r="G1626" s="12" t="n">
        <x:v>2072.76</x:v>
      </x:c>
      <x:c r="H1626" s="13" t="n">
        <x:v>98</x:v>
      </x:c>
      <x:c r="I1626" s="13" t="n">
        <x:f>YEAR(B1626)</x:f>
        <x:v>2023</x:v>
      </x:c>
      <x:c r="J1626" s="13" t="n">
        <x:f>MONTH(B1626)</x:f>
        <x:v>8</x:v>
      </x:c>
      <x:c r="K1626" s="14" t="n">
        <x:f>ROUND(E1626*F1626-G1626,10)</x:f>
        <x:v>0</x:v>
      </x:c>
      <x:c r="L1626" s="2"/>
      <x:c r="M1626" s="2"/>
      <x:c r="N1626" s="2"/>
      <x:c r="O1626" s="2"/>
      <x:c r="P1626" s="2"/>
      <x:c r="Q1626" s="2"/>
      <x:c r="R1626" s="2"/>
    </x:row>
    <x:row r="1627" ht="22" customHeight="1">
      <x:c r="A1627" s="2" t="n">
        <x:v>101621</x:v>
      </x:c>
      <x:c r="B1627" s="10" t="n">
        <x:v>45430</x:v>
      </x:c>
      <x:c r="C1627" s="2" t="str">
        <x:v>Brasil</x:v>
      </x:c>
      <x:c r="D1627" s="2" t="str">
        <x:v>Moda Feminina</x:v>
      </x:c>
      <x:c r="E1627" s="11" t="n">
        <x:v>30</x:v>
      </x:c>
      <x:c r="F1627" s="12" t="n">
        <x:v>183.08</x:v>
      </x:c>
      <x:c r="G1627" s="12" t="n">
        <x:v>5492.400000000001</x:v>
      </x:c>
      <x:c r="H1627" s="13" t="n">
        <x:v>145</x:v>
      </x:c>
      <x:c r="I1627" s="13" t="n">
        <x:f>YEAR(B1627)</x:f>
        <x:v>2024</x:v>
      </x:c>
      <x:c r="J1627" s="13" t="n">
        <x:f>MONTH(B1627)</x:f>
        <x:v>5</x:v>
      </x:c>
      <x:c r="K1627" s="14" t="n">
        <x:f>ROUND(E1627*F1627-G1627,10)</x:f>
        <x:v>0</x:v>
      </x:c>
      <x:c r="L1627" s="2"/>
      <x:c r="M1627" s="2"/>
      <x:c r="N1627" s="2"/>
      <x:c r="O1627" s="2"/>
      <x:c r="P1627" s="2"/>
      <x:c r="Q1627" s="2"/>
      <x:c r="R1627" s="2"/>
    </x:row>
    <x:row r="1628" ht="22" customHeight="1">
      <x:c r="A1628" s="2" t="n">
        <x:v>101622</x:v>
      </x:c>
      <x:c r="B1628" s="10" t="n">
        <x:v>45144</x:v>
      </x:c>
      <x:c r="C1628" s="2" t="str">
        <x:v>Brasil</x:v>
      </x:c>
      <x:c r="D1628" s="2" t="str">
        <x:v>Moda Infantil</x:v>
      </x:c>
      <x:c r="E1628" s="11" t="n">
        <x:v>27</x:v>
      </x:c>
      <x:c r="F1628" s="12" t="n">
        <x:v>117.49</x:v>
      </x:c>
      <x:c r="G1628" s="12" t="n">
        <x:v>3172.23</x:v>
      </x:c>
      <x:c r="H1628" s="13" t="n">
        <x:v>250</x:v>
      </x:c>
      <x:c r="I1628" s="13" t="n">
        <x:f>YEAR(B1628)</x:f>
        <x:v>2023</x:v>
      </x:c>
      <x:c r="J1628" s="13" t="n">
        <x:f>MONTH(B1628)</x:f>
        <x:v>8</x:v>
      </x:c>
      <x:c r="K1628" s="14" t="n">
        <x:f>ROUND(E1628*F1628-G1628,10)</x:f>
        <x:v>0</x:v>
      </x:c>
      <x:c r="L1628" s="2"/>
      <x:c r="M1628" s="2"/>
      <x:c r="N1628" s="2"/>
      <x:c r="O1628" s="2"/>
      <x:c r="P1628" s="2"/>
      <x:c r="Q1628" s="2"/>
      <x:c r="R1628" s="2"/>
    </x:row>
    <x:row r="1629" ht="22" customHeight="1">
      <x:c r="A1629" s="2" t="n">
        <x:v>101623</x:v>
      </x:c>
      <x:c r="B1629" s="10" t="n">
        <x:v>45526</x:v>
      </x:c>
      <x:c r="C1629" s="2" t="str">
        <x:v>Colômbia</x:v>
      </x:c>
      <x:c r="D1629" s="2" t="str">
        <x:v>Moda Feminina</x:v>
      </x:c>
      <x:c r="E1629" s="11" t="n">
        <x:v>39</x:v>
      </x:c>
      <x:c r="F1629" s="12" t="n">
        <x:v>133.3</x:v>
      </x:c>
      <x:c r="G1629" s="12" t="n">
        <x:v>5198.700000000001</x:v>
      </x:c>
      <x:c r="H1629" s="13" t="n">
        <x:v>462</x:v>
      </x:c>
      <x:c r="I1629" s="13" t="n">
        <x:f>YEAR(B1629)</x:f>
        <x:v>2024</x:v>
      </x:c>
      <x:c r="J1629" s="13" t="n">
        <x:f>MONTH(B1629)</x:f>
        <x:v>8</x:v>
      </x:c>
      <x:c r="K1629" s="14" t="n">
        <x:f>ROUND(E1629*F1629-G1629,10)</x:f>
        <x:v>0</x:v>
      </x:c>
      <x:c r="L1629" s="2"/>
      <x:c r="M1629" s="2"/>
      <x:c r="N1629" s="2"/>
      <x:c r="O1629" s="2"/>
      <x:c r="P1629" s="2"/>
      <x:c r="Q1629" s="2"/>
      <x:c r="R1629" s="2"/>
    </x:row>
    <x:row r="1630" ht="22" customHeight="1">
      <x:c r="A1630" s="2" t="n">
        <x:v>101624</x:v>
      </x:c>
      <x:c r="B1630" s="10" t="n">
        <x:v>45347</x:v>
      </x:c>
      <x:c r="C1630" s="2" t="str">
        <x:v>Colômbia</x:v>
      </x:c>
      <x:c r="D1630" s="2" t="str">
        <x:v>Moda Masculina</x:v>
      </x:c>
      <x:c r="E1630" s="11" t="n">
        <x:v>9</x:v>
      </x:c>
      <x:c r="F1630" s="12" t="n">
        <x:v>66.24</x:v>
      </x:c>
      <x:c r="G1630" s="12" t="n">
        <x:v>596.16</x:v>
      </x:c>
      <x:c r="H1630" s="13" t="n">
        <x:v>75</x:v>
      </x:c>
      <x:c r="I1630" s="13" t="n">
        <x:f>YEAR(B1630)</x:f>
        <x:v>2024</x:v>
      </x:c>
      <x:c r="J1630" s="13" t="n">
        <x:f>MONTH(B1630)</x:f>
        <x:v>2</x:v>
      </x:c>
      <x:c r="K1630" s="14" t="n">
        <x:f>ROUND(E1630*F1630-G1630,10)</x:f>
        <x:v>0</x:v>
      </x:c>
      <x:c r="L1630" s="2"/>
      <x:c r="M1630" s="2"/>
      <x:c r="N1630" s="2"/>
      <x:c r="O1630" s="2"/>
      <x:c r="P1630" s="2"/>
      <x:c r="Q1630" s="2"/>
      <x:c r="R1630" s="2"/>
    </x:row>
    <x:row r="1631" ht="22" customHeight="1">
      <x:c r="A1631" s="2" t="n">
        <x:v>101625</x:v>
      </x:c>
      <x:c r="B1631" s="10" t="n">
        <x:v>45149</x:v>
      </x:c>
      <x:c r="C1631" s="2" t="str">
        <x:v>Chile</x:v>
      </x:c>
      <x:c r="D1631" s="2" t="str">
        <x:v>Moda Infantil</x:v>
      </x:c>
      <x:c r="E1631" s="11" t="n">
        <x:v>21</x:v>
      </x:c>
      <x:c r="F1631" s="12" t="n">
        <x:v>164.14</x:v>
      </x:c>
      <x:c r="G1631" s="12" t="n">
        <x:v>3446.94</x:v>
      </x:c>
      <x:c r="H1631" s="13" t="n">
        <x:v>392</x:v>
      </x:c>
      <x:c r="I1631" s="13" t="n">
        <x:f>YEAR(B1631)</x:f>
        <x:v>2023</x:v>
      </x:c>
      <x:c r="J1631" s="13" t="n">
        <x:f>MONTH(B1631)</x:f>
        <x:v>8</x:v>
      </x:c>
      <x:c r="K1631" s="14" t="n">
        <x:f>ROUND(E1631*F1631-G1631,10)</x:f>
        <x:v>0</x:v>
      </x:c>
      <x:c r="L1631" s="2"/>
      <x:c r="M1631" s="2"/>
      <x:c r="N1631" s="2"/>
      <x:c r="O1631" s="2"/>
      <x:c r="P1631" s="2"/>
      <x:c r="Q1631" s="2"/>
      <x:c r="R1631" s="2"/>
    </x:row>
    <x:row r="1632" ht="22" customHeight="1">
      <x:c r="A1632" s="2" t="n">
        <x:v>101626</x:v>
      </x:c>
      <x:c r="B1632" s="10" t="n">
        <x:v>45634</x:v>
      </x:c>
      <x:c r="C1632" s="2" t="str">
        <x:v>Argentina</x:v>
      </x:c>
      <x:c r="D1632" s="2" t="str">
        <x:v>Moda Masculina</x:v>
      </x:c>
      <x:c r="E1632" s="11" t="n">
        <x:v>12</x:v>
      </x:c>
      <x:c r="F1632" s="12" t="n">
        <x:v>133.78</x:v>
      </x:c>
      <x:c r="G1632" s="12" t="n">
        <x:v>1605.36</x:v>
      </x:c>
      <x:c r="H1632" s="13" t="n">
        <x:v>478</x:v>
      </x:c>
      <x:c r="I1632" s="13" t="n">
        <x:f>YEAR(B1632)</x:f>
        <x:v>2024</x:v>
      </x:c>
      <x:c r="J1632" s="13" t="n">
        <x:f>MONTH(B1632)</x:f>
        <x:v>12</x:v>
      </x:c>
      <x:c r="K1632" s="14" t="n">
        <x:f>ROUND(E1632*F1632-G1632,10)</x:f>
        <x:v>0</x:v>
      </x:c>
      <x:c r="L1632" s="2"/>
      <x:c r="M1632" s="2"/>
      <x:c r="N1632" s="2"/>
      <x:c r="O1632" s="2"/>
      <x:c r="P1632" s="2"/>
      <x:c r="Q1632" s="2"/>
      <x:c r="R1632" s="2"/>
    </x:row>
    <x:row r="1633" ht="22" customHeight="1">
      <x:c r="A1633" s="2" t="n">
        <x:v>101627</x:v>
      </x:c>
      <x:c r="B1633" s="10" t="n">
        <x:v>45149</x:v>
      </x:c>
      <x:c r="C1633" s="2" t="str">
        <x:v>México</x:v>
      </x:c>
      <x:c r="D1633" s="2" t="str">
        <x:v>Calçados</x:v>
      </x:c>
      <x:c r="E1633" s="11" t="n">
        <x:v>29</x:v>
      </x:c>
      <x:c r="F1633" s="12" t="n">
        <x:v>110.63</x:v>
      </x:c>
      <x:c r="G1633" s="12" t="n">
        <x:v>3208.27</x:v>
      </x:c>
      <x:c r="H1633" s="13" t="n">
        <x:v>284</x:v>
      </x:c>
      <x:c r="I1633" s="13" t="n">
        <x:f>YEAR(B1633)</x:f>
        <x:v>2023</x:v>
      </x:c>
      <x:c r="J1633" s="13" t="n">
        <x:f>MONTH(B1633)</x:f>
        <x:v>8</x:v>
      </x:c>
      <x:c r="K1633" s="14" t="n">
        <x:f>ROUND(E1633*F1633-G1633,10)</x:f>
        <x:v>0</x:v>
      </x:c>
      <x:c r="L1633" s="2"/>
      <x:c r="M1633" s="2"/>
      <x:c r="N1633" s="2"/>
      <x:c r="O1633" s="2"/>
      <x:c r="P1633" s="2"/>
      <x:c r="Q1633" s="2"/>
      <x:c r="R1633" s="2"/>
    </x:row>
    <x:row r="1634" ht="22" customHeight="1">
      <x:c r="A1634" s="2" t="n">
        <x:v>101628</x:v>
      </x:c>
      <x:c r="B1634" s="10" t="n">
        <x:v>45332</x:v>
      </x:c>
      <x:c r="C1634" s="2" t="str">
        <x:v>México</x:v>
      </x:c>
      <x:c r="D1634" s="2" t="str">
        <x:v>Moda Masculina</x:v>
      </x:c>
      <x:c r="E1634" s="11" t="n">
        <x:v>33</x:v>
      </x:c>
      <x:c r="F1634" s="12" t="n">
        <x:v>30.82</x:v>
      </x:c>
      <x:c r="G1634" s="12" t="n">
        <x:v>1017.06</x:v>
      </x:c>
      <x:c r="H1634" s="13" t="n">
        <x:v>398</x:v>
      </x:c>
      <x:c r="I1634" s="13" t="n">
        <x:f>YEAR(B1634)</x:f>
        <x:v>2024</x:v>
      </x:c>
      <x:c r="J1634" s="13" t="n">
        <x:f>MONTH(B1634)</x:f>
        <x:v>2</x:v>
      </x:c>
      <x:c r="K1634" s="14" t="n">
        <x:f>ROUND(E1634*F1634-G1634,10)</x:f>
        <x:v>0</x:v>
      </x:c>
      <x:c r="L1634" s="2"/>
      <x:c r="M1634" s="2"/>
      <x:c r="N1634" s="2"/>
      <x:c r="O1634" s="2"/>
      <x:c r="P1634" s="2"/>
      <x:c r="Q1634" s="2"/>
      <x:c r="R1634" s="2"/>
    </x:row>
    <x:row r="1635" ht="22" customHeight="1">
      <x:c r="A1635" s="2" t="n">
        <x:v>101629</x:v>
      </x:c>
      <x:c r="B1635" s="10" t="n">
        <x:v>45181</x:v>
      </x:c>
      <x:c r="C1635" s="2" t="str">
        <x:v>México</x:v>
      </x:c>
      <x:c r="D1635" s="2" t="str">
        <x:v>Calçados</x:v>
      </x:c>
      <x:c r="E1635" s="11" t="n">
        <x:v>43</x:v>
      </x:c>
      <x:c r="F1635" s="12" t="n">
        <x:v>184.87</x:v>
      </x:c>
      <x:c r="G1635" s="12" t="n">
        <x:v>7949.41</x:v>
      </x:c>
      <x:c r="H1635" s="13" t="n">
        <x:v>293</x:v>
      </x:c>
      <x:c r="I1635" s="13" t="n">
        <x:f>YEAR(B1635)</x:f>
        <x:v>2023</x:v>
      </x:c>
      <x:c r="J1635" s="13" t="n">
        <x:f>MONTH(B1635)</x:f>
        <x:v>9</x:v>
      </x:c>
      <x:c r="K1635" s="14" t="n">
        <x:f>ROUND(E1635*F1635-G1635,10)</x:f>
        <x:v>0</x:v>
      </x:c>
      <x:c r="L1635" s="2"/>
      <x:c r="M1635" s="2"/>
      <x:c r="N1635" s="2"/>
      <x:c r="O1635" s="2"/>
      <x:c r="P1635" s="2"/>
      <x:c r="Q1635" s="2"/>
      <x:c r="R1635" s="2"/>
    </x:row>
    <x:row r="1636" ht="22" customHeight="1">
      <x:c r="A1636" s="2" t="n">
        <x:v>101630</x:v>
      </x:c>
      <x:c r="B1636" s="10" t="n">
        <x:v>45357</x:v>
      </x:c>
      <x:c r="C1636" s="2" t="str">
        <x:v>Chile</x:v>
      </x:c>
      <x:c r="D1636" s="2" t="str">
        <x:v>Calçados</x:v>
      </x:c>
      <x:c r="E1636" s="11" t="n">
        <x:v>15</x:v>
      </x:c>
      <x:c r="F1636" s="12" t="n">
        <x:v>130.78</x:v>
      </x:c>
      <x:c r="G1636" s="12" t="n">
        <x:v>1961.7</x:v>
      </x:c>
      <x:c r="H1636" s="13" t="n">
        <x:v>407</x:v>
      </x:c>
      <x:c r="I1636" s="13" t="n">
        <x:f>YEAR(B1636)</x:f>
        <x:v>2024</x:v>
      </x:c>
      <x:c r="J1636" s="13" t="n">
        <x:f>MONTH(B1636)</x:f>
        <x:v>3</x:v>
      </x:c>
      <x:c r="K1636" s="14" t="n">
        <x:f>ROUND(E1636*F1636-G1636,10)</x:f>
        <x:v>0</x:v>
      </x:c>
      <x:c r="L1636" s="2"/>
      <x:c r="M1636" s="2"/>
      <x:c r="N1636" s="2"/>
      <x:c r="O1636" s="2"/>
      <x:c r="P1636" s="2"/>
      <x:c r="Q1636" s="2"/>
      <x:c r="R1636" s="2"/>
    </x:row>
    <x:row r="1637" ht="22" customHeight="1">
      <x:c r="A1637" s="2" t="n">
        <x:v>101631</x:v>
      </x:c>
      <x:c r="B1637" s="10" t="n">
        <x:v>45303</x:v>
      </x:c>
      <x:c r="C1637" s="2" t="str">
        <x:v>Colômbia</x:v>
      </x:c>
      <x:c r="D1637" s="2" t="str">
        <x:v>Moda Masculina</x:v>
      </x:c>
      <x:c r="E1637" s="11" t="n">
        <x:v>2</x:v>
      </x:c>
      <x:c r="F1637" s="12" t="n">
        <x:v>54.68</x:v>
      </x:c>
      <x:c r="G1637" s="12" t="n">
        <x:v>109.36</x:v>
      </x:c>
      <x:c r="H1637" s="13" t="n">
        <x:v>376</x:v>
      </x:c>
      <x:c r="I1637" s="13" t="n">
        <x:f>YEAR(B1637)</x:f>
        <x:v>2024</x:v>
      </x:c>
      <x:c r="J1637" s="13" t="n">
        <x:f>MONTH(B1637)</x:f>
        <x:v>1</x:v>
      </x:c>
      <x:c r="K1637" s="14" t="n">
        <x:f>ROUND(E1637*F1637-G1637,10)</x:f>
        <x:v>0</x:v>
      </x:c>
      <x:c r="L1637" s="2"/>
      <x:c r="M1637" s="2"/>
      <x:c r="N1637" s="2"/>
      <x:c r="O1637" s="2"/>
      <x:c r="P1637" s="2"/>
      <x:c r="Q1637" s="2"/>
      <x:c r="R1637" s="2"/>
    </x:row>
    <x:row r="1638" ht="22" customHeight="1">
      <x:c r="A1638" s="2" t="n">
        <x:v>101632</x:v>
      </x:c>
      <x:c r="B1638" s="10" t="n">
        <x:v>45590</x:v>
      </x:c>
      <x:c r="C1638" s="2" t="str">
        <x:v>Peru</x:v>
      </x:c>
      <x:c r="D1638" s="2" t="str">
        <x:v>Moda Masculina</x:v>
      </x:c>
      <x:c r="E1638" s="11" t="n">
        <x:v>39</x:v>
      </x:c>
      <x:c r="F1638" s="12" t="n">
        <x:v>129.15</x:v>
      </x:c>
      <x:c r="G1638" s="12" t="n">
        <x:v>5036.85</x:v>
      </x:c>
      <x:c r="H1638" s="13" t="n">
        <x:v>445</x:v>
      </x:c>
      <x:c r="I1638" s="13" t="n">
        <x:f>YEAR(B1638)</x:f>
        <x:v>2024</x:v>
      </x:c>
      <x:c r="J1638" s="13" t="n">
        <x:f>MONTH(B1638)</x:f>
        <x:v>10</x:v>
      </x:c>
      <x:c r="K1638" s="14" t="n">
        <x:f>ROUND(E1638*F1638-G1638,10)</x:f>
        <x:v>0</x:v>
      </x:c>
      <x:c r="L1638" s="2"/>
      <x:c r="M1638" s="2"/>
      <x:c r="N1638" s="2"/>
      <x:c r="O1638" s="2"/>
      <x:c r="P1638" s="2"/>
      <x:c r="Q1638" s="2"/>
      <x:c r="R1638" s="2"/>
    </x:row>
    <x:row r="1639" ht="22" customHeight="1">
      <x:c r="A1639" s="2" t="n">
        <x:v>101633</x:v>
      </x:c>
      <x:c r="B1639" s="10" t="n">
        <x:v>45455</x:v>
      </x:c>
      <x:c r="C1639" s="2" t="str">
        <x:v>Peru</x:v>
      </x:c>
      <x:c r="D1639" s="2" t="str">
        <x:v>Calçados</x:v>
      </x:c>
      <x:c r="E1639" s="11" t="n">
        <x:v>44</x:v>
      </x:c>
      <x:c r="F1639" s="12" t="n">
        <x:v>141.94</x:v>
      </x:c>
      <x:c r="G1639" s="12" t="n">
        <x:v>6245.36</x:v>
      </x:c>
      <x:c r="H1639" s="13" t="n">
        <x:v>400</x:v>
      </x:c>
      <x:c r="I1639" s="13" t="n">
        <x:f>YEAR(B1639)</x:f>
        <x:v>2024</x:v>
      </x:c>
      <x:c r="J1639" s="13" t="n">
        <x:f>MONTH(B1639)</x:f>
        <x:v>6</x:v>
      </x:c>
      <x:c r="K1639" s="14" t="n">
        <x:f>ROUND(E1639*F1639-G1639,10)</x:f>
        <x:v>0</x:v>
      </x:c>
      <x:c r="L1639" s="2"/>
      <x:c r="M1639" s="2"/>
      <x:c r="N1639" s="2"/>
      <x:c r="O1639" s="2"/>
      <x:c r="P1639" s="2"/>
      <x:c r="Q1639" s="2"/>
      <x:c r="R1639" s="2"/>
    </x:row>
    <x:row r="1640" ht="22" customHeight="1">
      <x:c r="A1640" s="2" t="n">
        <x:v>101634</x:v>
      </x:c>
      <x:c r="B1640" s="10" t="n">
        <x:v>45344</x:v>
      </x:c>
      <x:c r="C1640" s="2" t="str">
        <x:v>Chile</x:v>
      </x:c>
      <x:c r="D1640" s="2" t="str">
        <x:v>Moda Infantil</x:v>
      </x:c>
      <x:c r="E1640" s="11" t="n">
        <x:v>18</x:v>
      </x:c>
      <x:c r="F1640" s="12" t="n">
        <x:v>114.64</x:v>
      </x:c>
      <x:c r="G1640" s="12" t="n">
        <x:v>2063.52</x:v>
      </x:c>
      <x:c r="H1640" s="13" t="n">
        <x:v>465</x:v>
      </x:c>
      <x:c r="I1640" s="13" t="n">
        <x:f>YEAR(B1640)</x:f>
        <x:v>2024</x:v>
      </x:c>
      <x:c r="J1640" s="13" t="n">
        <x:f>MONTH(B1640)</x:f>
        <x:v>2</x:v>
      </x:c>
      <x:c r="K1640" s="14" t="n">
        <x:f>ROUND(E1640*F1640-G1640,10)</x:f>
        <x:v>0</x:v>
      </x:c>
      <x:c r="L1640" s="2"/>
      <x:c r="M1640" s="2"/>
      <x:c r="N1640" s="2"/>
      <x:c r="O1640" s="2"/>
      <x:c r="P1640" s="2"/>
      <x:c r="Q1640" s="2"/>
      <x:c r="R1640" s="2"/>
    </x:row>
    <x:row r="1641" ht="22" customHeight="1">
      <x:c r="A1641" s="2" t="n">
        <x:v>101635</x:v>
      </x:c>
      <x:c r="B1641" s="10" t="n">
        <x:v>45012</x:v>
      </x:c>
      <x:c r="C1641" s="2" t="str">
        <x:v>Peru</x:v>
      </x:c>
      <x:c r="D1641" s="2" t="str">
        <x:v>Calçados</x:v>
      </x:c>
      <x:c r="E1641" s="11" t="n">
        <x:v>3</x:v>
      </x:c>
      <x:c r="F1641" s="12" t="n">
        <x:v>149.26</x:v>
      </x:c>
      <x:c r="G1641" s="12" t="n">
        <x:v>447.78</x:v>
      </x:c>
      <x:c r="H1641" s="13" t="n">
        <x:v>423</x:v>
      </x:c>
      <x:c r="I1641" s="13" t="n">
        <x:f>YEAR(B1641)</x:f>
        <x:v>2023</x:v>
      </x:c>
      <x:c r="J1641" s="13" t="n">
        <x:f>MONTH(B1641)</x:f>
        <x:v>3</x:v>
      </x:c>
      <x:c r="K1641" s="14" t="n">
        <x:f>ROUND(E1641*F1641-G1641,10)</x:f>
        <x:v>0</x:v>
      </x:c>
      <x:c r="L1641" s="2"/>
      <x:c r="M1641" s="2"/>
      <x:c r="N1641" s="2"/>
      <x:c r="O1641" s="2"/>
      <x:c r="P1641" s="2"/>
      <x:c r="Q1641" s="2"/>
      <x:c r="R1641" s="2"/>
    </x:row>
    <x:row r="1642" ht="22" customHeight="1">
      <x:c r="A1642" s="2" t="n">
        <x:v>101636</x:v>
      </x:c>
      <x:c r="B1642" s="10" t="n">
        <x:v>45444</x:v>
      </x:c>
      <x:c r="C1642" s="2" t="str">
        <x:v>México</x:v>
      </x:c>
      <x:c r="D1642" s="2" t="str">
        <x:v>Acessórios</x:v>
      </x:c>
      <x:c r="E1642" s="11" t="n">
        <x:v>7</x:v>
      </x:c>
      <x:c r="F1642" s="12" t="n">
        <x:v>124.66</x:v>
      </x:c>
      <x:c r="G1642" s="12" t="n">
        <x:v>872.62</x:v>
      </x:c>
      <x:c r="H1642" s="13" t="n">
        <x:v>453</x:v>
      </x:c>
      <x:c r="I1642" s="13" t="n">
        <x:f>YEAR(B1642)</x:f>
        <x:v>2024</x:v>
      </x:c>
      <x:c r="J1642" s="13" t="n">
        <x:f>MONTH(B1642)</x:f>
        <x:v>6</x:v>
      </x:c>
      <x:c r="K1642" s="14" t="n">
        <x:f>ROUND(E1642*F1642-G1642,10)</x:f>
        <x:v>0</x:v>
      </x:c>
      <x:c r="L1642" s="2"/>
      <x:c r="M1642" s="2"/>
      <x:c r="N1642" s="2"/>
      <x:c r="O1642" s="2"/>
      <x:c r="P1642" s="2"/>
      <x:c r="Q1642" s="2"/>
      <x:c r="R1642" s="2"/>
    </x:row>
    <x:row r="1643" ht="22" customHeight="1">
      <x:c r="A1643" s="2" t="n">
        <x:v>101637</x:v>
      </x:c>
      <x:c r="B1643" s="10" t="n">
        <x:v>45083</x:v>
      </x:c>
      <x:c r="C1643" s="2" t="str">
        <x:v>Argentina</x:v>
      </x:c>
      <x:c r="D1643" s="2" t="str">
        <x:v>Calçados</x:v>
      </x:c>
      <x:c r="E1643" s="11" t="n">
        <x:v>43</x:v>
      </x:c>
      <x:c r="F1643" s="12" t="n">
        <x:v>190.6</x:v>
      </x:c>
      <x:c r="G1643" s="12" t="n">
        <x:v>8195.8</x:v>
      </x:c>
      <x:c r="H1643" s="13" t="n">
        <x:v>424</x:v>
      </x:c>
      <x:c r="I1643" s="13" t="n">
        <x:f>YEAR(B1643)</x:f>
        <x:v>2023</x:v>
      </x:c>
      <x:c r="J1643" s="13" t="n">
        <x:f>MONTH(B1643)</x:f>
        <x:v>6</x:v>
      </x:c>
      <x:c r="K1643" s="14" t="n">
        <x:f>ROUND(E1643*F1643-G1643,10)</x:f>
        <x:v>0</x:v>
      </x:c>
      <x:c r="L1643" s="2"/>
      <x:c r="M1643" s="2"/>
      <x:c r="N1643" s="2"/>
      <x:c r="O1643" s="2"/>
      <x:c r="P1643" s="2"/>
      <x:c r="Q1643" s="2"/>
      <x:c r="R1643" s="2"/>
    </x:row>
    <x:row r="1644" ht="22" customHeight="1">
      <x:c r="A1644" s="2" t="n">
        <x:v>101638</x:v>
      </x:c>
      <x:c r="B1644" s="10" t="n">
        <x:v>45122</x:v>
      </x:c>
      <x:c r="C1644" s="2" t="str">
        <x:v>Brasil</x:v>
      </x:c>
      <x:c r="D1644" s="2" t="str">
        <x:v>Moda Infantil</x:v>
      </x:c>
      <x:c r="E1644" s="11" t="n">
        <x:v>18</x:v>
      </x:c>
      <x:c r="F1644" s="12" t="n">
        <x:v>29.67</x:v>
      </x:c>
      <x:c r="G1644" s="12" t="n">
        <x:v>534.0600000000001</x:v>
      </x:c>
      <x:c r="H1644" s="13" t="n">
        <x:v>100</x:v>
      </x:c>
      <x:c r="I1644" s="13" t="n">
        <x:f>YEAR(B1644)</x:f>
        <x:v>2023</x:v>
      </x:c>
      <x:c r="J1644" s="13" t="n">
        <x:f>MONTH(B1644)</x:f>
        <x:v>7</x:v>
      </x:c>
      <x:c r="K1644" s="14" t="n">
        <x:f>ROUND(E1644*F1644-G1644,10)</x:f>
        <x:v>0</x:v>
      </x:c>
      <x:c r="L1644" s="2"/>
      <x:c r="M1644" s="2"/>
      <x:c r="N1644" s="2"/>
      <x:c r="O1644" s="2"/>
      <x:c r="P1644" s="2"/>
      <x:c r="Q1644" s="2"/>
      <x:c r="R1644" s="2"/>
    </x:row>
    <x:row r="1645" ht="22" customHeight="1">
      <x:c r="A1645" s="2" t="n">
        <x:v>101639</x:v>
      </x:c>
      <x:c r="B1645" s="10" t="n">
        <x:v>45630</x:v>
      </x:c>
      <x:c r="C1645" s="2" t="str">
        <x:v>Colômbia</x:v>
      </x:c>
      <x:c r="D1645" s="2" t="str">
        <x:v>Acessórios</x:v>
      </x:c>
      <x:c r="E1645" s="11" t="n">
        <x:v>44</x:v>
      </x:c>
      <x:c r="F1645" s="12" t="n">
        <x:v>39.12</x:v>
      </x:c>
      <x:c r="G1645" s="12" t="n">
        <x:v>1721.28</x:v>
      </x:c>
      <x:c r="H1645" s="13" t="n">
        <x:v>130</x:v>
      </x:c>
      <x:c r="I1645" s="13" t="n">
        <x:f>YEAR(B1645)</x:f>
        <x:v>2024</x:v>
      </x:c>
      <x:c r="J1645" s="13" t="n">
        <x:f>MONTH(B1645)</x:f>
        <x:v>12</x:v>
      </x:c>
      <x:c r="K1645" s="14" t="n">
        <x:f>ROUND(E1645*F1645-G1645,10)</x:f>
        <x:v>0</x:v>
      </x:c>
      <x:c r="L1645" s="2"/>
      <x:c r="M1645" s="2"/>
      <x:c r="N1645" s="2"/>
      <x:c r="O1645" s="2"/>
      <x:c r="P1645" s="2"/>
      <x:c r="Q1645" s="2"/>
      <x:c r="R1645" s="2"/>
    </x:row>
    <x:row r="1646" ht="22" customHeight="1">
      <x:c r="A1646" s="2" t="n">
        <x:v>101640</x:v>
      </x:c>
      <x:c r="B1646" s="10" t="n">
        <x:v>45179</x:v>
      </x:c>
      <x:c r="C1646" s="2" t="str">
        <x:v>Colômbia</x:v>
      </x:c>
      <x:c r="D1646" s="2" t="str">
        <x:v>Moda Feminina</x:v>
      </x:c>
      <x:c r="E1646" s="11" t="n">
        <x:v>38</x:v>
      </x:c>
      <x:c r="F1646" s="12" t="n">
        <x:v>51.26</x:v>
      </x:c>
      <x:c r="G1646" s="12" t="n">
        <x:v>1947.88</x:v>
      </x:c>
      <x:c r="H1646" s="13" t="n">
        <x:v>85</x:v>
      </x:c>
      <x:c r="I1646" s="13" t="n">
        <x:f>YEAR(B1646)</x:f>
        <x:v>2023</x:v>
      </x:c>
      <x:c r="J1646" s="13" t="n">
        <x:f>MONTH(B1646)</x:f>
        <x:v>9</x:v>
      </x:c>
      <x:c r="K1646" s="14" t="n">
        <x:f>ROUND(E1646*F1646-G1646,10)</x:f>
        <x:v>0</x:v>
      </x:c>
      <x:c r="L1646" s="2"/>
      <x:c r="M1646" s="2"/>
      <x:c r="N1646" s="2"/>
      <x:c r="O1646" s="2"/>
      <x:c r="P1646" s="2"/>
      <x:c r="Q1646" s="2"/>
      <x:c r="R1646" s="2"/>
    </x:row>
    <x:row r="1647" ht="22" customHeight="1">
      <x:c r="A1647" s="2" t="n">
        <x:v>101641</x:v>
      </x:c>
      <x:c r="B1647" s="10" t="n">
        <x:v>45151</x:v>
      </x:c>
      <x:c r="C1647" s="2" t="str">
        <x:v>Chile</x:v>
      </x:c>
      <x:c r="D1647" s="2" t="str">
        <x:v>Moda Feminina</x:v>
      </x:c>
      <x:c r="E1647" s="11" t="n">
        <x:v>37</x:v>
      </x:c>
      <x:c r="F1647" s="12" t="n">
        <x:v>144.23</x:v>
      </x:c>
      <x:c r="G1647" s="12" t="n">
        <x:v>5336.509999999999</x:v>
      </x:c>
      <x:c r="H1647" s="13" t="n">
        <x:v>116</x:v>
      </x:c>
      <x:c r="I1647" s="13" t="n">
        <x:f>YEAR(B1647)</x:f>
        <x:v>2023</x:v>
      </x:c>
      <x:c r="J1647" s="13" t="n">
        <x:f>MONTH(B1647)</x:f>
        <x:v>8</x:v>
      </x:c>
      <x:c r="K1647" s="14" t="n">
        <x:f>ROUND(E1647*F1647-G1647,10)</x:f>
        <x:v>0</x:v>
      </x:c>
      <x:c r="L1647" s="2"/>
      <x:c r="M1647" s="2"/>
      <x:c r="N1647" s="2"/>
      <x:c r="O1647" s="2"/>
      <x:c r="P1647" s="2"/>
      <x:c r="Q1647" s="2"/>
      <x:c r="R1647" s="2"/>
    </x:row>
    <x:row r="1648" ht="22" customHeight="1">
      <x:c r="A1648" s="2" t="n">
        <x:v>101642</x:v>
      </x:c>
      <x:c r="B1648" s="10" t="n">
        <x:v>45329</x:v>
      </x:c>
      <x:c r="C1648" s="2" t="str">
        <x:v>Colômbia</x:v>
      </x:c>
      <x:c r="D1648" s="2" t="str">
        <x:v>Moda Infantil</x:v>
      </x:c>
      <x:c r="E1648" s="11" t="n">
        <x:v>33</x:v>
      </x:c>
      <x:c r="F1648" s="12" t="n">
        <x:v>136.21</x:v>
      </x:c>
      <x:c r="G1648" s="12" t="n">
        <x:v>4494.93</x:v>
      </x:c>
      <x:c r="H1648" s="13" t="n">
        <x:v>178</x:v>
      </x:c>
      <x:c r="I1648" s="13" t="n">
        <x:f>YEAR(B1648)</x:f>
        <x:v>2024</x:v>
      </x:c>
      <x:c r="J1648" s="13" t="n">
        <x:f>MONTH(B1648)</x:f>
        <x:v>2</x:v>
      </x:c>
      <x:c r="K1648" s="14" t="n">
        <x:f>ROUND(E1648*F1648-G1648,10)</x:f>
        <x:v>0</x:v>
      </x:c>
      <x:c r="L1648" s="2"/>
      <x:c r="M1648" s="2"/>
      <x:c r="N1648" s="2"/>
      <x:c r="O1648" s="2"/>
      <x:c r="P1648" s="2"/>
      <x:c r="Q1648" s="2"/>
      <x:c r="R1648" s="2"/>
    </x:row>
    <x:row r="1649" ht="22" customHeight="1">
      <x:c r="A1649" s="2" t="n">
        <x:v>101643</x:v>
      </x:c>
      <x:c r="B1649" s="10" t="n">
        <x:v>45307</x:v>
      </x:c>
      <x:c r="C1649" s="2" t="str">
        <x:v>México</x:v>
      </x:c>
      <x:c r="D1649" s="2" t="str">
        <x:v>Calçados</x:v>
      </x:c>
      <x:c r="E1649" s="11" t="n">
        <x:v>44</x:v>
      </x:c>
      <x:c r="F1649" s="12" t="n">
        <x:v>180.57</x:v>
      </x:c>
      <x:c r="G1649" s="12" t="n">
        <x:v>7945.08</x:v>
      </x:c>
      <x:c r="H1649" s="13" t="n">
        <x:v>419</x:v>
      </x:c>
      <x:c r="I1649" s="13" t="n">
        <x:f>YEAR(B1649)</x:f>
        <x:v>2024</x:v>
      </x:c>
      <x:c r="J1649" s="13" t="n">
        <x:f>MONTH(B1649)</x:f>
        <x:v>1</x:v>
      </x:c>
      <x:c r="K1649" s="14" t="n">
        <x:f>ROUND(E1649*F1649-G1649,10)</x:f>
        <x:v>0</x:v>
      </x:c>
      <x:c r="L1649" s="2"/>
      <x:c r="M1649" s="2"/>
      <x:c r="N1649" s="2"/>
      <x:c r="O1649" s="2"/>
      <x:c r="P1649" s="2"/>
      <x:c r="Q1649" s="2"/>
      <x:c r="R1649" s="2"/>
    </x:row>
    <x:row r="1650" ht="22" customHeight="1">
      <x:c r="A1650" s="2" t="n">
        <x:v>101644</x:v>
      </x:c>
      <x:c r="B1650" s="10" t="n">
        <x:v>45295</x:v>
      </x:c>
      <x:c r="C1650" s="2" t="str">
        <x:v>Peru</x:v>
      </x:c>
      <x:c r="D1650" s="2" t="str">
        <x:v>Moda Masculina</x:v>
      </x:c>
      <x:c r="E1650" s="11" t="n">
        <x:v>31</x:v>
      </x:c>
      <x:c r="F1650" s="12" t="n">
        <x:v>151.92</x:v>
      </x:c>
      <x:c r="G1650" s="12" t="n">
        <x:v>4709.52</x:v>
      </x:c>
      <x:c r="H1650" s="13" t="n">
        <x:v>204</x:v>
      </x:c>
      <x:c r="I1650" s="13" t="n">
        <x:f>YEAR(B1650)</x:f>
        <x:v>2024</x:v>
      </x:c>
      <x:c r="J1650" s="13" t="n">
        <x:f>MONTH(B1650)</x:f>
        <x:v>1</x:v>
      </x:c>
      <x:c r="K1650" s="14" t="n">
        <x:f>ROUND(E1650*F1650-G1650,10)</x:f>
        <x:v>0</x:v>
      </x:c>
      <x:c r="L1650" s="2"/>
      <x:c r="M1650" s="2"/>
      <x:c r="N1650" s="2"/>
      <x:c r="O1650" s="2"/>
      <x:c r="P1650" s="2"/>
      <x:c r="Q1650" s="2"/>
      <x:c r="R1650" s="2"/>
    </x:row>
    <x:row r="1651" ht="22" customHeight="1">
      <x:c r="A1651" s="2" t="n">
        <x:v>101645</x:v>
      </x:c>
      <x:c r="B1651" s="10" t="n">
        <x:v>45499</x:v>
      </x:c>
      <x:c r="C1651" s="2" t="str">
        <x:v>México</x:v>
      </x:c>
      <x:c r="D1651" s="2" t="str">
        <x:v>Moda Infantil</x:v>
      </x:c>
      <x:c r="E1651" s="11" t="n">
        <x:v>11</x:v>
      </x:c>
      <x:c r="F1651" s="12" t="n">
        <x:v>111.5</x:v>
      </x:c>
      <x:c r="G1651" s="12" t="n">
        <x:v>1226.5</x:v>
      </x:c>
      <x:c r="H1651" s="13" t="n">
        <x:v>294</x:v>
      </x:c>
      <x:c r="I1651" s="13" t="n">
        <x:f>YEAR(B1651)</x:f>
        <x:v>2024</x:v>
      </x:c>
      <x:c r="J1651" s="13" t="n">
        <x:f>MONTH(B1651)</x:f>
        <x:v>7</x:v>
      </x:c>
      <x:c r="K1651" s="14" t="n">
        <x:f>ROUND(E1651*F1651-G1651,10)</x:f>
        <x:v>0</x:v>
      </x:c>
      <x:c r="L1651" s="2"/>
      <x:c r="M1651" s="2"/>
      <x:c r="N1651" s="2"/>
      <x:c r="O1651" s="2"/>
      <x:c r="P1651" s="2"/>
      <x:c r="Q1651" s="2"/>
      <x:c r="R1651" s="2"/>
    </x:row>
    <x:row r="1652" ht="22" customHeight="1">
      <x:c r="A1652" s="2" t="n">
        <x:v>101646</x:v>
      </x:c>
      <x:c r="B1652" s="10" t="n">
        <x:v>45497</x:v>
      </x:c>
      <x:c r="C1652" s="2" t="str">
        <x:v>Chile</x:v>
      </x:c>
      <x:c r="D1652" s="2" t="str">
        <x:v>Acessórios</x:v>
      </x:c>
      <x:c r="E1652" s="11" t="n">
        <x:v>4</x:v>
      </x:c>
      <x:c r="F1652" s="12" t="n">
        <x:v>198.53</x:v>
      </x:c>
      <x:c r="G1652" s="12" t="n">
        <x:v>794.12</x:v>
      </x:c>
      <x:c r="H1652" s="13" t="n">
        <x:v>160</x:v>
      </x:c>
      <x:c r="I1652" s="13" t="n">
        <x:f>YEAR(B1652)</x:f>
        <x:v>2024</x:v>
      </x:c>
      <x:c r="J1652" s="13" t="n">
        <x:f>MONTH(B1652)</x:f>
        <x:v>7</x:v>
      </x:c>
      <x:c r="K1652" s="14" t="n">
        <x:f>ROUND(E1652*F1652-G1652,10)</x:f>
        <x:v>0</x:v>
      </x:c>
      <x:c r="L1652" s="2"/>
      <x:c r="M1652" s="2"/>
      <x:c r="N1652" s="2"/>
      <x:c r="O1652" s="2"/>
      <x:c r="P1652" s="2"/>
      <x:c r="Q1652" s="2"/>
      <x:c r="R1652" s="2"/>
    </x:row>
    <x:row r="1653" ht="22" customHeight="1">
      <x:c r="A1653" s="2" t="n">
        <x:v>101647</x:v>
      </x:c>
      <x:c r="B1653" s="10" t="n">
        <x:v>44961</x:v>
      </x:c>
      <x:c r="C1653" s="2" t="str">
        <x:v>México</x:v>
      </x:c>
      <x:c r="D1653" s="2" t="str">
        <x:v>Acessórios</x:v>
      </x:c>
      <x:c r="E1653" s="11" t="n">
        <x:v>18</x:v>
      </x:c>
      <x:c r="F1653" s="12" t="n">
        <x:v>67.9</x:v>
      </x:c>
      <x:c r="G1653" s="12" t="n">
        <x:v>1222.2</x:v>
      </x:c>
      <x:c r="H1653" s="13" t="n">
        <x:v>217</x:v>
      </x:c>
      <x:c r="I1653" s="13" t="n">
        <x:f>YEAR(B1653)</x:f>
        <x:v>2023</x:v>
      </x:c>
      <x:c r="J1653" s="13" t="n">
        <x:f>MONTH(B1653)</x:f>
        <x:v>2</x:v>
      </x:c>
      <x:c r="K1653" s="14" t="n">
        <x:f>ROUND(E1653*F1653-G1653,10)</x:f>
        <x:v>0</x:v>
      </x:c>
      <x:c r="L1653" s="2"/>
      <x:c r="M1653" s="2"/>
      <x:c r="N1653" s="2"/>
      <x:c r="O1653" s="2"/>
      <x:c r="P1653" s="2"/>
      <x:c r="Q1653" s="2"/>
      <x:c r="R1653" s="2"/>
    </x:row>
    <x:row r="1654" ht="22" customHeight="1">
      <x:c r="A1654" s="2" t="n">
        <x:v>101648</x:v>
      </x:c>
      <x:c r="B1654" s="10" t="n">
        <x:v>45135</x:v>
      </x:c>
      <x:c r="C1654" s="2" t="str">
        <x:v>Peru</x:v>
      </x:c>
      <x:c r="D1654" s="2" t="str">
        <x:v>Moda Feminina</x:v>
      </x:c>
      <x:c r="E1654" s="11" t="n">
        <x:v>4</x:v>
      </x:c>
      <x:c r="F1654" s="12" t="n">
        <x:v>169.97</x:v>
      </x:c>
      <x:c r="G1654" s="12" t="n">
        <x:v>679.88</x:v>
      </x:c>
      <x:c r="H1654" s="13" t="n">
        <x:v>191</x:v>
      </x:c>
      <x:c r="I1654" s="13" t="n">
        <x:f>YEAR(B1654)</x:f>
        <x:v>2023</x:v>
      </x:c>
      <x:c r="J1654" s="13" t="n">
        <x:f>MONTH(B1654)</x:f>
        <x:v>7</x:v>
      </x:c>
      <x:c r="K1654" s="14" t="n">
        <x:f>ROUND(E1654*F1654-G1654,10)</x:f>
        <x:v>0</x:v>
      </x:c>
      <x:c r="L1654" s="2"/>
      <x:c r="M1654" s="2"/>
      <x:c r="N1654" s="2"/>
      <x:c r="O1654" s="2"/>
      <x:c r="P1654" s="2"/>
      <x:c r="Q1654" s="2"/>
      <x:c r="R1654" s="2"/>
    </x:row>
    <x:row r="1655" ht="22" customHeight="1">
      <x:c r="A1655" s="2" t="n">
        <x:v>101649</x:v>
      </x:c>
      <x:c r="B1655" s="10" t="n">
        <x:v>45328</x:v>
      </x:c>
      <x:c r="C1655" s="2" t="str">
        <x:v>Argentina</x:v>
      </x:c>
      <x:c r="D1655" s="2" t="str">
        <x:v>Acessórios</x:v>
      </x:c>
      <x:c r="E1655" s="11" t="n">
        <x:v>49</x:v>
      </x:c>
      <x:c r="F1655" s="12" t="n">
        <x:v>96.82</x:v>
      </x:c>
      <x:c r="G1655" s="12" t="n">
        <x:v>4744.179999999999</x:v>
      </x:c>
      <x:c r="H1655" s="13" t="n">
        <x:v>405</x:v>
      </x:c>
      <x:c r="I1655" s="13" t="n">
        <x:f>YEAR(B1655)</x:f>
        <x:v>2024</x:v>
      </x:c>
      <x:c r="J1655" s="13" t="n">
        <x:f>MONTH(B1655)</x:f>
        <x:v>2</x:v>
      </x:c>
      <x:c r="K1655" s="14" t="n">
        <x:f>ROUND(E1655*F1655-G1655,10)</x:f>
        <x:v>0</x:v>
      </x:c>
      <x:c r="L1655" s="2"/>
      <x:c r="M1655" s="2"/>
      <x:c r="N1655" s="2"/>
      <x:c r="O1655" s="2"/>
      <x:c r="P1655" s="2"/>
      <x:c r="Q1655" s="2"/>
      <x:c r="R1655" s="2"/>
    </x:row>
    <x:row r="1656" ht="22" customHeight="1">
      <x:c r="A1656" s="2" t="n">
        <x:v>101650</x:v>
      </x:c>
      <x:c r="B1656" s="10" t="n">
        <x:v>45654</x:v>
      </x:c>
      <x:c r="C1656" s="2" t="str">
        <x:v>Chile</x:v>
      </x:c>
      <x:c r="D1656" s="2" t="str">
        <x:v>Moda Infantil</x:v>
      </x:c>
      <x:c r="E1656" s="11" t="n">
        <x:v>34</x:v>
      </x:c>
      <x:c r="F1656" s="12" t="n">
        <x:v>136.77</x:v>
      </x:c>
      <x:c r="G1656" s="12" t="n">
        <x:v>4650.18</x:v>
      </x:c>
      <x:c r="H1656" s="13" t="n">
        <x:v>246</x:v>
      </x:c>
      <x:c r="I1656" s="13" t="n">
        <x:f>YEAR(B1656)</x:f>
        <x:v>2024</x:v>
      </x:c>
      <x:c r="J1656" s="13" t="n">
        <x:f>MONTH(B1656)</x:f>
        <x:v>12</x:v>
      </x:c>
      <x:c r="K1656" s="14" t="n">
        <x:f>ROUND(E1656*F1656-G1656,10)</x:f>
        <x:v>0</x:v>
      </x:c>
      <x:c r="L1656" s="2"/>
      <x:c r="M1656" s="2"/>
      <x:c r="N1656" s="2"/>
      <x:c r="O1656" s="2"/>
      <x:c r="P1656" s="2"/>
      <x:c r="Q1656" s="2"/>
      <x:c r="R1656" s="2"/>
    </x:row>
    <x:row r="1657" ht="22" customHeight="1">
      <x:c r="A1657" s="2" t="n">
        <x:v>101651</x:v>
      </x:c>
      <x:c r="B1657" s="10" t="n">
        <x:v>45236</x:v>
      </x:c>
      <x:c r="C1657" s="2" t="str">
        <x:v>Argentina</x:v>
      </x:c>
      <x:c r="D1657" s="2" t="str">
        <x:v>Acessórios</x:v>
      </x:c>
      <x:c r="E1657" s="11" t="n">
        <x:v>29</x:v>
      </x:c>
      <x:c r="F1657" s="12" t="n">
        <x:v>150.91</x:v>
      </x:c>
      <x:c r="G1657" s="12" t="n">
        <x:v>4376.39</x:v>
      </x:c>
      <x:c r="H1657" s="13" t="n">
        <x:v>158</x:v>
      </x:c>
      <x:c r="I1657" s="13" t="n">
        <x:f>YEAR(B1657)</x:f>
        <x:v>2023</x:v>
      </x:c>
      <x:c r="J1657" s="13" t="n">
        <x:f>MONTH(B1657)</x:f>
        <x:v>11</x:v>
      </x:c>
      <x:c r="K1657" s="14" t="n">
        <x:f>ROUND(E1657*F1657-G1657,10)</x:f>
        <x:v>0</x:v>
      </x:c>
      <x:c r="L1657" s="2"/>
      <x:c r="M1657" s="2"/>
      <x:c r="N1657" s="2"/>
      <x:c r="O1657" s="2"/>
      <x:c r="P1657" s="2"/>
      <x:c r="Q1657" s="2"/>
      <x:c r="R1657" s="2"/>
    </x:row>
    <x:row r="1658" ht="22" customHeight="1">
      <x:c r="A1658" s="2" t="n">
        <x:v>101652</x:v>
      </x:c>
      <x:c r="B1658" s="10" t="n">
        <x:v>45215</x:v>
      </x:c>
      <x:c r="C1658" s="2" t="str">
        <x:v>Brasil</x:v>
      </x:c>
      <x:c r="D1658" s="2" t="str">
        <x:v>Moda Infantil</x:v>
      </x:c>
      <x:c r="E1658" s="11" t="n">
        <x:v>24</x:v>
      </x:c>
      <x:c r="F1658" s="12" t="n">
        <x:v>134.08</x:v>
      </x:c>
      <x:c r="G1658" s="12" t="n">
        <x:v>3217.92</x:v>
      </x:c>
      <x:c r="H1658" s="13" t="n">
        <x:v>425</x:v>
      </x:c>
      <x:c r="I1658" s="13" t="n">
        <x:f>YEAR(B1658)</x:f>
        <x:v>2023</x:v>
      </x:c>
      <x:c r="J1658" s="13" t="n">
        <x:f>MONTH(B1658)</x:f>
        <x:v>10</x:v>
      </x:c>
      <x:c r="K1658" s="14" t="n">
        <x:f>ROUND(E1658*F1658-G1658,10)</x:f>
        <x:v>0</x:v>
      </x:c>
      <x:c r="L1658" s="2"/>
      <x:c r="M1658" s="2"/>
      <x:c r="N1658" s="2"/>
      <x:c r="O1658" s="2"/>
      <x:c r="P1658" s="2"/>
      <x:c r="Q1658" s="2"/>
      <x:c r="R1658" s="2"/>
    </x:row>
    <x:row r="1659" ht="22" customHeight="1">
      <x:c r="A1659" s="2" t="n">
        <x:v>101653</x:v>
      </x:c>
      <x:c r="B1659" s="10" t="n">
        <x:v>45421</x:v>
      </x:c>
      <x:c r="C1659" s="2" t="str">
        <x:v>Argentina</x:v>
      </x:c>
      <x:c r="D1659" s="2" t="str">
        <x:v>Moda Masculina</x:v>
      </x:c>
      <x:c r="E1659" s="11" t="n">
        <x:v>22</x:v>
      </x:c>
      <x:c r="F1659" s="12" t="n">
        <x:v>45.29</x:v>
      </x:c>
      <x:c r="G1659" s="12" t="n">
        <x:v>996.38</x:v>
      </x:c>
      <x:c r="H1659" s="13" t="n">
        <x:v>128</x:v>
      </x:c>
      <x:c r="I1659" s="13" t="n">
        <x:f>YEAR(B1659)</x:f>
        <x:v>2024</x:v>
      </x:c>
      <x:c r="J1659" s="13" t="n">
        <x:f>MONTH(B1659)</x:f>
        <x:v>5</x:v>
      </x:c>
      <x:c r="K1659" s="14" t="n">
        <x:f>ROUND(E1659*F1659-G1659,10)</x:f>
        <x:v>0</x:v>
      </x:c>
      <x:c r="L1659" s="2"/>
      <x:c r="M1659" s="2"/>
      <x:c r="N1659" s="2"/>
      <x:c r="O1659" s="2"/>
      <x:c r="P1659" s="2"/>
      <x:c r="Q1659" s="2"/>
      <x:c r="R1659" s="2"/>
    </x:row>
    <x:row r="1660" ht="22" customHeight="1">
      <x:c r="A1660" s="2" t="n">
        <x:v>101654</x:v>
      </x:c>
      <x:c r="B1660" s="10" t="n">
        <x:v>45546</x:v>
      </x:c>
      <x:c r="C1660" s="2" t="str">
        <x:v>Brasil</x:v>
      </x:c>
      <x:c r="D1660" s="2" t="str">
        <x:v>Moda Feminina</x:v>
      </x:c>
      <x:c r="E1660" s="11" t="n">
        <x:v>2</x:v>
      </x:c>
      <x:c r="F1660" s="12" t="n">
        <x:v>99.73</x:v>
      </x:c>
      <x:c r="G1660" s="12" t="n">
        <x:v>199.46</x:v>
      </x:c>
      <x:c r="H1660" s="13" t="n">
        <x:v>439</x:v>
      </x:c>
      <x:c r="I1660" s="13" t="n">
        <x:f>YEAR(B1660)</x:f>
        <x:v>2024</x:v>
      </x:c>
      <x:c r="J1660" s="13" t="n">
        <x:f>MONTH(B1660)</x:f>
        <x:v>9</x:v>
      </x:c>
      <x:c r="K1660" s="14" t="n">
        <x:f>ROUND(E1660*F1660-G1660,10)</x:f>
        <x:v>0</x:v>
      </x:c>
      <x:c r="L1660" s="2"/>
      <x:c r="M1660" s="2"/>
      <x:c r="N1660" s="2"/>
      <x:c r="O1660" s="2"/>
      <x:c r="P1660" s="2"/>
      <x:c r="Q1660" s="2"/>
      <x:c r="R1660" s="2"/>
    </x:row>
    <x:row r="1661" ht="22" customHeight="1">
      <x:c r="A1661" s="2" t="n">
        <x:v>101655</x:v>
      </x:c>
      <x:c r="B1661" s="10" t="n">
        <x:v>45568</x:v>
      </x:c>
      <x:c r="C1661" s="2" t="str">
        <x:v>Brasil</x:v>
      </x:c>
      <x:c r="D1661" s="2" t="str">
        <x:v>Acessórios</x:v>
      </x:c>
      <x:c r="E1661" s="11" t="n">
        <x:v>44</x:v>
      </x:c>
      <x:c r="F1661" s="12" t="n">
        <x:v>121.06</x:v>
      </x:c>
      <x:c r="G1661" s="12" t="n">
        <x:v>5326.64</x:v>
      </x:c>
      <x:c r="H1661" s="13" t="n">
        <x:v>210</x:v>
      </x:c>
      <x:c r="I1661" s="13" t="n">
        <x:f>YEAR(B1661)</x:f>
        <x:v>2024</x:v>
      </x:c>
      <x:c r="J1661" s="13" t="n">
        <x:f>MONTH(B1661)</x:f>
        <x:v>10</x:v>
      </x:c>
      <x:c r="K1661" s="14" t="n">
        <x:f>ROUND(E1661*F1661-G1661,10)</x:f>
        <x:v>0</x:v>
      </x:c>
      <x:c r="L1661" s="2"/>
      <x:c r="M1661" s="2"/>
      <x:c r="N1661" s="2"/>
      <x:c r="O1661" s="2"/>
      <x:c r="P1661" s="2"/>
      <x:c r="Q1661" s="2"/>
      <x:c r="R1661" s="2"/>
    </x:row>
    <x:row r="1662" ht="22" customHeight="1">
      <x:c r="A1662" s="2" t="n">
        <x:v>101656</x:v>
      </x:c>
      <x:c r="B1662" s="10" t="n">
        <x:v>44975</x:v>
      </x:c>
      <x:c r="C1662" s="2" t="str">
        <x:v>Argentina</x:v>
      </x:c>
      <x:c r="D1662" s="2" t="str">
        <x:v>Moda Infantil</x:v>
      </x:c>
      <x:c r="E1662" s="11" t="n">
        <x:v>6</x:v>
      </x:c>
      <x:c r="F1662" s="12" t="n">
        <x:v>172.83</x:v>
      </x:c>
      <x:c r="G1662" s="12" t="n">
        <x:v>1036.98</x:v>
      </x:c>
      <x:c r="H1662" s="13" t="n">
        <x:v>488</x:v>
      </x:c>
      <x:c r="I1662" s="13" t="n">
        <x:f>YEAR(B1662)</x:f>
        <x:v>2023</x:v>
      </x:c>
      <x:c r="J1662" s="13" t="n">
        <x:f>MONTH(B1662)</x:f>
        <x:v>2</x:v>
      </x:c>
      <x:c r="K1662" s="14" t="n">
        <x:f>ROUND(E1662*F1662-G1662,10)</x:f>
        <x:v>0</x:v>
      </x:c>
      <x:c r="L1662" s="2"/>
      <x:c r="M1662" s="2"/>
      <x:c r="N1662" s="2"/>
      <x:c r="O1662" s="2"/>
      <x:c r="P1662" s="2"/>
      <x:c r="Q1662" s="2"/>
      <x:c r="R1662" s="2"/>
    </x:row>
    <x:row r="1663" ht="22" customHeight="1">
      <x:c r="A1663" s="2" t="n">
        <x:v>101657</x:v>
      </x:c>
      <x:c r="B1663" s="10" t="n">
        <x:v>45487</x:v>
      </x:c>
      <x:c r="C1663" s="2" t="str">
        <x:v>Chile</x:v>
      </x:c>
      <x:c r="D1663" s="2" t="str">
        <x:v>Calçados</x:v>
      </x:c>
      <x:c r="E1663" s="11" t="n">
        <x:v>42</x:v>
      </x:c>
      <x:c r="F1663" s="12" t="n">
        <x:v>99.86</x:v>
      </x:c>
      <x:c r="G1663" s="12" t="n">
        <x:v>4194.12</x:v>
      </x:c>
      <x:c r="H1663" s="13" t="n">
        <x:v>68</x:v>
      </x:c>
      <x:c r="I1663" s="13" t="n">
        <x:f>YEAR(B1663)</x:f>
        <x:v>2024</x:v>
      </x:c>
      <x:c r="J1663" s="13" t="n">
        <x:f>MONTH(B1663)</x:f>
        <x:v>7</x:v>
      </x:c>
      <x:c r="K1663" s="14" t="n">
        <x:f>ROUND(E1663*F1663-G1663,10)</x:f>
        <x:v>0</x:v>
      </x:c>
      <x:c r="L1663" s="2"/>
      <x:c r="M1663" s="2"/>
      <x:c r="N1663" s="2"/>
      <x:c r="O1663" s="2"/>
      <x:c r="P1663" s="2"/>
      <x:c r="Q1663" s="2"/>
      <x:c r="R1663" s="2"/>
    </x:row>
    <x:row r="1664" ht="22" customHeight="1">
      <x:c r="A1664" s="2" t="n">
        <x:v>101658</x:v>
      </x:c>
      <x:c r="B1664" s="10" t="n">
        <x:v>45641</x:v>
      </x:c>
      <x:c r="C1664" s="2" t="str">
        <x:v>Peru</x:v>
      </x:c>
      <x:c r="D1664" s="2" t="str">
        <x:v>Moda Feminina</x:v>
      </x:c>
      <x:c r="E1664" s="11" t="n">
        <x:v>25</x:v>
      </x:c>
      <x:c r="F1664" s="12" t="n">
        <x:v>185.37</x:v>
      </x:c>
      <x:c r="G1664" s="12" t="n">
        <x:v>4634.25</x:v>
      </x:c>
      <x:c r="H1664" s="13" t="n">
        <x:v>176</x:v>
      </x:c>
      <x:c r="I1664" s="13" t="n">
        <x:f>YEAR(B1664)</x:f>
        <x:v>2024</x:v>
      </x:c>
      <x:c r="J1664" s="13" t="n">
        <x:f>MONTH(B1664)</x:f>
        <x:v>12</x:v>
      </x:c>
      <x:c r="K1664" s="14" t="n">
        <x:f>ROUND(E1664*F1664-G1664,10)</x:f>
        <x:v>0</x:v>
      </x:c>
      <x:c r="L1664" s="2"/>
      <x:c r="M1664" s="2"/>
      <x:c r="N1664" s="2"/>
      <x:c r="O1664" s="2"/>
      <x:c r="P1664" s="2"/>
      <x:c r="Q1664" s="2"/>
      <x:c r="R1664" s="2"/>
    </x:row>
    <x:row r="1665" ht="22" customHeight="1">
      <x:c r="A1665" s="2" t="n">
        <x:v>101659</x:v>
      </x:c>
      <x:c r="B1665" s="10" t="n">
        <x:v>45404</x:v>
      </x:c>
      <x:c r="C1665" s="2" t="str">
        <x:v>México</x:v>
      </x:c>
      <x:c r="D1665" s="2" t="str">
        <x:v>Moda Masculina</x:v>
      </x:c>
      <x:c r="E1665" s="11" t="n">
        <x:v>21</x:v>
      </x:c>
      <x:c r="F1665" s="12" t="n">
        <x:v>99.27</x:v>
      </x:c>
      <x:c r="G1665" s="12" t="n">
        <x:v>2084.67</x:v>
      </x:c>
      <x:c r="H1665" s="13" t="n">
        <x:v>254</x:v>
      </x:c>
      <x:c r="I1665" s="13" t="n">
        <x:f>YEAR(B1665)</x:f>
        <x:v>2024</x:v>
      </x:c>
      <x:c r="J1665" s="13" t="n">
        <x:f>MONTH(B1665)</x:f>
        <x:v>4</x:v>
      </x:c>
      <x:c r="K1665" s="14" t="n">
        <x:f>ROUND(E1665*F1665-G1665,10)</x:f>
        <x:v>0</x:v>
      </x:c>
      <x:c r="L1665" s="2"/>
      <x:c r="M1665" s="2"/>
      <x:c r="N1665" s="2"/>
      <x:c r="O1665" s="2"/>
      <x:c r="P1665" s="2"/>
      <x:c r="Q1665" s="2"/>
      <x:c r="R1665" s="2"/>
    </x:row>
    <x:row r="1666" ht="22" customHeight="1">
      <x:c r="A1666" s="2" t="n">
        <x:v>101660</x:v>
      </x:c>
      <x:c r="B1666" s="10" t="n">
        <x:v>45607</x:v>
      </x:c>
      <x:c r="C1666" s="2" t="str">
        <x:v>México</x:v>
      </x:c>
      <x:c r="D1666" s="2" t="str">
        <x:v>Moda Infantil</x:v>
      </x:c>
      <x:c r="E1666" s="11" t="n">
        <x:v>16</x:v>
      </x:c>
      <x:c r="F1666" s="12" t="n">
        <x:v>118.78</x:v>
      </x:c>
      <x:c r="G1666" s="12" t="n">
        <x:v>1900.48</x:v>
      </x:c>
      <x:c r="H1666" s="13" t="n">
        <x:v>78</x:v>
      </x:c>
      <x:c r="I1666" s="13" t="n">
        <x:f>YEAR(B1666)</x:f>
        <x:v>2024</x:v>
      </x:c>
      <x:c r="J1666" s="13" t="n">
        <x:f>MONTH(B1666)</x:f>
        <x:v>11</x:v>
      </x:c>
      <x:c r="K1666" s="14" t="n">
        <x:f>ROUND(E1666*F1666-G1666,10)</x:f>
        <x:v>0</x:v>
      </x:c>
      <x:c r="L1666" s="2"/>
      <x:c r="M1666" s="2"/>
      <x:c r="N1666" s="2"/>
      <x:c r="O1666" s="2"/>
      <x:c r="P1666" s="2"/>
      <x:c r="Q1666" s="2"/>
      <x:c r="R1666" s="2"/>
    </x:row>
    <x:row r="1667" ht="22" customHeight="1">
      <x:c r="A1667" s="2" t="n">
        <x:v>101661</x:v>
      </x:c>
      <x:c r="B1667" s="10" t="n">
        <x:v>45049</x:v>
      </x:c>
      <x:c r="C1667" s="2" t="str">
        <x:v>Peru</x:v>
      </x:c>
      <x:c r="D1667" s="2" t="str">
        <x:v>Moda Masculina</x:v>
      </x:c>
      <x:c r="E1667" s="11" t="n">
        <x:v>31</x:v>
      </x:c>
      <x:c r="F1667" s="12" t="n">
        <x:v>163.33</x:v>
      </x:c>
      <x:c r="G1667" s="12" t="n">
        <x:v>5063.23</x:v>
      </x:c>
      <x:c r="H1667" s="13" t="n">
        <x:v>494</x:v>
      </x:c>
      <x:c r="I1667" s="13" t="n">
        <x:f>YEAR(B1667)</x:f>
        <x:v>2023</x:v>
      </x:c>
      <x:c r="J1667" s="13" t="n">
        <x:f>MONTH(B1667)</x:f>
        <x:v>5</x:v>
      </x:c>
      <x:c r="K1667" s="14" t="n">
        <x:f>ROUND(E1667*F1667-G1667,10)</x:f>
        <x:v>0</x:v>
      </x:c>
      <x:c r="L1667" s="2"/>
      <x:c r="M1667" s="2"/>
      <x:c r="N1667" s="2"/>
      <x:c r="O1667" s="2"/>
      <x:c r="P1667" s="2"/>
      <x:c r="Q1667" s="2"/>
      <x:c r="R1667" s="2"/>
    </x:row>
    <x:row r="1668" ht="22" customHeight="1">
      <x:c r="A1668" s="2" t="n">
        <x:v>101662</x:v>
      </x:c>
      <x:c r="B1668" s="10" t="n">
        <x:v>45180</x:v>
      </x:c>
      <x:c r="C1668" s="2" t="str">
        <x:v>Brasil</x:v>
      </x:c>
      <x:c r="D1668" s="2" t="str">
        <x:v>Moda Masculina</x:v>
      </x:c>
      <x:c r="E1668" s="11" t="n">
        <x:v>14</x:v>
      </x:c>
      <x:c r="F1668" s="12" t="n">
        <x:v>124.95</x:v>
      </x:c>
      <x:c r="G1668" s="12" t="n">
        <x:v>1749.3</x:v>
      </x:c>
      <x:c r="H1668" s="13" t="n">
        <x:v>256</x:v>
      </x:c>
      <x:c r="I1668" s="13" t="n">
        <x:f>YEAR(B1668)</x:f>
        <x:v>2023</x:v>
      </x:c>
      <x:c r="J1668" s="13" t="n">
        <x:f>MONTH(B1668)</x:f>
        <x:v>9</x:v>
      </x:c>
      <x:c r="K1668" s="14" t="n">
        <x:f>ROUND(E1668*F1668-G1668,10)</x:f>
        <x:v>0</x:v>
      </x:c>
      <x:c r="L1668" s="2"/>
      <x:c r="M1668" s="2"/>
      <x:c r="N1668" s="2"/>
      <x:c r="O1668" s="2"/>
      <x:c r="P1668" s="2"/>
      <x:c r="Q1668" s="2"/>
      <x:c r="R1668" s="2"/>
    </x:row>
    <x:row r="1669" ht="22" customHeight="1">
      <x:c r="A1669" s="2" t="n">
        <x:v>101663</x:v>
      </x:c>
      <x:c r="B1669" s="10" t="n">
        <x:v>45460</x:v>
      </x:c>
      <x:c r="C1669" s="2" t="str">
        <x:v>Brasil</x:v>
      </x:c>
      <x:c r="D1669" s="2" t="str">
        <x:v>Acessórios</x:v>
      </x:c>
      <x:c r="E1669" s="11" t="n">
        <x:v>39</x:v>
      </x:c>
      <x:c r="F1669" s="12" t="n">
        <x:v>192.84</x:v>
      </x:c>
      <x:c r="G1669" s="12" t="n">
        <x:v>7520.76</x:v>
      </x:c>
      <x:c r="H1669" s="13" t="n">
        <x:v>329</x:v>
      </x:c>
      <x:c r="I1669" s="13" t="n">
        <x:f>YEAR(B1669)</x:f>
        <x:v>2024</x:v>
      </x:c>
      <x:c r="J1669" s="13" t="n">
        <x:f>MONTH(B1669)</x:f>
        <x:v>6</x:v>
      </x:c>
      <x:c r="K1669" s="14" t="n">
        <x:f>ROUND(E1669*F1669-G1669,10)</x:f>
        <x:v>0</x:v>
      </x:c>
      <x:c r="L1669" s="2"/>
      <x:c r="M1669" s="2"/>
      <x:c r="N1669" s="2"/>
      <x:c r="O1669" s="2"/>
      <x:c r="P1669" s="2"/>
      <x:c r="Q1669" s="2"/>
      <x:c r="R1669" s="2"/>
    </x:row>
    <x:row r="1670" ht="22" customHeight="1">
      <x:c r="A1670" s="2" t="n">
        <x:v>101664</x:v>
      </x:c>
      <x:c r="B1670" s="10" t="n">
        <x:v>44945</x:v>
      </x:c>
      <x:c r="C1670" s="2" t="str">
        <x:v>Chile</x:v>
      </x:c>
      <x:c r="D1670" s="2" t="str">
        <x:v>Acessórios</x:v>
      </x:c>
      <x:c r="E1670" s="11" t="n">
        <x:v>28</x:v>
      </x:c>
      <x:c r="F1670" s="12" t="n">
        <x:v>138.86</x:v>
      </x:c>
      <x:c r="G1670" s="12" t="n">
        <x:v>3888.08</x:v>
      </x:c>
      <x:c r="H1670" s="13" t="n">
        <x:v>200</x:v>
      </x:c>
      <x:c r="I1670" s="13" t="n">
        <x:f>YEAR(B1670)</x:f>
        <x:v>2023</x:v>
      </x:c>
      <x:c r="J1670" s="13" t="n">
        <x:f>MONTH(B1670)</x:f>
        <x:v>1</x:v>
      </x:c>
      <x:c r="K1670" s="14" t="n">
        <x:f>ROUND(E1670*F1670-G1670,10)</x:f>
        <x:v>0</x:v>
      </x:c>
      <x:c r="L1670" s="2"/>
      <x:c r="M1670" s="2"/>
      <x:c r="N1670" s="2"/>
      <x:c r="O1670" s="2"/>
      <x:c r="P1670" s="2"/>
      <x:c r="Q1670" s="2"/>
      <x:c r="R1670" s="2"/>
    </x:row>
    <x:row r="1671" ht="22" customHeight="1">
      <x:c r="A1671" s="2" t="n">
        <x:v>101665</x:v>
      </x:c>
      <x:c r="B1671" s="10" t="n">
        <x:v>45531</x:v>
      </x:c>
      <x:c r="C1671" s="2" t="str">
        <x:v>Colômbia</x:v>
      </x:c>
      <x:c r="D1671" s="2" t="str">
        <x:v>Moda Infantil</x:v>
      </x:c>
      <x:c r="E1671" s="11" t="n">
        <x:v>32</x:v>
      </x:c>
      <x:c r="F1671" s="12" t="n">
        <x:v>114.09</x:v>
      </x:c>
      <x:c r="G1671" s="12" t="n">
        <x:v>3650.88</x:v>
      </x:c>
      <x:c r="H1671" s="13" t="n">
        <x:v>289</x:v>
      </x:c>
      <x:c r="I1671" s="13" t="n">
        <x:f>YEAR(B1671)</x:f>
        <x:v>2024</x:v>
      </x:c>
      <x:c r="J1671" s="13" t="n">
        <x:f>MONTH(B1671)</x:f>
        <x:v>8</x:v>
      </x:c>
      <x:c r="K1671" s="14" t="n">
        <x:f>ROUND(E1671*F1671-G1671,10)</x:f>
        <x:v>0</x:v>
      </x:c>
      <x:c r="L1671" s="2"/>
      <x:c r="M1671" s="2"/>
      <x:c r="N1671" s="2"/>
      <x:c r="O1671" s="2"/>
      <x:c r="P1671" s="2"/>
      <x:c r="Q1671" s="2"/>
      <x:c r="R1671" s="2"/>
    </x:row>
    <x:row r="1672" ht="22" customHeight="1">
      <x:c r="A1672" s="2" t="n">
        <x:v>101666</x:v>
      </x:c>
      <x:c r="B1672" s="10" t="n">
        <x:v>45212</x:v>
      </x:c>
      <x:c r="C1672" s="2" t="str">
        <x:v>Argentina</x:v>
      </x:c>
      <x:c r="D1672" s="2" t="str">
        <x:v>Calçados</x:v>
      </x:c>
      <x:c r="E1672" s="11" t="n">
        <x:v>28</x:v>
      </x:c>
      <x:c r="F1672" s="12" t="n">
        <x:v>24.25</x:v>
      </x:c>
      <x:c r="G1672" s="12" t="n">
        <x:v>679</x:v>
      </x:c>
      <x:c r="H1672" s="13" t="n">
        <x:v>315</x:v>
      </x:c>
      <x:c r="I1672" s="13" t="n">
        <x:f>YEAR(B1672)</x:f>
        <x:v>2023</x:v>
      </x:c>
      <x:c r="J1672" s="13" t="n">
        <x:f>MONTH(B1672)</x:f>
        <x:v>10</x:v>
      </x:c>
      <x:c r="K1672" s="14" t="n">
        <x:f>ROUND(E1672*F1672-G1672,10)</x:f>
        <x:v>0</x:v>
      </x:c>
      <x:c r="L1672" s="2"/>
      <x:c r="M1672" s="2"/>
      <x:c r="N1672" s="2"/>
      <x:c r="O1672" s="2"/>
      <x:c r="P1672" s="2"/>
      <x:c r="Q1672" s="2"/>
      <x:c r="R1672" s="2"/>
    </x:row>
    <x:row r="1673" ht="22" customHeight="1">
      <x:c r="A1673" s="2" t="n">
        <x:v>101667</x:v>
      </x:c>
      <x:c r="B1673" s="10" t="n">
        <x:v>44935</x:v>
      </x:c>
      <x:c r="C1673" s="2" t="str">
        <x:v>Brasil</x:v>
      </x:c>
      <x:c r="D1673" s="2" t="str">
        <x:v>Moda Infantil</x:v>
      </x:c>
      <x:c r="E1673" s="11" t="n">
        <x:v>49</x:v>
      </x:c>
      <x:c r="F1673" s="12" t="n">
        <x:v>94.47</x:v>
      </x:c>
      <x:c r="G1673" s="12" t="n">
        <x:v>4629.03</x:v>
      </x:c>
      <x:c r="H1673" s="13" t="n">
        <x:v>231</x:v>
      </x:c>
      <x:c r="I1673" s="13" t="n">
        <x:f>YEAR(B1673)</x:f>
        <x:v>2023</x:v>
      </x:c>
      <x:c r="J1673" s="13" t="n">
        <x:f>MONTH(B1673)</x:f>
        <x:v>1</x:v>
      </x:c>
      <x:c r="K1673" s="14" t="n">
        <x:f>ROUND(E1673*F1673-G1673,10)</x:f>
        <x:v>0</x:v>
      </x:c>
      <x:c r="L1673" s="2"/>
      <x:c r="M1673" s="2"/>
      <x:c r="N1673" s="2"/>
      <x:c r="O1673" s="2"/>
      <x:c r="P1673" s="2"/>
      <x:c r="Q1673" s="2"/>
      <x:c r="R1673" s="2"/>
    </x:row>
    <x:row r="1674" ht="22" customHeight="1">
      <x:c r="A1674" s="2" t="n">
        <x:v>101668</x:v>
      </x:c>
      <x:c r="B1674" s="10" t="n">
        <x:v>44928</x:v>
      </x:c>
      <x:c r="C1674" s="2" t="str">
        <x:v>México</x:v>
      </x:c>
      <x:c r="D1674" s="2" t="str">
        <x:v>Calçados</x:v>
      </x:c>
      <x:c r="E1674" s="11" t="n">
        <x:v>9</x:v>
      </x:c>
      <x:c r="F1674" s="12" t="n">
        <x:v>73.86</x:v>
      </x:c>
      <x:c r="G1674" s="12" t="n">
        <x:v>664.74</x:v>
      </x:c>
      <x:c r="H1674" s="13" t="n">
        <x:v>154</x:v>
      </x:c>
      <x:c r="I1674" s="13" t="n">
        <x:f>YEAR(B1674)</x:f>
        <x:v>2023</x:v>
      </x:c>
      <x:c r="J1674" s="13" t="n">
        <x:f>MONTH(B1674)</x:f>
        <x:v>1</x:v>
      </x:c>
      <x:c r="K1674" s="14" t="n">
        <x:f>ROUND(E1674*F1674-G1674,10)</x:f>
        <x:v>0</x:v>
      </x:c>
      <x:c r="L1674" s="2"/>
      <x:c r="M1674" s="2"/>
      <x:c r="N1674" s="2"/>
      <x:c r="O1674" s="2"/>
      <x:c r="P1674" s="2"/>
      <x:c r="Q1674" s="2"/>
      <x:c r="R1674" s="2"/>
    </x:row>
    <x:row r="1675" ht="22" customHeight="1">
      <x:c r="A1675" s="2" t="n">
        <x:v>101669</x:v>
      </x:c>
      <x:c r="B1675" s="10" t="n">
        <x:v>45464</x:v>
      </x:c>
      <x:c r="C1675" s="2" t="str">
        <x:v>Chile</x:v>
      </x:c>
      <x:c r="D1675" s="2" t="str">
        <x:v>Moda Masculina</x:v>
      </x:c>
      <x:c r="E1675" s="11" t="n">
        <x:v>45</x:v>
      </x:c>
      <x:c r="F1675" s="12" t="n">
        <x:v>154.66</x:v>
      </x:c>
      <x:c r="G1675" s="12" t="n">
        <x:v>6959.7</x:v>
      </x:c>
      <x:c r="H1675" s="13" t="n">
        <x:v>474</x:v>
      </x:c>
      <x:c r="I1675" s="13" t="n">
        <x:f>YEAR(B1675)</x:f>
        <x:v>2024</x:v>
      </x:c>
      <x:c r="J1675" s="13" t="n">
        <x:f>MONTH(B1675)</x:f>
        <x:v>6</x:v>
      </x:c>
      <x:c r="K1675" s="14" t="n">
        <x:f>ROUND(E1675*F1675-G1675,10)</x:f>
        <x:v>0</x:v>
      </x:c>
      <x:c r="L1675" s="2"/>
      <x:c r="M1675" s="2"/>
      <x:c r="N1675" s="2"/>
      <x:c r="O1675" s="2"/>
      <x:c r="P1675" s="2"/>
      <x:c r="Q1675" s="2"/>
      <x:c r="R1675" s="2"/>
    </x:row>
    <x:row r="1676" ht="22" customHeight="1">
      <x:c r="A1676" s="2" t="n">
        <x:v>101670</x:v>
      </x:c>
      <x:c r="B1676" s="10" t="n">
        <x:v>45010</x:v>
      </x:c>
      <x:c r="C1676" s="2" t="str">
        <x:v>Argentina</x:v>
      </x:c>
      <x:c r="D1676" s="2" t="str">
        <x:v>Moda Feminina</x:v>
      </x:c>
      <x:c r="E1676" s="11" t="n">
        <x:v>22</x:v>
      </x:c>
      <x:c r="F1676" s="12" t="n">
        <x:v>57.49</x:v>
      </x:c>
      <x:c r="G1676" s="12" t="n">
        <x:v>1264.78</x:v>
      </x:c>
      <x:c r="H1676" s="13" t="n">
        <x:v>482</x:v>
      </x:c>
      <x:c r="I1676" s="13" t="n">
        <x:f>YEAR(B1676)</x:f>
        <x:v>2023</x:v>
      </x:c>
      <x:c r="J1676" s="13" t="n">
        <x:f>MONTH(B1676)</x:f>
        <x:v>3</x:v>
      </x:c>
      <x:c r="K1676" s="14" t="n">
        <x:f>ROUND(E1676*F1676-G1676,10)</x:f>
        <x:v>0</x:v>
      </x:c>
      <x:c r="L1676" s="2"/>
      <x:c r="M1676" s="2"/>
      <x:c r="N1676" s="2"/>
      <x:c r="O1676" s="2"/>
      <x:c r="P1676" s="2"/>
      <x:c r="Q1676" s="2"/>
      <x:c r="R1676" s="2"/>
    </x:row>
    <x:row r="1677" ht="22" customHeight="1">
      <x:c r="A1677" s="2" t="n">
        <x:v>101671</x:v>
      </x:c>
      <x:c r="B1677" s="10" t="n">
        <x:v>45206</x:v>
      </x:c>
      <x:c r="C1677" s="2" t="str">
        <x:v>Chile</x:v>
      </x:c>
      <x:c r="D1677" s="2" t="str">
        <x:v>Moda Infantil</x:v>
      </x:c>
      <x:c r="E1677" s="11" t="n">
        <x:v>32</x:v>
      </x:c>
      <x:c r="F1677" s="12" t="n">
        <x:v>56.94</x:v>
      </x:c>
      <x:c r="G1677" s="12" t="n">
        <x:v>1822.08</x:v>
      </x:c>
      <x:c r="H1677" s="13" t="n">
        <x:v>450</x:v>
      </x:c>
      <x:c r="I1677" s="13" t="n">
        <x:f>YEAR(B1677)</x:f>
        <x:v>2023</x:v>
      </x:c>
      <x:c r="J1677" s="13" t="n">
        <x:f>MONTH(B1677)</x:f>
        <x:v>10</x:v>
      </x:c>
      <x:c r="K1677" s="14" t="n">
        <x:f>ROUND(E1677*F1677-G1677,10)</x:f>
        <x:v>0</x:v>
      </x:c>
      <x:c r="L1677" s="2"/>
      <x:c r="M1677" s="2"/>
      <x:c r="N1677" s="2"/>
      <x:c r="O1677" s="2"/>
      <x:c r="P1677" s="2"/>
      <x:c r="Q1677" s="2"/>
      <x:c r="R1677" s="2"/>
    </x:row>
    <x:row r="1678" ht="22" customHeight="1">
      <x:c r="A1678" s="2" t="n">
        <x:v>101672</x:v>
      </x:c>
      <x:c r="B1678" s="10" t="n">
        <x:v>44967</x:v>
      </x:c>
      <x:c r="C1678" s="2" t="str">
        <x:v>Argentina</x:v>
      </x:c>
      <x:c r="D1678" s="2" t="str">
        <x:v>Moda Infantil</x:v>
      </x:c>
      <x:c r="E1678" s="11" t="n">
        <x:v>5</x:v>
      </x:c>
      <x:c r="F1678" s="12" t="n">
        <x:v>54.11</x:v>
      </x:c>
      <x:c r="G1678" s="12" t="n">
        <x:v>270.55</x:v>
      </x:c>
      <x:c r="H1678" s="13" t="n">
        <x:v>489</x:v>
      </x:c>
      <x:c r="I1678" s="13" t="n">
        <x:f>YEAR(B1678)</x:f>
        <x:v>2023</x:v>
      </x:c>
      <x:c r="J1678" s="13" t="n">
        <x:f>MONTH(B1678)</x:f>
        <x:v>2</x:v>
      </x:c>
      <x:c r="K1678" s="14" t="n">
        <x:f>ROUND(E1678*F1678-G1678,10)</x:f>
        <x:v>0</x:v>
      </x:c>
      <x:c r="L1678" s="2"/>
      <x:c r="M1678" s="2"/>
      <x:c r="N1678" s="2"/>
      <x:c r="O1678" s="2"/>
      <x:c r="P1678" s="2"/>
      <x:c r="Q1678" s="2"/>
      <x:c r="R1678" s="2"/>
    </x:row>
    <x:row r="1679" ht="22" customHeight="1">
      <x:c r="A1679" s="2" t="n">
        <x:v>101673</x:v>
      </x:c>
      <x:c r="B1679" s="10" t="n">
        <x:v>45581</x:v>
      </x:c>
      <x:c r="C1679" s="2" t="str">
        <x:v>Argentina</x:v>
      </x:c>
      <x:c r="D1679" s="2" t="str">
        <x:v>Calçados</x:v>
      </x:c>
      <x:c r="E1679" s="11" t="n">
        <x:v>23</x:v>
      </x:c>
      <x:c r="F1679" s="12" t="n">
        <x:v>42.61</x:v>
      </x:c>
      <x:c r="G1679" s="12" t="n">
        <x:v>980.03</x:v>
      </x:c>
      <x:c r="H1679" s="13" t="n">
        <x:v>285</x:v>
      </x:c>
      <x:c r="I1679" s="13" t="n">
        <x:f>YEAR(B1679)</x:f>
        <x:v>2024</x:v>
      </x:c>
      <x:c r="J1679" s="13" t="n">
        <x:f>MONTH(B1679)</x:f>
        <x:v>10</x:v>
      </x:c>
      <x:c r="K1679" s="14" t="n">
        <x:f>ROUND(E1679*F1679-G1679,10)</x:f>
        <x:v>0</x:v>
      </x:c>
      <x:c r="L1679" s="2"/>
      <x:c r="M1679" s="2"/>
      <x:c r="N1679" s="2"/>
      <x:c r="O1679" s="2"/>
      <x:c r="P1679" s="2"/>
      <x:c r="Q1679" s="2"/>
      <x:c r="R1679" s="2"/>
    </x:row>
    <x:row r="1680" ht="22" customHeight="1">
      <x:c r="A1680" s="2" t="n">
        <x:v>101674</x:v>
      </x:c>
      <x:c r="B1680" s="10" t="n">
        <x:v>45182</x:v>
      </x:c>
      <x:c r="C1680" s="2" t="str">
        <x:v>Peru</x:v>
      </x:c>
      <x:c r="D1680" s="2" t="str">
        <x:v>Moda Masculina</x:v>
      </x:c>
      <x:c r="E1680" s="11" t="n">
        <x:v>5</x:v>
      </x:c>
      <x:c r="F1680" s="12" t="n">
        <x:v>75.98</x:v>
      </x:c>
      <x:c r="G1680" s="12" t="n">
        <x:v>379.9</x:v>
      </x:c>
      <x:c r="H1680" s="13" t="n">
        <x:v>222</x:v>
      </x:c>
      <x:c r="I1680" s="13" t="n">
        <x:f>YEAR(B1680)</x:f>
        <x:v>2023</x:v>
      </x:c>
      <x:c r="J1680" s="13" t="n">
        <x:f>MONTH(B1680)</x:f>
        <x:v>9</x:v>
      </x:c>
      <x:c r="K1680" s="14" t="n">
        <x:f>ROUND(E1680*F1680-G1680,10)</x:f>
        <x:v>0</x:v>
      </x:c>
      <x:c r="L1680" s="2"/>
      <x:c r="M1680" s="2"/>
      <x:c r="N1680" s="2"/>
      <x:c r="O1680" s="2"/>
      <x:c r="P1680" s="2"/>
      <x:c r="Q1680" s="2"/>
      <x:c r="R1680" s="2"/>
    </x:row>
    <x:row r="1681" ht="22" customHeight="1">
      <x:c r="A1681" s="2" t="n">
        <x:v>101675</x:v>
      </x:c>
      <x:c r="B1681" s="10" t="n">
        <x:v>44964</x:v>
      </x:c>
      <x:c r="C1681" s="2" t="str">
        <x:v>Brasil</x:v>
      </x:c>
      <x:c r="D1681" s="2" t="str">
        <x:v>Moda Masculina</x:v>
      </x:c>
      <x:c r="E1681" s="11" t="n">
        <x:v>42</x:v>
      </x:c>
      <x:c r="F1681" s="12" t="n">
        <x:v>179.47</x:v>
      </x:c>
      <x:c r="G1681" s="12" t="n">
        <x:v>7537.74</x:v>
      </x:c>
      <x:c r="H1681" s="13" t="n">
        <x:v>207</x:v>
      </x:c>
      <x:c r="I1681" s="13" t="n">
        <x:f>YEAR(B1681)</x:f>
        <x:v>2023</x:v>
      </x:c>
      <x:c r="J1681" s="13" t="n">
        <x:f>MONTH(B1681)</x:f>
        <x:v>2</x:v>
      </x:c>
      <x:c r="K1681" s="14" t="n">
        <x:f>ROUND(E1681*F1681-G1681,10)</x:f>
        <x:v>0</x:v>
      </x:c>
      <x:c r="L1681" s="2"/>
      <x:c r="M1681" s="2"/>
      <x:c r="N1681" s="2"/>
      <x:c r="O1681" s="2"/>
      <x:c r="P1681" s="2"/>
      <x:c r="Q1681" s="2"/>
      <x:c r="R1681" s="2"/>
    </x:row>
    <x:row r="1682" ht="22" customHeight="1">
      <x:c r="A1682" s="2" t="n">
        <x:v>101676</x:v>
      </x:c>
      <x:c r="B1682" s="10" t="n">
        <x:v>45181</x:v>
      </x:c>
      <x:c r="C1682" s="2" t="str">
        <x:v>Chile</x:v>
      </x:c>
      <x:c r="D1682" s="2" t="str">
        <x:v>Calçados</x:v>
      </x:c>
      <x:c r="E1682" s="11" t="n">
        <x:v>32</x:v>
      </x:c>
      <x:c r="F1682" s="12" t="n">
        <x:v>159.49</x:v>
      </x:c>
      <x:c r="G1682" s="12" t="n">
        <x:v>5103.68</x:v>
      </x:c>
      <x:c r="H1682" s="13" t="n">
        <x:v>221</x:v>
      </x:c>
      <x:c r="I1682" s="13" t="n">
        <x:f>YEAR(B1682)</x:f>
        <x:v>2023</x:v>
      </x:c>
      <x:c r="J1682" s="13" t="n">
        <x:f>MONTH(B1682)</x:f>
        <x:v>9</x:v>
      </x:c>
      <x:c r="K1682" s="14" t="n">
        <x:f>ROUND(E1682*F1682-G1682,10)</x:f>
        <x:v>0</x:v>
      </x:c>
      <x:c r="L1682" s="2"/>
      <x:c r="M1682" s="2"/>
      <x:c r="N1682" s="2"/>
      <x:c r="O1682" s="2"/>
      <x:c r="P1682" s="2"/>
      <x:c r="Q1682" s="2"/>
      <x:c r="R1682" s="2"/>
    </x:row>
    <x:row r="1683" ht="22" customHeight="1">
      <x:c r="A1683" s="2" t="n">
        <x:v>101677</x:v>
      </x:c>
      <x:c r="B1683" s="10" t="n">
        <x:v>45409</x:v>
      </x:c>
      <x:c r="C1683" s="2" t="str">
        <x:v>Chile</x:v>
      </x:c>
      <x:c r="D1683" s="2" t="str">
        <x:v>Moda Masculina</x:v>
      </x:c>
      <x:c r="E1683" s="11" t="n">
        <x:v>10</x:v>
      </x:c>
      <x:c r="F1683" s="12" t="n">
        <x:v>152.35</x:v>
      </x:c>
      <x:c r="G1683" s="12" t="n">
        <x:v>1523.5</x:v>
      </x:c>
      <x:c r="H1683" s="13" t="n">
        <x:v>360</x:v>
      </x:c>
      <x:c r="I1683" s="13" t="n">
        <x:f>YEAR(B1683)</x:f>
        <x:v>2024</x:v>
      </x:c>
      <x:c r="J1683" s="13" t="n">
        <x:f>MONTH(B1683)</x:f>
        <x:v>4</x:v>
      </x:c>
      <x:c r="K1683" s="14" t="n">
        <x:f>ROUND(E1683*F1683-G1683,10)</x:f>
        <x:v>0</x:v>
      </x:c>
      <x:c r="L1683" s="2"/>
      <x:c r="M1683" s="2"/>
      <x:c r="N1683" s="2"/>
      <x:c r="O1683" s="2"/>
      <x:c r="P1683" s="2"/>
      <x:c r="Q1683" s="2"/>
      <x:c r="R1683" s="2"/>
    </x:row>
    <x:row r="1684" ht="22" customHeight="1">
      <x:c r="A1684" s="2" t="n">
        <x:v>101678</x:v>
      </x:c>
      <x:c r="B1684" s="10" t="n">
        <x:v>45505</x:v>
      </x:c>
      <x:c r="C1684" s="2" t="str">
        <x:v>Peru</x:v>
      </x:c>
      <x:c r="D1684" s="2" t="str">
        <x:v>Acessórios</x:v>
      </x:c>
      <x:c r="E1684" s="11" t="n">
        <x:v>39</x:v>
      </x:c>
      <x:c r="F1684" s="12" t="n">
        <x:v>163.52</x:v>
      </x:c>
      <x:c r="G1684" s="12" t="n">
        <x:v>6377.280000000001</x:v>
      </x:c>
      <x:c r="H1684" s="13" t="n">
        <x:v>452</x:v>
      </x:c>
      <x:c r="I1684" s="13" t="n">
        <x:f>YEAR(B1684)</x:f>
        <x:v>2024</x:v>
      </x:c>
      <x:c r="J1684" s="13" t="n">
        <x:f>MONTH(B1684)</x:f>
        <x:v>8</x:v>
      </x:c>
      <x:c r="K1684" s="14" t="n">
        <x:f>ROUND(E1684*F1684-G1684,10)</x:f>
        <x:v>0</x:v>
      </x:c>
      <x:c r="L1684" s="2"/>
      <x:c r="M1684" s="2"/>
      <x:c r="N1684" s="2"/>
      <x:c r="O1684" s="2"/>
      <x:c r="P1684" s="2"/>
      <x:c r="Q1684" s="2"/>
      <x:c r="R1684" s="2"/>
    </x:row>
    <x:row r="1685" ht="22" customHeight="1">
      <x:c r="A1685" s="2" t="n">
        <x:v>101679</x:v>
      </x:c>
      <x:c r="B1685" s="10" t="n">
        <x:v>45635</x:v>
      </x:c>
      <x:c r="C1685" s="2" t="str">
        <x:v>México</x:v>
      </x:c>
      <x:c r="D1685" s="2" t="str">
        <x:v>Moda Feminina</x:v>
      </x:c>
      <x:c r="E1685" s="11" t="n">
        <x:v>15</x:v>
      </x:c>
      <x:c r="F1685" s="12" t="n">
        <x:v>68.5</x:v>
      </x:c>
      <x:c r="G1685" s="12" t="n">
        <x:v>1027.5</x:v>
      </x:c>
      <x:c r="H1685" s="13" t="n">
        <x:v>206</x:v>
      </x:c>
      <x:c r="I1685" s="13" t="n">
        <x:f>YEAR(B1685)</x:f>
        <x:v>2024</x:v>
      </x:c>
      <x:c r="J1685" s="13" t="n">
        <x:f>MONTH(B1685)</x:f>
        <x:v>12</x:v>
      </x:c>
      <x:c r="K1685" s="14" t="n">
        <x:f>ROUND(E1685*F1685-G1685,10)</x:f>
        <x:v>0</x:v>
      </x:c>
      <x:c r="L1685" s="2"/>
      <x:c r="M1685" s="2"/>
      <x:c r="N1685" s="2"/>
      <x:c r="O1685" s="2"/>
      <x:c r="P1685" s="2"/>
      <x:c r="Q1685" s="2"/>
      <x:c r="R1685" s="2"/>
    </x:row>
    <x:row r="1686" ht="22" customHeight="1">
      <x:c r="A1686" s="2" t="n">
        <x:v>101680</x:v>
      </x:c>
      <x:c r="B1686" s="10" t="n">
        <x:v>44980</x:v>
      </x:c>
      <x:c r="C1686" s="2" t="str">
        <x:v>México</x:v>
      </x:c>
      <x:c r="D1686" s="2" t="str">
        <x:v>Moda Infantil</x:v>
      </x:c>
      <x:c r="E1686" s="11" t="n">
        <x:v>7</x:v>
      </x:c>
      <x:c r="F1686" s="12" t="n">
        <x:v>179.74</x:v>
      </x:c>
      <x:c r="G1686" s="12" t="n">
        <x:v>1258.18</x:v>
      </x:c>
      <x:c r="H1686" s="13" t="n">
        <x:v>307</x:v>
      </x:c>
      <x:c r="I1686" s="13" t="n">
        <x:f>YEAR(B1686)</x:f>
        <x:v>2023</x:v>
      </x:c>
      <x:c r="J1686" s="13" t="n">
        <x:f>MONTH(B1686)</x:f>
        <x:v>2</x:v>
      </x:c>
      <x:c r="K1686" s="14" t="n">
        <x:f>ROUND(E1686*F1686-G1686,10)</x:f>
        <x:v>0</x:v>
      </x:c>
      <x:c r="L1686" s="2"/>
      <x:c r="M1686" s="2"/>
      <x:c r="N1686" s="2"/>
      <x:c r="O1686" s="2"/>
      <x:c r="P1686" s="2"/>
      <x:c r="Q1686" s="2"/>
      <x:c r="R1686" s="2"/>
    </x:row>
    <x:row r="1687" ht="22" customHeight="1">
      <x:c r="A1687" s="2" t="n">
        <x:v>101681</x:v>
      </x:c>
      <x:c r="B1687" s="10" t="n">
        <x:v>45457</x:v>
      </x:c>
      <x:c r="C1687" s="2" t="str">
        <x:v>Brasil</x:v>
      </x:c>
      <x:c r="D1687" s="2" t="str">
        <x:v>Moda Feminina</x:v>
      </x:c>
      <x:c r="E1687" s="11" t="n">
        <x:v>29</x:v>
      </x:c>
      <x:c r="F1687" s="12" t="n">
        <x:v>44.71</x:v>
      </x:c>
      <x:c r="G1687" s="12" t="n">
        <x:v>1296.59</x:v>
      </x:c>
      <x:c r="H1687" s="13" t="n">
        <x:v>213</x:v>
      </x:c>
      <x:c r="I1687" s="13" t="n">
        <x:f>YEAR(B1687)</x:f>
        <x:v>2024</x:v>
      </x:c>
      <x:c r="J1687" s="13" t="n">
        <x:f>MONTH(B1687)</x:f>
        <x:v>6</x:v>
      </x:c>
      <x:c r="K1687" s="14" t="n">
        <x:f>ROUND(E1687*F1687-G1687,10)</x:f>
        <x:v>0</x:v>
      </x:c>
      <x:c r="L1687" s="2"/>
      <x:c r="M1687" s="2"/>
      <x:c r="N1687" s="2"/>
      <x:c r="O1687" s="2"/>
      <x:c r="P1687" s="2"/>
      <x:c r="Q1687" s="2"/>
      <x:c r="R1687" s="2"/>
    </x:row>
    <x:row r="1688" ht="22" customHeight="1">
      <x:c r="A1688" s="2" t="n">
        <x:v>101682</x:v>
      </x:c>
      <x:c r="B1688" s="10" t="n">
        <x:v>45098</x:v>
      </x:c>
      <x:c r="C1688" s="2" t="str">
        <x:v>Brasil</x:v>
      </x:c>
      <x:c r="D1688" s="2" t="str">
        <x:v>Moda Infantil</x:v>
      </x:c>
      <x:c r="E1688" s="11" t="n">
        <x:v>47</x:v>
      </x:c>
      <x:c r="F1688" s="12" t="n">
        <x:v>80.54</x:v>
      </x:c>
      <x:c r="G1688" s="12" t="n">
        <x:v>3785.38</x:v>
      </x:c>
      <x:c r="H1688" s="13" t="n">
        <x:v>196</x:v>
      </x:c>
      <x:c r="I1688" s="13" t="n">
        <x:f>YEAR(B1688)</x:f>
        <x:v>2023</x:v>
      </x:c>
      <x:c r="J1688" s="13" t="n">
        <x:f>MONTH(B1688)</x:f>
        <x:v>6</x:v>
      </x:c>
      <x:c r="K1688" s="14" t="n">
        <x:f>ROUND(E1688*F1688-G1688,10)</x:f>
        <x:v>0</x:v>
      </x:c>
      <x:c r="L1688" s="2"/>
      <x:c r="M1688" s="2"/>
      <x:c r="N1688" s="2"/>
      <x:c r="O1688" s="2"/>
      <x:c r="P1688" s="2"/>
      <x:c r="Q1688" s="2"/>
      <x:c r="R1688" s="2"/>
    </x:row>
    <x:row r="1689" ht="22" customHeight="1">
      <x:c r="A1689" s="2" t="n">
        <x:v>101683</x:v>
      </x:c>
      <x:c r="B1689" s="10" t="n">
        <x:v>45206</x:v>
      </x:c>
      <x:c r="C1689" s="2" t="str">
        <x:v>Colômbia</x:v>
      </x:c>
      <x:c r="D1689" s="2" t="str">
        <x:v>Acessórios</x:v>
      </x:c>
      <x:c r="E1689" s="11" t="n">
        <x:v>3</x:v>
      </x:c>
      <x:c r="F1689" s="12" t="n">
        <x:v>125.61</x:v>
      </x:c>
      <x:c r="G1689" s="12" t="n">
        <x:v>376.83</x:v>
      </x:c>
      <x:c r="H1689" s="13" t="n">
        <x:v>440</x:v>
      </x:c>
      <x:c r="I1689" s="13" t="n">
        <x:f>YEAR(B1689)</x:f>
        <x:v>2023</x:v>
      </x:c>
      <x:c r="J1689" s="13" t="n">
        <x:f>MONTH(B1689)</x:f>
        <x:v>10</x:v>
      </x:c>
      <x:c r="K1689" s="14" t="n">
        <x:f>ROUND(E1689*F1689-G1689,10)</x:f>
        <x:v>0</x:v>
      </x:c>
      <x:c r="L1689" s="2"/>
      <x:c r="M1689" s="2"/>
      <x:c r="N1689" s="2"/>
      <x:c r="O1689" s="2"/>
      <x:c r="P1689" s="2"/>
      <x:c r="Q1689" s="2"/>
      <x:c r="R1689" s="2"/>
    </x:row>
    <x:row r="1690" ht="22" customHeight="1">
      <x:c r="A1690" s="2" t="n">
        <x:v>101684</x:v>
      </x:c>
      <x:c r="B1690" s="10" t="n">
        <x:v>45064</x:v>
      </x:c>
      <x:c r="C1690" s="2" t="str">
        <x:v>Peru</x:v>
      </x:c>
      <x:c r="D1690" s="2" t="str">
        <x:v>Moda Masculina</x:v>
      </x:c>
      <x:c r="E1690" s="11" t="n">
        <x:v>19</x:v>
      </x:c>
      <x:c r="F1690" s="12" t="n">
        <x:v>38.52</x:v>
      </x:c>
      <x:c r="G1690" s="12" t="n">
        <x:v>731.8800000000001</x:v>
      </x:c>
      <x:c r="H1690" s="13" t="n">
        <x:v>203</x:v>
      </x:c>
      <x:c r="I1690" s="13" t="n">
        <x:f>YEAR(B1690)</x:f>
        <x:v>2023</x:v>
      </x:c>
      <x:c r="J1690" s="13" t="n">
        <x:f>MONTH(B1690)</x:f>
        <x:v>5</x:v>
      </x:c>
      <x:c r="K1690" s="14" t="n">
        <x:f>ROUND(E1690*F1690-G1690,10)</x:f>
        <x:v>0</x:v>
      </x:c>
      <x:c r="L1690" s="2"/>
      <x:c r="M1690" s="2"/>
      <x:c r="N1690" s="2"/>
      <x:c r="O1690" s="2"/>
      <x:c r="P1690" s="2"/>
      <x:c r="Q1690" s="2"/>
      <x:c r="R1690" s="2"/>
    </x:row>
    <x:row r="1691" ht="22" customHeight="1">
      <x:c r="A1691" s="2" t="n">
        <x:v>101685</x:v>
      </x:c>
      <x:c r="B1691" s="10" t="n">
        <x:v>45109</x:v>
      </x:c>
      <x:c r="C1691" s="2" t="str">
        <x:v>México</x:v>
      </x:c>
      <x:c r="D1691" s="2" t="str">
        <x:v>Calçados</x:v>
      </x:c>
      <x:c r="E1691" s="11" t="n">
        <x:v>10</x:v>
      </x:c>
      <x:c r="F1691" s="12" t="n">
        <x:v>151.42</x:v>
      </x:c>
      <x:c r="G1691" s="12" t="n">
        <x:v>1514.2</x:v>
      </x:c>
      <x:c r="H1691" s="13" t="n">
        <x:v>416</x:v>
      </x:c>
      <x:c r="I1691" s="13" t="n">
        <x:f>YEAR(B1691)</x:f>
        <x:v>2023</x:v>
      </x:c>
      <x:c r="J1691" s="13" t="n">
        <x:f>MONTH(B1691)</x:f>
        <x:v>7</x:v>
      </x:c>
      <x:c r="K1691" s="14" t="n">
        <x:f>ROUND(E1691*F1691-G1691,10)</x:f>
        <x:v>0</x:v>
      </x:c>
      <x:c r="L1691" s="2"/>
      <x:c r="M1691" s="2"/>
      <x:c r="N1691" s="2"/>
      <x:c r="O1691" s="2"/>
      <x:c r="P1691" s="2"/>
      <x:c r="Q1691" s="2"/>
      <x:c r="R1691" s="2"/>
    </x:row>
    <x:row r="1692" ht="22" customHeight="1">
      <x:c r="A1692" s="2" t="n">
        <x:v>101686</x:v>
      </x:c>
      <x:c r="B1692" s="10" t="n">
        <x:v>45235</x:v>
      </x:c>
      <x:c r="C1692" s="2" t="str">
        <x:v>Argentina</x:v>
      </x:c>
      <x:c r="D1692" s="2" t="str">
        <x:v>Acessórios</x:v>
      </x:c>
      <x:c r="E1692" s="11" t="n">
        <x:v>28</x:v>
      </x:c>
      <x:c r="F1692" s="12" t="n">
        <x:v>89.7</x:v>
      </x:c>
      <x:c r="G1692" s="12" t="n">
        <x:v>2511.6</x:v>
      </x:c>
      <x:c r="H1692" s="13" t="n">
        <x:v>87</x:v>
      </x:c>
      <x:c r="I1692" s="13" t="n">
        <x:f>YEAR(B1692)</x:f>
        <x:v>2023</x:v>
      </x:c>
      <x:c r="J1692" s="13" t="n">
        <x:f>MONTH(B1692)</x:f>
        <x:v>11</x:v>
      </x:c>
      <x:c r="K1692" s="14" t="n">
        <x:f>ROUND(E1692*F1692-G1692,10)</x:f>
        <x:v>0</x:v>
      </x:c>
      <x:c r="L1692" s="2"/>
      <x:c r="M1692" s="2"/>
      <x:c r="N1692" s="2"/>
      <x:c r="O1692" s="2"/>
      <x:c r="P1692" s="2"/>
      <x:c r="Q1692" s="2"/>
      <x:c r="R1692" s="2"/>
    </x:row>
    <x:row r="1693" ht="22" customHeight="1">
      <x:c r="A1693" s="2" t="n">
        <x:v>101687</x:v>
      </x:c>
      <x:c r="B1693" s="10" t="n">
        <x:v>45111</x:v>
      </x:c>
      <x:c r="C1693" s="2" t="str">
        <x:v>Chile</x:v>
      </x:c>
      <x:c r="D1693" s="2" t="str">
        <x:v>Moda Feminina</x:v>
      </x:c>
      <x:c r="E1693" s="11" t="n">
        <x:v>29</x:v>
      </x:c>
      <x:c r="F1693" s="12" t="n">
        <x:v>161.19</x:v>
      </x:c>
      <x:c r="G1693" s="12" t="n">
        <x:v>4674.51</x:v>
      </x:c>
      <x:c r="H1693" s="13" t="n">
        <x:v>180</x:v>
      </x:c>
      <x:c r="I1693" s="13" t="n">
        <x:f>YEAR(B1693)</x:f>
        <x:v>2023</x:v>
      </x:c>
      <x:c r="J1693" s="13" t="n">
        <x:f>MONTH(B1693)</x:f>
        <x:v>7</x:v>
      </x:c>
      <x:c r="K1693" s="14" t="n">
        <x:f>ROUND(E1693*F1693-G1693,10)</x:f>
        <x:v>0</x:v>
      </x:c>
      <x:c r="L1693" s="2"/>
      <x:c r="M1693" s="2"/>
      <x:c r="N1693" s="2"/>
      <x:c r="O1693" s="2"/>
      <x:c r="P1693" s="2"/>
      <x:c r="Q1693" s="2"/>
      <x:c r="R1693" s="2"/>
    </x:row>
    <x:row r="1694" ht="22" customHeight="1">
      <x:c r="A1694" s="2" t="n">
        <x:v>101688</x:v>
      </x:c>
      <x:c r="B1694" s="10" t="n">
        <x:v>45061</x:v>
      </x:c>
      <x:c r="C1694" s="2" t="str">
        <x:v>Brasil</x:v>
      </x:c>
      <x:c r="D1694" s="2" t="str">
        <x:v>Calçados</x:v>
      </x:c>
      <x:c r="E1694" s="11" t="n">
        <x:v>15</x:v>
      </x:c>
      <x:c r="F1694" s="12" t="n">
        <x:v>108.72</x:v>
      </x:c>
      <x:c r="G1694" s="12" t="n">
        <x:v>1630.8</x:v>
      </x:c>
      <x:c r="H1694" s="13" t="n">
        <x:v>407</x:v>
      </x:c>
      <x:c r="I1694" s="13" t="n">
        <x:f>YEAR(B1694)</x:f>
        <x:v>2023</x:v>
      </x:c>
      <x:c r="J1694" s="13" t="n">
        <x:f>MONTH(B1694)</x:f>
        <x:v>5</x:v>
      </x:c>
      <x:c r="K1694" s="14" t="n">
        <x:f>ROUND(E1694*F1694-G1694,10)</x:f>
        <x:v>0</x:v>
      </x:c>
      <x:c r="L1694" s="2"/>
      <x:c r="M1694" s="2"/>
      <x:c r="N1694" s="2"/>
      <x:c r="O1694" s="2"/>
      <x:c r="P1694" s="2"/>
      <x:c r="Q1694" s="2"/>
      <x:c r="R1694" s="2"/>
    </x:row>
    <x:row r="1695" ht="22" customHeight="1">
      <x:c r="A1695" s="2" t="n">
        <x:v>101689</x:v>
      </x:c>
      <x:c r="B1695" s="10" t="n">
        <x:v>45099</x:v>
      </x:c>
      <x:c r="C1695" s="2" t="str">
        <x:v>Chile</x:v>
      </x:c>
      <x:c r="D1695" s="2" t="str">
        <x:v>Moda Masculina</x:v>
      </x:c>
      <x:c r="E1695" s="11" t="n">
        <x:v>35</x:v>
      </x:c>
      <x:c r="F1695" s="12" t="n">
        <x:v>52.56</x:v>
      </x:c>
      <x:c r="G1695" s="12" t="n">
        <x:v>1839.6</x:v>
      </x:c>
      <x:c r="H1695" s="13" t="n">
        <x:v>304</x:v>
      </x:c>
      <x:c r="I1695" s="13" t="n">
        <x:f>YEAR(B1695)</x:f>
        <x:v>2023</x:v>
      </x:c>
      <x:c r="J1695" s="13" t="n">
        <x:f>MONTH(B1695)</x:f>
        <x:v>6</x:v>
      </x:c>
      <x:c r="K1695" s="14" t="n">
        <x:f>ROUND(E1695*F1695-G1695,10)</x:f>
        <x:v>0</x:v>
      </x:c>
      <x:c r="L1695" s="2"/>
      <x:c r="M1695" s="2"/>
      <x:c r="N1695" s="2"/>
      <x:c r="O1695" s="2"/>
      <x:c r="P1695" s="2"/>
      <x:c r="Q1695" s="2"/>
      <x:c r="R1695" s="2"/>
    </x:row>
    <x:row r="1696" ht="22" customHeight="1">
      <x:c r="A1696" s="2" t="n">
        <x:v>101690</x:v>
      </x:c>
      <x:c r="B1696" s="10" t="n">
        <x:v>45404</x:v>
      </x:c>
      <x:c r="C1696" s="2" t="str">
        <x:v>Chile</x:v>
      </x:c>
      <x:c r="D1696" s="2" t="str">
        <x:v>Acessórios</x:v>
      </x:c>
      <x:c r="E1696" s="11" t="n">
        <x:v>6</x:v>
      </x:c>
      <x:c r="F1696" s="12" t="n">
        <x:v>152.26</x:v>
      </x:c>
      <x:c r="G1696" s="12" t="n">
        <x:v>913.56</x:v>
      </x:c>
      <x:c r="H1696" s="13" t="n">
        <x:v>257</x:v>
      </x:c>
      <x:c r="I1696" s="13" t="n">
        <x:f>YEAR(B1696)</x:f>
        <x:v>2024</x:v>
      </x:c>
      <x:c r="J1696" s="13" t="n">
        <x:f>MONTH(B1696)</x:f>
        <x:v>4</x:v>
      </x:c>
      <x:c r="K1696" s="14" t="n">
        <x:f>ROUND(E1696*F1696-G1696,10)</x:f>
        <x:v>0</x:v>
      </x:c>
      <x:c r="L1696" s="2"/>
      <x:c r="M1696" s="2"/>
      <x:c r="N1696" s="2"/>
      <x:c r="O1696" s="2"/>
      <x:c r="P1696" s="2"/>
      <x:c r="Q1696" s="2"/>
      <x:c r="R1696" s="2"/>
    </x:row>
    <x:row r="1697" ht="22" customHeight="1">
      <x:c r="A1697" s="2" t="n">
        <x:v>101691</x:v>
      </x:c>
      <x:c r="B1697" s="10" t="n">
        <x:v>45271</x:v>
      </x:c>
      <x:c r="C1697" s="2" t="str">
        <x:v>Colômbia</x:v>
      </x:c>
      <x:c r="D1697" s="2" t="str">
        <x:v>Calçados</x:v>
      </x:c>
      <x:c r="E1697" s="11" t="n">
        <x:v>12</x:v>
      </x:c>
      <x:c r="F1697" s="12" t="n">
        <x:v>65.39</x:v>
      </x:c>
      <x:c r="G1697" s="12" t="n">
        <x:v>784.6800000000001</x:v>
      </x:c>
      <x:c r="H1697" s="13" t="n">
        <x:v>499</x:v>
      </x:c>
      <x:c r="I1697" s="13" t="n">
        <x:f>YEAR(B1697)</x:f>
        <x:v>2023</x:v>
      </x:c>
      <x:c r="J1697" s="13" t="n">
        <x:f>MONTH(B1697)</x:f>
        <x:v>12</x:v>
      </x:c>
      <x:c r="K1697" s="14" t="n">
        <x:f>ROUND(E1697*F1697-G1697,10)</x:f>
        <x:v>0</x:v>
      </x:c>
      <x:c r="L1697" s="2"/>
      <x:c r="M1697" s="2"/>
      <x:c r="N1697" s="2"/>
      <x:c r="O1697" s="2"/>
      <x:c r="P1697" s="2"/>
      <x:c r="Q1697" s="2"/>
      <x:c r="R1697" s="2"/>
    </x:row>
    <x:row r="1698" ht="22" customHeight="1">
      <x:c r="A1698" s="2" t="n">
        <x:v>101692</x:v>
      </x:c>
      <x:c r="B1698" s="10" t="n">
        <x:v>45633</x:v>
      </x:c>
      <x:c r="C1698" s="2" t="str">
        <x:v>México</x:v>
      </x:c>
      <x:c r="D1698" s="2" t="str">
        <x:v>Acessórios</x:v>
      </x:c>
      <x:c r="E1698" s="11" t="n">
        <x:v>47</x:v>
      </x:c>
      <x:c r="F1698" s="12" t="n">
        <x:v>108.35</x:v>
      </x:c>
      <x:c r="G1698" s="12" t="n">
        <x:v>5092.45</x:v>
      </x:c>
      <x:c r="H1698" s="13" t="n">
        <x:v>144</x:v>
      </x:c>
      <x:c r="I1698" s="13" t="n">
        <x:f>YEAR(B1698)</x:f>
        <x:v>2024</x:v>
      </x:c>
      <x:c r="J1698" s="13" t="n">
        <x:f>MONTH(B1698)</x:f>
        <x:v>12</x:v>
      </x:c>
      <x:c r="K1698" s="14" t="n">
        <x:f>ROUND(E1698*F1698-G1698,10)</x:f>
        <x:v>0</x:v>
      </x:c>
      <x:c r="L1698" s="2"/>
      <x:c r="M1698" s="2"/>
      <x:c r="N1698" s="2"/>
      <x:c r="O1698" s="2"/>
      <x:c r="P1698" s="2"/>
      <x:c r="Q1698" s="2"/>
      <x:c r="R1698" s="2"/>
    </x:row>
    <x:row r="1699" ht="22" customHeight="1">
      <x:c r="A1699" s="2" t="n">
        <x:v>101693</x:v>
      </x:c>
      <x:c r="B1699" s="10" t="n">
        <x:v>45581</x:v>
      </x:c>
      <x:c r="C1699" s="2" t="str">
        <x:v>Brasil</x:v>
      </x:c>
      <x:c r="D1699" s="2" t="str">
        <x:v>Acessórios</x:v>
      </x:c>
      <x:c r="E1699" s="11" t="n">
        <x:v>38</x:v>
      </x:c>
      <x:c r="F1699" s="12" t="n">
        <x:v>33.6</x:v>
      </x:c>
      <x:c r="G1699" s="12" t="n">
        <x:v>1276.8</x:v>
      </x:c>
      <x:c r="H1699" s="13" t="n">
        <x:v>397</x:v>
      </x:c>
      <x:c r="I1699" s="13" t="n">
        <x:f>YEAR(B1699)</x:f>
        <x:v>2024</x:v>
      </x:c>
      <x:c r="J1699" s="13" t="n">
        <x:f>MONTH(B1699)</x:f>
        <x:v>10</x:v>
      </x:c>
      <x:c r="K1699" s="14" t="n">
        <x:f>ROUND(E1699*F1699-G1699,10)</x:f>
        <x:v>0</x:v>
      </x:c>
      <x:c r="L1699" s="2"/>
      <x:c r="M1699" s="2"/>
      <x:c r="N1699" s="2"/>
      <x:c r="O1699" s="2"/>
      <x:c r="P1699" s="2"/>
      <x:c r="Q1699" s="2"/>
      <x:c r="R1699" s="2"/>
    </x:row>
    <x:row r="1700" ht="22" customHeight="1">
      <x:c r="A1700" s="2" t="n">
        <x:v>101694</x:v>
      </x:c>
      <x:c r="B1700" s="10" t="n">
        <x:v>45035</x:v>
      </x:c>
      <x:c r="C1700" s="2" t="str">
        <x:v>Chile</x:v>
      </x:c>
      <x:c r="D1700" s="2" t="str">
        <x:v>Moda Masculina</x:v>
      </x:c>
      <x:c r="E1700" s="11" t="n">
        <x:v>13</x:v>
      </x:c>
      <x:c r="F1700" s="12" t="n">
        <x:v>131.22</x:v>
      </x:c>
      <x:c r="G1700" s="12" t="n">
        <x:v>1705.86</x:v>
      </x:c>
      <x:c r="H1700" s="13" t="n">
        <x:v>376</x:v>
      </x:c>
      <x:c r="I1700" s="13" t="n">
        <x:f>YEAR(B1700)</x:f>
        <x:v>2023</x:v>
      </x:c>
      <x:c r="J1700" s="13" t="n">
        <x:f>MONTH(B1700)</x:f>
        <x:v>4</x:v>
      </x:c>
      <x:c r="K1700" s="14" t="n">
        <x:f>ROUND(E1700*F1700-G1700,10)</x:f>
        <x:v>0</x:v>
      </x:c>
      <x:c r="L1700" s="2"/>
      <x:c r="M1700" s="2"/>
      <x:c r="N1700" s="2"/>
      <x:c r="O1700" s="2"/>
      <x:c r="P1700" s="2"/>
      <x:c r="Q1700" s="2"/>
      <x:c r="R1700" s="2"/>
    </x:row>
    <x:row r="1701" ht="22" customHeight="1">
      <x:c r="A1701" s="2" t="n">
        <x:v>101695</x:v>
      </x:c>
      <x:c r="B1701" s="10" t="n">
        <x:v>45344</x:v>
      </x:c>
      <x:c r="C1701" s="2" t="str">
        <x:v>Brasil</x:v>
      </x:c>
      <x:c r="D1701" s="2" t="str">
        <x:v>Moda Infantil</x:v>
      </x:c>
      <x:c r="E1701" s="11" t="n">
        <x:v>29</x:v>
      </x:c>
      <x:c r="F1701" s="12" t="n">
        <x:v>139.85</x:v>
      </x:c>
      <x:c r="G1701" s="12" t="n">
        <x:v>4055.65</x:v>
      </x:c>
      <x:c r="H1701" s="13" t="n">
        <x:v>220</x:v>
      </x:c>
      <x:c r="I1701" s="13" t="n">
        <x:f>YEAR(B1701)</x:f>
        <x:v>2024</x:v>
      </x:c>
      <x:c r="J1701" s="13" t="n">
        <x:f>MONTH(B1701)</x:f>
        <x:v>2</x:v>
      </x:c>
      <x:c r="K1701" s="14" t="n">
        <x:f>ROUND(E1701*F1701-G1701,10)</x:f>
        <x:v>0</x:v>
      </x:c>
      <x:c r="L1701" s="2"/>
      <x:c r="M1701" s="2"/>
      <x:c r="N1701" s="2"/>
      <x:c r="O1701" s="2"/>
      <x:c r="P1701" s="2"/>
      <x:c r="Q1701" s="2"/>
      <x:c r="R1701" s="2"/>
    </x:row>
    <x:row r="1702" ht="22" customHeight="1">
      <x:c r="A1702" s="2" t="n">
        <x:v>101696</x:v>
      </x:c>
      <x:c r="B1702" s="10" t="n">
        <x:v>45357</x:v>
      </x:c>
      <x:c r="C1702" s="2" t="str">
        <x:v>Argentina</x:v>
      </x:c>
      <x:c r="D1702" s="2" t="str">
        <x:v>Calçados</x:v>
      </x:c>
      <x:c r="E1702" s="11" t="n">
        <x:v>19</x:v>
      </x:c>
      <x:c r="F1702" s="12" t="n">
        <x:v>88.16</x:v>
      </x:c>
      <x:c r="G1702" s="12" t="n">
        <x:v>1675.04</x:v>
      </x:c>
      <x:c r="H1702" s="13" t="n">
        <x:v>299</x:v>
      </x:c>
      <x:c r="I1702" s="13" t="n">
        <x:f>YEAR(B1702)</x:f>
        <x:v>2024</x:v>
      </x:c>
      <x:c r="J1702" s="13" t="n">
        <x:f>MONTH(B1702)</x:f>
        <x:v>3</x:v>
      </x:c>
      <x:c r="K1702" s="14" t="n">
        <x:f>ROUND(E1702*F1702-G1702,10)</x:f>
        <x:v>0</x:v>
      </x:c>
      <x:c r="L1702" s="2"/>
      <x:c r="M1702" s="2"/>
      <x:c r="N1702" s="2"/>
      <x:c r="O1702" s="2"/>
      <x:c r="P1702" s="2"/>
      <x:c r="Q1702" s="2"/>
      <x:c r="R1702" s="2"/>
    </x:row>
    <x:row r="1703" ht="22" customHeight="1">
      <x:c r="A1703" s="2" t="n">
        <x:v>101697</x:v>
      </x:c>
      <x:c r="B1703" s="10" t="n">
        <x:v>45221</x:v>
      </x:c>
      <x:c r="C1703" s="2" t="str">
        <x:v>Colômbia</x:v>
      </x:c>
      <x:c r="D1703" s="2" t="str">
        <x:v>Moda Masculina</x:v>
      </x:c>
      <x:c r="E1703" s="11" t="n">
        <x:v>3</x:v>
      </x:c>
      <x:c r="F1703" s="12" t="n">
        <x:v>191.8</x:v>
      </x:c>
      <x:c r="G1703" s="12" t="n">
        <x:v>575.4000000000001</x:v>
      </x:c>
      <x:c r="H1703" s="13" t="n">
        <x:v>239</x:v>
      </x:c>
      <x:c r="I1703" s="13" t="n">
        <x:f>YEAR(B1703)</x:f>
        <x:v>2023</x:v>
      </x:c>
      <x:c r="J1703" s="13" t="n">
        <x:f>MONTH(B1703)</x:f>
        <x:v>10</x:v>
      </x:c>
      <x:c r="K1703" s="14" t="n">
        <x:f>ROUND(E1703*F1703-G1703,10)</x:f>
        <x:v>0</x:v>
      </x:c>
      <x:c r="L1703" s="2"/>
      <x:c r="M1703" s="2"/>
      <x:c r="N1703" s="2"/>
      <x:c r="O1703" s="2"/>
      <x:c r="P1703" s="2"/>
      <x:c r="Q1703" s="2"/>
      <x:c r="R1703" s="2"/>
    </x:row>
    <x:row r="1704" ht="22" customHeight="1">
      <x:c r="A1704" s="2" t="n">
        <x:v>101698</x:v>
      </x:c>
      <x:c r="B1704" s="10" t="n">
        <x:v>45484</x:v>
      </x:c>
      <x:c r="C1704" s="2" t="str">
        <x:v>Argentina</x:v>
      </x:c>
      <x:c r="D1704" s="2" t="str">
        <x:v>Acessórios</x:v>
      </x:c>
      <x:c r="E1704" s="11" t="n">
        <x:v>8</x:v>
      </x:c>
      <x:c r="F1704" s="12" t="n">
        <x:v>177.35</x:v>
      </x:c>
      <x:c r="G1704" s="12" t="n">
        <x:v>1418.8</x:v>
      </x:c>
      <x:c r="H1704" s="13" t="n">
        <x:v>248</x:v>
      </x:c>
      <x:c r="I1704" s="13" t="n">
        <x:f>YEAR(B1704)</x:f>
        <x:v>2024</x:v>
      </x:c>
      <x:c r="J1704" s="13" t="n">
        <x:f>MONTH(B1704)</x:f>
        <x:v>7</x:v>
      </x:c>
      <x:c r="K1704" s="14" t="n">
        <x:f>ROUND(E1704*F1704-G1704,10)</x:f>
        <x:v>0</x:v>
      </x:c>
      <x:c r="L1704" s="2"/>
      <x:c r="M1704" s="2"/>
      <x:c r="N1704" s="2"/>
      <x:c r="O1704" s="2"/>
      <x:c r="P1704" s="2"/>
      <x:c r="Q1704" s="2"/>
      <x:c r="R1704" s="2"/>
    </x:row>
    <x:row r="1705" ht="22" customHeight="1">
      <x:c r="A1705" s="2" t="n">
        <x:v>101699</x:v>
      </x:c>
      <x:c r="B1705" s="10" t="n">
        <x:v>45301</x:v>
      </x:c>
      <x:c r="C1705" s="2" t="str">
        <x:v>Brasil</x:v>
      </x:c>
      <x:c r="D1705" s="2" t="str">
        <x:v>Moda Masculina</x:v>
      </x:c>
      <x:c r="E1705" s="11" t="n">
        <x:v>8</x:v>
      </x:c>
      <x:c r="F1705" s="12" t="n">
        <x:v>147.43</x:v>
      </x:c>
      <x:c r="G1705" s="12" t="n">
        <x:v>1179.44</x:v>
      </x:c>
      <x:c r="H1705" s="13" t="n">
        <x:v>270</x:v>
      </x:c>
      <x:c r="I1705" s="13" t="n">
        <x:f>YEAR(B1705)</x:f>
        <x:v>2024</x:v>
      </x:c>
      <x:c r="J1705" s="13" t="n">
        <x:f>MONTH(B1705)</x:f>
        <x:v>1</x:v>
      </x:c>
      <x:c r="K1705" s="14" t="n">
        <x:f>ROUND(E1705*F1705-G1705,10)</x:f>
        <x:v>0</x:v>
      </x:c>
      <x:c r="L1705" s="2"/>
      <x:c r="M1705" s="2"/>
      <x:c r="N1705" s="2"/>
      <x:c r="O1705" s="2"/>
      <x:c r="P1705" s="2"/>
      <x:c r="Q1705" s="2"/>
      <x:c r="R1705" s="2"/>
    </x:row>
    <x:row r="1706" ht="22" customHeight="1">
      <x:c r="A1706" s="2" t="n">
        <x:v>101700</x:v>
      </x:c>
      <x:c r="B1706" s="10" t="n">
        <x:v>45132</x:v>
      </x:c>
      <x:c r="C1706" s="2" t="str">
        <x:v>Brasil</x:v>
      </x:c>
      <x:c r="D1706" s="2" t="str">
        <x:v>Moda Infantil</x:v>
      </x:c>
      <x:c r="E1706" s="11" t="n">
        <x:v>20</x:v>
      </x:c>
      <x:c r="F1706" s="12" t="n">
        <x:v>148.46</x:v>
      </x:c>
      <x:c r="G1706" s="12" t="n">
        <x:v>2969.2</x:v>
      </x:c>
      <x:c r="H1706" s="13" t="n">
        <x:v>73</x:v>
      </x:c>
      <x:c r="I1706" s="13" t="n">
        <x:f>YEAR(B1706)</x:f>
        <x:v>2023</x:v>
      </x:c>
      <x:c r="J1706" s="13" t="n">
        <x:f>MONTH(B1706)</x:f>
        <x:v>7</x:v>
      </x:c>
      <x:c r="K1706" s="14" t="n">
        <x:f>ROUND(E1706*F1706-G1706,10)</x:f>
        <x:v>0</x:v>
      </x:c>
      <x:c r="L1706" s="2"/>
      <x:c r="M1706" s="2"/>
      <x:c r="N1706" s="2"/>
      <x:c r="O1706" s="2"/>
      <x:c r="P1706" s="2"/>
      <x:c r="Q1706" s="2"/>
      <x:c r="R1706" s="2"/>
    </x:row>
    <x:row r="1707" ht="22" customHeight="1">
      <x:c r="A1707" s="2" t="n">
        <x:v>101701</x:v>
      </x:c>
      <x:c r="B1707" s="10" t="n">
        <x:v>45157</x:v>
      </x:c>
      <x:c r="C1707" s="2" t="str">
        <x:v>México</x:v>
      </x:c>
      <x:c r="D1707" s="2" t="str">
        <x:v>Calçados</x:v>
      </x:c>
      <x:c r="E1707" s="11" t="n">
        <x:v>47</x:v>
      </x:c>
      <x:c r="F1707" s="12" t="n">
        <x:v>65.43</x:v>
      </x:c>
      <x:c r="G1707" s="12" t="n">
        <x:v>3075.21</x:v>
      </x:c>
      <x:c r="H1707" s="13" t="n">
        <x:v>293</x:v>
      </x:c>
      <x:c r="I1707" s="13" t="n">
        <x:f>YEAR(B1707)</x:f>
        <x:v>2023</x:v>
      </x:c>
      <x:c r="J1707" s="13" t="n">
        <x:f>MONTH(B1707)</x:f>
        <x:v>8</x:v>
      </x:c>
      <x:c r="K1707" s="14" t="n">
        <x:f>ROUND(E1707*F1707-G1707,10)</x:f>
        <x:v>0</x:v>
      </x:c>
      <x:c r="L1707" s="2"/>
      <x:c r="M1707" s="2"/>
      <x:c r="N1707" s="2"/>
      <x:c r="O1707" s="2"/>
      <x:c r="P1707" s="2"/>
      <x:c r="Q1707" s="2"/>
      <x:c r="R1707" s="2"/>
    </x:row>
    <x:row r="1708" ht="22" customHeight="1">
      <x:c r="A1708" s="2" t="n">
        <x:v>101702</x:v>
      </x:c>
      <x:c r="B1708" s="10" t="n">
        <x:v>45115</x:v>
      </x:c>
      <x:c r="C1708" s="2" t="str">
        <x:v>Chile</x:v>
      </x:c>
      <x:c r="D1708" s="2" t="str">
        <x:v>Moda Infantil</x:v>
      </x:c>
      <x:c r="E1708" s="11" t="n">
        <x:v>4</x:v>
      </x:c>
      <x:c r="F1708" s="12" t="n">
        <x:v>138.23</x:v>
      </x:c>
      <x:c r="G1708" s="12" t="n">
        <x:v>552.92</x:v>
      </x:c>
      <x:c r="H1708" s="13" t="n">
        <x:v>472</x:v>
      </x:c>
      <x:c r="I1708" s="13" t="n">
        <x:f>YEAR(B1708)</x:f>
        <x:v>2023</x:v>
      </x:c>
      <x:c r="J1708" s="13" t="n">
        <x:f>MONTH(B1708)</x:f>
        <x:v>7</x:v>
      </x:c>
      <x:c r="K1708" s="14" t="n">
        <x:f>ROUND(E1708*F1708-G1708,10)</x:f>
        <x:v>0</x:v>
      </x:c>
      <x:c r="L1708" s="2"/>
      <x:c r="M1708" s="2"/>
      <x:c r="N1708" s="2"/>
      <x:c r="O1708" s="2"/>
      <x:c r="P1708" s="2"/>
      <x:c r="Q1708" s="2"/>
      <x:c r="R1708" s="2"/>
    </x:row>
    <x:row r="1709" ht="22" customHeight="1">
      <x:c r="A1709" s="2" t="n">
        <x:v>101703</x:v>
      </x:c>
      <x:c r="B1709" s="10" t="n">
        <x:v>45036</x:v>
      </x:c>
      <x:c r="C1709" s="2" t="str">
        <x:v>Chile</x:v>
      </x:c>
      <x:c r="D1709" s="2" t="str">
        <x:v>Moda Feminina</x:v>
      </x:c>
      <x:c r="E1709" s="11" t="n">
        <x:v>21</x:v>
      </x:c>
      <x:c r="F1709" s="12" t="n">
        <x:v>55.68</x:v>
      </x:c>
      <x:c r="G1709" s="12" t="n">
        <x:v>1169.28</x:v>
      </x:c>
      <x:c r="H1709" s="13" t="n">
        <x:v>373</x:v>
      </x:c>
      <x:c r="I1709" s="13" t="n">
        <x:f>YEAR(B1709)</x:f>
        <x:v>2023</x:v>
      </x:c>
      <x:c r="J1709" s="13" t="n">
        <x:f>MONTH(B1709)</x:f>
        <x:v>4</x:v>
      </x:c>
      <x:c r="K1709" s="14" t="n">
        <x:f>ROUND(E1709*F1709-G1709,10)</x:f>
        <x:v>0</x:v>
      </x:c>
      <x:c r="L1709" s="2"/>
      <x:c r="M1709" s="2"/>
      <x:c r="N1709" s="2"/>
      <x:c r="O1709" s="2"/>
      <x:c r="P1709" s="2"/>
      <x:c r="Q1709" s="2"/>
      <x:c r="R1709" s="2"/>
    </x:row>
    <x:row r="1710" ht="22" customHeight="1">
      <x:c r="A1710" s="2" t="n">
        <x:v>101704</x:v>
      </x:c>
      <x:c r="B1710" s="10" t="n">
        <x:v>45345</x:v>
      </x:c>
      <x:c r="C1710" s="2" t="str">
        <x:v>Argentina</x:v>
      </x:c>
      <x:c r="D1710" s="2" t="str">
        <x:v>Calçados</x:v>
      </x:c>
      <x:c r="E1710" s="11" t="n">
        <x:v>3</x:v>
      </x:c>
      <x:c r="F1710" s="12" t="n">
        <x:v>45.92</x:v>
      </x:c>
      <x:c r="G1710" s="12" t="n">
        <x:v>137.76</x:v>
      </x:c>
      <x:c r="H1710" s="13" t="n">
        <x:v>177</x:v>
      </x:c>
      <x:c r="I1710" s="13" t="n">
        <x:f>YEAR(B1710)</x:f>
        <x:v>2024</x:v>
      </x:c>
      <x:c r="J1710" s="13" t="n">
        <x:f>MONTH(B1710)</x:f>
        <x:v>2</x:v>
      </x:c>
      <x:c r="K1710" s="14" t="n">
        <x:f>ROUND(E1710*F1710-G1710,10)</x:f>
        <x:v>0</x:v>
      </x:c>
      <x:c r="L1710" s="2"/>
      <x:c r="M1710" s="2"/>
      <x:c r="N1710" s="2"/>
      <x:c r="O1710" s="2"/>
      <x:c r="P1710" s="2"/>
      <x:c r="Q1710" s="2"/>
      <x:c r="R1710" s="2"/>
    </x:row>
    <x:row r="1711" ht="22" customHeight="1">
      <x:c r="A1711" s="2" t="n">
        <x:v>101705</x:v>
      </x:c>
      <x:c r="B1711" s="10" t="n">
        <x:v>44942</x:v>
      </x:c>
      <x:c r="C1711" s="2" t="str">
        <x:v>Colômbia</x:v>
      </x:c>
      <x:c r="D1711" s="2" t="str">
        <x:v>Moda Infantil</x:v>
      </x:c>
      <x:c r="E1711" s="11" t="n">
        <x:v>45</x:v>
      </x:c>
      <x:c r="F1711" s="12" t="n">
        <x:v>199.9</x:v>
      </x:c>
      <x:c r="G1711" s="12" t="n">
        <x:v>8995.5</x:v>
      </x:c>
      <x:c r="H1711" s="13" t="n">
        <x:v>142</x:v>
      </x:c>
      <x:c r="I1711" s="13" t="n">
        <x:f>YEAR(B1711)</x:f>
        <x:v>2023</x:v>
      </x:c>
      <x:c r="J1711" s="13" t="n">
        <x:f>MONTH(B1711)</x:f>
        <x:v>1</x:v>
      </x:c>
      <x:c r="K1711" s="14" t="n">
        <x:f>ROUND(E1711*F1711-G1711,10)</x:f>
        <x:v>0</x:v>
      </x:c>
      <x:c r="L1711" s="2"/>
      <x:c r="M1711" s="2"/>
      <x:c r="N1711" s="2"/>
      <x:c r="O1711" s="2"/>
      <x:c r="P1711" s="2"/>
      <x:c r="Q1711" s="2"/>
      <x:c r="R1711" s="2"/>
    </x:row>
    <x:row r="1712" ht="22" customHeight="1">
      <x:c r="A1712" s="2" t="n">
        <x:v>101706</x:v>
      </x:c>
      <x:c r="B1712" s="10" t="n">
        <x:v>45586</x:v>
      </x:c>
      <x:c r="C1712" s="2" t="str">
        <x:v>Peru</x:v>
      </x:c>
      <x:c r="D1712" s="2" t="str">
        <x:v>Acessórios</x:v>
      </x:c>
      <x:c r="E1712" s="11" t="n">
        <x:v>8</x:v>
      </x:c>
      <x:c r="F1712" s="12" t="n">
        <x:v>132.03</x:v>
      </x:c>
      <x:c r="G1712" s="12" t="n">
        <x:v>1056.24</x:v>
      </x:c>
      <x:c r="H1712" s="13" t="n">
        <x:v>349</x:v>
      </x:c>
      <x:c r="I1712" s="13" t="n">
        <x:f>YEAR(B1712)</x:f>
        <x:v>2024</x:v>
      </x:c>
      <x:c r="J1712" s="13" t="n">
        <x:f>MONTH(B1712)</x:f>
        <x:v>10</x:v>
      </x:c>
      <x:c r="K1712" s="14" t="n">
        <x:f>ROUND(E1712*F1712-G1712,10)</x:f>
        <x:v>0</x:v>
      </x:c>
      <x:c r="L1712" s="2"/>
      <x:c r="M1712" s="2"/>
      <x:c r="N1712" s="2"/>
      <x:c r="O1712" s="2"/>
      <x:c r="P1712" s="2"/>
      <x:c r="Q1712" s="2"/>
      <x:c r="R1712" s="2"/>
    </x:row>
    <x:row r="1713" ht="22" customHeight="1">
      <x:c r="A1713" s="2" t="n">
        <x:v>101707</x:v>
      </x:c>
      <x:c r="B1713" s="10" t="n">
        <x:v>44976</x:v>
      </x:c>
      <x:c r="C1713" s="2" t="str">
        <x:v>Chile</x:v>
      </x:c>
      <x:c r="D1713" s="2" t="str">
        <x:v>Calçados</x:v>
      </x:c>
      <x:c r="E1713" s="11" t="n">
        <x:v>23</x:v>
      </x:c>
      <x:c r="F1713" s="12" t="n">
        <x:v>97.58</x:v>
      </x:c>
      <x:c r="G1713" s="12" t="n">
        <x:v>2244.34</x:v>
      </x:c>
      <x:c r="H1713" s="13" t="n">
        <x:v>182</x:v>
      </x:c>
      <x:c r="I1713" s="13" t="n">
        <x:f>YEAR(B1713)</x:f>
        <x:v>2023</x:v>
      </x:c>
      <x:c r="J1713" s="13" t="n">
        <x:f>MONTH(B1713)</x:f>
        <x:v>2</x:v>
      </x:c>
      <x:c r="K1713" s="14" t="n">
        <x:f>ROUND(E1713*F1713-G1713,10)</x:f>
        <x:v>0</x:v>
      </x:c>
      <x:c r="L1713" s="2"/>
      <x:c r="M1713" s="2"/>
      <x:c r="N1713" s="2"/>
      <x:c r="O1713" s="2"/>
      <x:c r="P1713" s="2"/>
      <x:c r="Q1713" s="2"/>
      <x:c r="R1713" s="2"/>
    </x:row>
    <x:row r="1714" ht="22" customHeight="1">
      <x:c r="A1714" s="2" t="n">
        <x:v>101708</x:v>
      </x:c>
      <x:c r="B1714" s="10" t="n">
        <x:v>45647</x:v>
      </x:c>
      <x:c r="C1714" s="2" t="str">
        <x:v>México</x:v>
      </x:c>
      <x:c r="D1714" s="2" t="str">
        <x:v>Calçados</x:v>
      </x:c>
      <x:c r="E1714" s="11" t="n">
        <x:v>16</x:v>
      </x:c>
      <x:c r="F1714" s="12" t="n">
        <x:v>71.87</x:v>
      </x:c>
      <x:c r="G1714" s="12" t="n">
        <x:v>1149.92</x:v>
      </x:c>
      <x:c r="H1714" s="13" t="n">
        <x:v>104</x:v>
      </x:c>
      <x:c r="I1714" s="13" t="n">
        <x:f>YEAR(B1714)</x:f>
        <x:v>2024</x:v>
      </x:c>
      <x:c r="J1714" s="13" t="n">
        <x:f>MONTH(B1714)</x:f>
        <x:v>12</x:v>
      </x:c>
      <x:c r="K1714" s="14" t="n">
        <x:f>ROUND(E1714*F1714-G1714,10)</x:f>
        <x:v>0</x:v>
      </x:c>
      <x:c r="L1714" s="2"/>
      <x:c r="M1714" s="2"/>
      <x:c r="N1714" s="2"/>
      <x:c r="O1714" s="2"/>
      <x:c r="P1714" s="2"/>
      <x:c r="Q1714" s="2"/>
      <x:c r="R1714" s="2"/>
    </x:row>
    <x:row r="1715" ht="22" customHeight="1">
      <x:c r="A1715" s="2" t="n">
        <x:v>101709</x:v>
      </x:c>
      <x:c r="B1715" s="10" t="n">
        <x:v>44962</x:v>
      </x:c>
      <x:c r="C1715" s="2" t="str">
        <x:v>Argentina</x:v>
      </x:c>
      <x:c r="D1715" s="2" t="str">
        <x:v>Moda Masculina</x:v>
      </x:c>
      <x:c r="E1715" s="11" t="n">
        <x:v>13</x:v>
      </x:c>
      <x:c r="F1715" s="12" t="n">
        <x:v>128.71</x:v>
      </x:c>
      <x:c r="G1715" s="12" t="n">
        <x:v>1673.23</x:v>
      </x:c>
      <x:c r="H1715" s="13" t="n">
        <x:v>207</x:v>
      </x:c>
      <x:c r="I1715" s="13" t="n">
        <x:f>YEAR(B1715)</x:f>
        <x:v>2023</x:v>
      </x:c>
      <x:c r="J1715" s="13" t="n">
        <x:f>MONTH(B1715)</x:f>
        <x:v>2</x:v>
      </x:c>
      <x:c r="K1715" s="14" t="n">
        <x:f>ROUND(E1715*F1715-G1715,10)</x:f>
        <x:v>0</x:v>
      </x:c>
      <x:c r="L1715" s="2"/>
      <x:c r="M1715" s="2"/>
      <x:c r="N1715" s="2"/>
      <x:c r="O1715" s="2"/>
      <x:c r="P1715" s="2"/>
      <x:c r="Q1715" s="2"/>
      <x:c r="R1715" s="2"/>
    </x:row>
    <x:row r="1716" ht="22" customHeight="1">
      <x:c r="A1716" s="2" t="n">
        <x:v>101710</x:v>
      </x:c>
      <x:c r="B1716" s="10" t="n">
        <x:v>45148</x:v>
      </x:c>
      <x:c r="C1716" s="2" t="str">
        <x:v>Argentina</x:v>
      </x:c>
      <x:c r="D1716" s="2" t="str">
        <x:v>Acessórios</x:v>
      </x:c>
      <x:c r="E1716" s="11" t="n">
        <x:v>3</x:v>
      </x:c>
      <x:c r="F1716" s="12" t="n">
        <x:v>28.93</x:v>
      </x:c>
      <x:c r="G1716" s="12" t="n">
        <x:v>86.78999999999999</x:v>
      </x:c>
      <x:c r="H1716" s="13" t="n">
        <x:v>78</x:v>
      </x:c>
      <x:c r="I1716" s="13" t="n">
        <x:f>YEAR(B1716)</x:f>
        <x:v>2023</x:v>
      </x:c>
      <x:c r="J1716" s="13" t="n">
        <x:f>MONTH(B1716)</x:f>
        <x:v>8</x:v>
      </x:c>
      <x:c r="K1716" s="14" t="n">
        <x:f>ROUND(E1716*F1716-G1716,10)</x:f>
        <x:v>0</x:v>
      </x:c>
      <x:c r="L1716" s="2"/>
      <x:c r="M1716" s="2"/>
      <x:c r="N1716" s="2"/>
      <x:c r="O1716" s="2"/>
      <x:c r="P1716" s="2"/>
      <x:c r="Q1716" s="2"/>
      <x:c r="R1716" s="2"/>
    </x:row>
    <x:row r="1717" ht="22" customHeight="1">
      <x:c r="A1717" s="2" t="n">
        <x:v>101711</x:v>
      </x:c>
      <x:c r="B1717" s="10" t="n">
        <x:v>45478</x:v>
      </x:c>
      <x:c r="C1717" s="2" t="str">
        <x:v>Peru</x:v>
      </x:c>
      <x:c r="D1717" s="2" t="str">
        <x:v>Moda Feminina</x:v>
      </x:c>
      <x:c r="E1717" s="11" t="n">
        <x:v>48</x:v>
      </x:c>
      <x:c r="F1717" s="12" t="n">
        <x:v>37.04</x:v>
      </x:c>
      <x:c r="G1717" s="12" t="n">
        <x:v>1777.92</x:v>
      </x:c>
      <x:c r="H1717" s="13" t="n">
        <x:v>459</x:v>
      </x:c>
      <x:c r="I1717" s="13" t="n">
        <x:f>YEAR(B1717)</x:f>
        <x:v>2024</x:v>
      </x:c>
      <x:c r="J1717" s="13" t="n">
        <x:f>MONTH(B1717)</x:f>
        <x:v>7</x:v>
      </x:c>
      <x:c r="K1717" s="14" t="n">
        <x:f>ROUND(E1717*F1717-G1717,10)</x:f>
        <x:v>0</x:v>
      </x:c>
      <x:c r="L1717" s="2"/>
      <x:c r="M1717" s="2"/>
      <x:c r="N1717" s="2"/>
      <x:c r="O1717" s="2"/>
      <x:c r="P1717" s="2"/>
      <x:c r="Q1717" s="2"/>
      <x:c r="R1717" s="2"/>
    </x:row>
    <x:row r="1718" ht="22" customHeight="1">
      <x:c r="A1718" s="2" t="n">
        <x:v>101712</x:v>
      </x:c>
      <x:c r="B1718" s="10" t="n">
        <x:v>45323</x:v>
      </x:c>
      <x:c r="C1718" s="2" t="str">
        <x:v>México</x:v>
      </x:c>
      <x:c r="D1718" s="2" t="str">
        <x:v>Moda Infantil</x:v>
      </x:c>
      <x:c r="E1718" s="11" t="n">
        <x:v>9</x:v>
      </x:c>
      <x:c r="F1718" s="12" t="n">
        <x:v>25.91</x:v>
      </x:c>
      <x:c r="G1718" s="12" t="n">
        <x:v>233.19</x:v>
      </x:c>
      <x:c r="H1718" s="13" t="n">
        <x:v>260</x:v>
      </x:c>
      <x:c r="I1718" s="13" t="n">
        <x:f>YEAR(B1718)</x:f>
        <x:v>2024</x:v>
      </x:c>
      <x:c r="J1718" s="13" t="n">
        <x:f>MONTH(B1718)</x:f>
        <x:v>2</x:v>
      </x:c>
      <x:c r="K1718" s="14" t="n">
        <x:f>ROUND(E1718*F1718-G1718,10)</x:f>
        <x:v>0</x:v>
      </x:c>
      <x:c r="L1718" s="2"/>
      <x:c r="M1718" s="2"/>
      <x:c r="N1718" s="2"/>
      <x:c r="O1718" s="2"/>
      <x:c r="P1718" s="2"/>
      <x:c r="Q1718" s="2"/>
      <x:c r="R1718" s="2"/>
    </x:row>
    <x:row r="1719" ht="22" customHeight="1">
      <x:c r="A1719" s="2" t="n">
        <x:v>101713</x:v>
      </x:c>
      <x:c r="B1719" s="10" t="n">
        <x:v>45041</x:v>
      </x:c>
      <x:c r="C1719" s="2" t="str">
        <x:v>Colômbia</x:v>
      </x:c>
      <x:c r="D1719" s="2" t="str">
        <x:v>Moda Masculina</x:v>
      </x:c>
      <x:c r="E1719" s="11" t="n">
        <x:v>14</x:v>
      </x:c>
      <x:c r="F1719" s="12" t="n">
        <x:v>109.85</x:v>
      </x:c>
      <x:c r="G1719" s="12" t="n">
        <x:v>1537.9</x:v>
      </x:c>
      <x:c r="H1719" s="13" t="n">
        <x:v>203</x:v>
      </x:c>
      <x:c r="I1719" s="13" t="n">
        <x:f>YEAR(B1719)</x:f>
        <x:v>2023</x:v>
      </x:c>
      <x:c r="J1719" s="13" t="n">
        <x:f>MONTH(B1719)</x:f>
        <x:v>4</x:v>
      </x:c>
      <x:c r="K1719" s="14" t="n">
        <x:f>ROUND(E1719*F1719-G1719,10)</x:f>
        <x:v>0</x:v>
      </x:c>
      <x:c r="L1719" s="2"/>
      <x:c r="M1719" s="2"/>
      <x:c r="N1719" s="2"/>
      <x:c r="O1719" s="2"/>
      <x:c r="P1719" s="2"/>
      <x:c r="Q1719" s="2"/>
      <x:c r="R1719" s="2"/>
    </x:row>
    <x:row r="1720" ht="22" customHeight="1">
      <x:c r="A1720" s="2" t="n">
        <x:v>101714</x:v>
      </x:c>
      <x:c r="B1720" s="10" t="n">
        <x:v>45258</x:v>
      </x:c>
      <x:c r="C1720" s="2" t="str">
        <x:v>México</x:v>
      </x:c>
      <x:c r="D1720" s="2" t="str">
        <x:v>Moda Infantil</x:v>
      </x:c>
      <x:c r="E1720" s="11" t="n">
        <x:v>13</x:v>
      </x:c>
      <x:c r="F1720" s="12" t="n">
        <x:v>128.11</x:v>
      </x:c>
      <x:c r="G1720" s="12" t="n">
        <x:v>1665.43</x:v>
      </x:c>
      <x:c r="H1720" s="13" t="n">
        <x:v>342</x:v>
      </x:c>
      <x:c r="I1720" s="13" t="n">
        <x:f>YEAR(B1720)</x:f>
        <x:v>2023</x:v>
      </x:c>
      <x:c r="J1720" s="13" t="n">
        <x:f>MONTH(B1720)</x:f>
        <x:v>11</x:v>
      </x:c>
      <x:c r="K1720" s="14" t="n">
        <x:f>ROUND(E1720*F1720-G1720,10)</x:f>
        <x:v>0</x:v>
      </x:c>
      <x:c r="L1720" s="2"/>
      <x:c r="M1720" s="2"/>
      <x:c r="N1720" s="2"/>
      <x:c r="O1720" s="2"/>
      <x:c r="P1720" s="2"/>
      <x:c r="Q1720" s="2"/>
      <x:c r="R1720" s="2"/>
    </x:row>
    <x:row r="1721" ht="22" customHeight="1">
      <x:c r="A1721" s="2" t="n">
        <x:v>101715</x:v>
      </x:c>
      <x:c r="B1721" s="10" t="n">
        <x:v>45094</x:v>
      </x:c>
      <x:c r="C1721" s="2" t="str">
        <x:v>Colômbia</x:v>
      </x:c>
      <x:c r="D1721" s="2" t="str">
        <x:v>Moda Feminina</x:v>
      </x:c>
      <x:c r="E1721" s="11" t="n">
        <x:v>7</x:v>
      </x:c>
      <x:c r="F1721" s="12" t="n">
        <x:v>31.25</x:v>
      </x:c>
      <x:c r="G1721" s="12" t="n">
        <x:v>218.75</x:v>
      </x:c>
      <x:c r="H1721" s="13" t="n">
        <x:v>271</x:v>
      </x:c>
      <x:c r="I1721" s="13" t="n">
        <x:f>YEAR(B1721)</x:f>
        <x:v>2023</x:v>
      </x:c>
      <x:c r="J1721" s="13" t="n">
        <x:f>MONTH(B1721)</x:f>
        <x:v>6</x:v>
      </x:c>
      <x:c r="K1721" s="14" t="n">
        <x:f>ROUND(E1721*F1721-G1721,10)</x:f>
        <x:v>0</x:v>
      </x:c>
      <x:c r="L1721" s="2"/>
      <x:c r="M1721" s="2"/>
      <x:c r="N1721" s="2"/>
      <x:c r="O1721" s="2"/>
      <x:c r="P1721" s="2"/>
      <x:c r="Q1721" s="2"/>
      <x:c r="R1721" s="2"/>
    </x:row>
    <x:row r="1722" ht="22" customHeight="1">
      <x:c r="A1722" s="2" t="n">
        <x:v>101716</x:v>
      </x:c>
      <x:c r="B1722" s="10" t="n">
        <x:v>45477</x:v>
      </x:c>
      <x:c r="C1722" s="2" t="str">
        <x:v>México</x:v>
      </x:c>
      <x:c r="D1722" s="2" t="str">
        <x:v>Moda Feminina</x:v>
      </x:c>
      <x:c r="E1722" s="11" t="n">
        <x:v>15</x:v>
      </x:c>
      <x:c r="F1722" s="12" t="n">
        <x:v>149.82</x:v>
      </x:c>
      <x:c r="G1722" s="12" t="n">
        <x:v>2247.3</x:v>
      </x:c>
      <x:c r="H1722" s="13" t="n">
        <x:v>164</x:v>
      </x:c>
      <x:c r="I1722" s="13" t="n">
        <x:f>YEAR(B1722)</x:f>
        <x:v>2024</x:v>
      </x:c>
      <x:c r="J1722" s="13" t="n">
        <x:f>MONTH(B1722)</x:f>
        <x:v>7</x:v>
      </x:c>
      <x:c r="K1722" s="14" t="n">
        <x:f>ROUND(E1722*F1722-G1722,10)</x:f>
        <x:v>0</x:v>
      </x:c>
      <x:c r="L1722" s="2"/>
      <x:c r="M1722" s="2"/>
      <x:c r="N1722" s="2"/>
      <x:c r="O1722" s="2"/>
      <x:c r="P1722" s="2"/>
      <x:c r="Q1722" s="2"/>
      <x:c r="R1722" s="2"/>
    </x:row>
    <x:row r="1723" ht="22" customHeight="1">
      <x:c r="A1723" s="2" t="n">
        <x:v>101717</x:v>
      </x:c>
      <x:c r="B1723" s="10" t="n">
        <x:v>45002</x:v>
      </x:c>
      <x:c r="C1723" s="2" t="str">
        <x:v>México</x:v>
      </x:c>
      <x:c r="D1723" s="2" t="str">
        <x:v>Calçados</x:v>
      </x:c>
      <x:c r="E1723" s="11" t="n">
        <x:v>7</x:v>
      </x:c>
      <x:c r="F1723" s="12" t="n">
        <x:v>61.47</x:v>
      </x:c>
      <x:c r="G1723" s="12" t="n">
        <x:v>430.29</x:v>
      </x:c>
      <x:c r="H1723" s="13" t="n">
        <x:v>486</x:v>
      </x:c>
      <x:c r="I1723" s="13" t="n">
        <x:f>YEAR(B1723)</x:f>
        <x:v>2023</x:v>
      </x:c>
      <x:c r="J1723" s="13" t="n">
        <x:f>MONTH(B1723)</x:f>
        <x:v>3</x:v>
      </x:c>
      <x:c r="K1723" s="14" t="n">
        <x:f>ROUND(E1723*F1723-G1723,10)</x:f>
        <x:v>0</x:v>
      </x:c>
      <x:c r="L1723" s="2"/>
      <x:c r="M1723" s="2"/>
      <x:c r="N1723" s="2"/>
      <x:c r="O1723" s="2"/>
      <x:c r="P1723" s="2"/>
      <x:c r="Q1723" s="2"/>
      <x:c r="R1723" s="2"/>
    </x:row>
    <x:row r="1724" ht="22" customHeight="1">
      <x:c r="A1724" s="2" t="n">
        <x:v>101718</x:v>
      </x:c>
      <x:c r="B1724" s="10" t="n">
        <x:v>45158</x:v>
      </x:c>
      <x:c r="C1724" s="2" t="str">
        <x:v>Brasil</x:v>
      </x:c>
      <x:c r="D1724" s="2" t="str">
        <x:v>Moda Feminina</x:v>
      </x:c>
      <x:c r="E1724" s="11" t="n">
        <x:v>38</x:v>
      </x:c>
      <x:c r="F1724" s="12" t="n">
        <x:v>143.34</x:v>
      </x:c>
      <x:c r="G1724" s="12" t="n">
        <x:v>5446.92</x:v>
      </x:c>
      <x:c r="H1724" s="13" t="n">
        <x:v>207</x:v>
      </x:c>
      <x:c r="I1724" s="13" t="n">
        <x:f>YEAR(B1724)</x:f>
        <x:v>2023</x:v>
      </x:c>
      <x:c r="J1724" s="13" t="n">
        <x:f>MONTH(B1724)</x:f>
        <x:v>8</x:v>
      </x:c>
      <x:c r="K1724" s="14" t="n">
        <x:f>ROUND(E1724*F1724-G1724,10)</x:f>
        <x:v>0</x:v>
      </x:c>
      <x:c r="L1724" s="2"/>
      <x:c r="M1724" s="2"/>
      <x:c r="N1724" s="2"/>
      <x:c r="O1724" s="2"/>
      <x:c r="P1724" s="2"/>
      <x:c r="Q1724" s="2"/>
      <x:c r="R1724" s="2"/>
    </x:row>
    <x:row r="1725" ht="22" customHeight="1">
      <x:c r="A1725" s="2" t="n">
        <x:v>101719</x:v>
      </x:c>
      <x:c r="B1725" s="10" t="n">
        <x:v>45268</x:v>
      </x:c>
      <x:c r="C1725" s="2" t="str">
        <x:v>Argentina</x:v>
      </x:c>
      <x:c r="D1725" s="2" t="str">
        <x:v>Moda Infantil</x:v>
      </x:c>
      <x:c r="E1725" s="11" t="n">
        <x:v>34</x:v>
      </x:c>
      <x:c r="F1725" s="12" t="n">
        <x:v>196.74</x:v>
      </x:c>
      <x:c r="G1725" s="12" t="n">
        <x:v>6689.16</x:v>
      </x:c>
      <x:c r="H1725" s="13" t="n">
        <x:v>308</x:v>
      </x:c>
      <x:c r="I1725" s="13" t="n">
        <x:f>YEAR(B1725)</x:f>
        <x:v>2023</x:v>
      </x:c>
      <x:c r="J1725" s="13" t="n">
        <x:f>MONTH(B1725)</x:f>
        <x:v>12</x:v>
      </x:c>
      <x:c r="K1725" s="14" t="n">
        <x:f>ROUND(E1725*F1725-G1725,10)</x:f>
        <x:v>0</x:v>
      </x:c>
      <x:c r="L1725" s="2"/>
      <x:c r="M1725" s="2"/>
      <x:c r="N1725" s="2"/>
      <x:c r="O1725" s="2"/>
      <x:c r="P1725" s="2"/>
      <x:c r="Q1725" s="2"/>
      <x:c r="R1725" s="2"/>
    </x:row>
    <x:row r="1726" ht="22" customHeight="1">
      <x:c r="A1726" s="2" t="n">
        <x:v>101720</x:v>
      </x:c>
      <x:c r="B1726" s="10" t="n">
        <x:v>45270</x:v>
      </x:c>
      <x:c r="C1726" s="2" t="str">
        <x:v>México</x:v>
      </x:c>
      <x:c r="D1726" s="2" t="str">
        <x:v>Acessórios</x:v>
      </x:c>
      <x:c r="E1726" s="11" t="n">
        <x:v>41</x:v>
      </x:c>
      <x:c r="F1726" s="12" t="n">
        <x:v>144.4</x:v>
      </x:c>
      <x:c r="G1726" s="12" t="n">
        <x:v>5920.400000000001</x:v>
      </x:c>
      <x:c r="H1726" s="13" t="n">
        <x:v>300</x:v>
      </x:c>
      <x:c r="I1726" s="13" t="n">
        <x:f>YEAR(B1726)</x:f>
        <x:v>2023</x:v>
      </x:c>
      <x:c r="J1726" s="13" t="n">
        <x:f>MONTH(B1726)</x:f>
        <x:v>12</x:v>
      </x:c>
      <x:c r="K1726" s="14" t="n">
        <x:f>ROUND(E1726*F1726-G1726,10)</x:f>
        <x:v>0</x:v>
      </x:c>
      <x:c r="L1726" s="2"/>
      <x:c r="M1726" s="2"/>
      <x:c r="N1726" s="2"/>
      <x:c r="O1726" s="2"/>
      <x:c r="P1726" s="2"/>
      <x:c r="Q1726" s="2"/>
      <x:c r="R1726" s="2"/>
    </x:row>
    <x:row r="1727" ht="22" customHeight="1">
      <x:c r="A1727" s="2" t="n">
        <x:v>101721</x:v>
      </x:c>
      <x:c r="B1727" s="10" t="n">
        <x:v>45611</x:v>
      </x:c>
      <x:c r="C1727" s="2" t="str">
        <x:v>Peru</x:v>
      </x:c>
      <x:c r="D1727" s="2" t="str">
        <x:v>Acessórios</x:v>
      </x:c>
      <x:c r="E1727" s="11" t="n">
        <x:v>22</x:v>
      </x:c>
      <x:c r="F1727" s="12" t="n">
        <x:v>178.97</x:v>
      </x:c>
      <x:c r="G1727" s="12" t="n">
        <x:v>3937.34</x:v>
      </x:c>
      <x:c r="H1727" s="13" t="n">
        <x:v>171</x:v>
      </x:c>
      <x:c r="I1727" s="13" t="n">
        <x:f>YEAR(B1727)</x:f>
        <x:v>2024</x:v>
      </x:c>
      <x:c r="J1727" s="13" t="n">
        <x:f>MONTH(B1727)</x:f>
        <x:v>11</x:v>
      </x:c>
      <x:c r="K1727" s="14" t="n">
        <x:f>ROUND(E1727*F1727-G1727,10)</x:f>
        <x:v>0</x:v>
      </x:c>
      <x:c r="L1727" s="2"/>
      <x:c r="M1727" s="2"/>
      <x:c r="N1727" s="2"/>
      <x:c r="O1727" s="2"/>
      <x:c r="P1727" s="2"/>
      <x:c r="Q1727" s="2"/>
      <x:c r="R1727" s="2"/>
    </x:row>
    <x:row r="1728" ht="22" customHeight="1">
      <x:c r="A1728" s="2" t="n">
        <x:v>101722</x:v>
      </x:c>
      <x:c r="B1728" s="10" t="n">
        <x:v>45212</x:v>
      </x:c>
      <x:c r="C1728" s="2" t="str">
        <x:v>México</x:v>
      </x:c>
      <x:c r="D1728" s="2" t="str">
        <x:v>Calçados</x:v>
      </x:c>
      <x:c r="E1728" s="11" t="n">
        <x:v>24</x:v>
      </x:c>
      <x:c r="F1728" s="12" t="n">
        <x:v>190.68</x:v>
      </x:c>
      <x:c r="G1728" s="12" t="n">
        <x:v>4576.32</x:v>
      </x:c>
      <x:c r="H1728" s="13" t="n">
        <x:v>348</x:v>
      </x:c>
      <x:c r="I1728" s="13" t="n">
        <x:f>YEAR(B1728)</x:f>
        <x:v>2023</x:v>
      </x:c>
      <x:c r="J1728" s="13" t="n">
        <x:f>MONTH(B1728)</x:f>
        <x:v>10</x:v>
      </x:c>
      <x:c r="K1728" s="14" t="n">
        <x:f>ROUND(E1728*F1728-G1728,10)</x:f>
        <x:v>0</x:v>
      </x:c>
      <x:c r="L1728" s="2"/>
      <x:c r="M1728" s="2"/>
      <x:c r="N1728" s="2"/>
      <x:c r="O1728" s="2"/>
      <x:c r="P1728" s="2"/>
      <x:c r="Q1728" s="2"/>
      <x:c r="R1728" s="2"/>
    </x:row>
    <x:row r="1729" ht="22" customHeight="1">
      <x:c r="A1729" s="2" t="n">
        <x:v>101723</x:v>
      </x:c>
      <x:c r="B1729" s="10" t="n">
        <x:v>45592</x:v>
      </x:c>
      <x:c r="C1729" s="2" t="str">
        <x:v>Chile</x:v>
      </x:c>
      <x:c r="D1729" s="2" t="str">
        <x:v>Moda Infantil</x:v>
      </x:c>
      <x:c r="E1729" s="11" t="n">
        <x:v>49</x:v>
      </x:c>
      <x:c r="F1729" s="12" t="n">
        <x:v>107.62</x:v>
      </x:c>
      <x:c r="G1729" s="12" t="n">
        <x:v>5273.38</x:v>
      </x:c>
      <x:c r="H1729" s="13" t="n">
        <x:v>312</x:v>
      </x:c>
      <x:c r="I1729" s="13" t="n">
        <x:f>YEAR(B1729)</x:f>
        <x:v>2024</x:v>
      </x:c>
      <x:c r="J1729" s="13" t="n">
        <x:f>MONTH(B1729)</x:f>
        <x:v>10</x:v>
      </x:c>
      <x:c r="K1729" s="14" t="n">
        <x:f>ROUND(E1729*F1729-G1729,10)</x:f>
        <x:v>0</x:v>
      </x:c>
      <x:c r="L1729" s="2"/>
      <x:c r="M1729" s="2"/>
      <x:c r="N1729" s="2"/>
      <x:c r="O1729" s="2"/>
      <x:c r="P1729" s="2"/>
      <x:c r="Q1729" s="2"/>
      <x:c r="R1729" s="2"/>
    </x:row>
    <x:row r="1730" ht="22" customHeight="1">
      <x:c r="A1730" s="2" t="n">
        <x:v>101724</x:v>
      </x:c>
      <x:c r="B1730" s="10" t="n">
        <x:v>45318</x:v>
      </x:c>
      <x:c r="C1730" s="2" t="str">
        <x:v>Argentina</x:v>
      </x:c>
      <x:c r="D1730" s="2" t="str">
        <x:v>Moda Infantil</x:v>
      </x:c>
      <x:c r="E1730" s="11" t="n">
        <x:v>37</x:v>
      </x:c>
      <x:c r="F1730" s="12" t="n">
        <x:v>146.42</x:v>
      </x:c>
      <x:c r="G1730" s="12" t="n">
        <x:v>5417.54</x:v>
      </x:c>
      <x:c r="H1730" s="13" t="n">
        <x:v>430</x:v>
      </x:c>
      <x:c r="I1730" s="13" t="n">
        <x:f>YEAR(B1730)</x:f>
        <x:v>2024</x:v>
      </x:c>
      <x:c r="J1730" s="13" t="n">
        <x:f>MONTH(B1730)</x:f>
        <x:v>1</x:v>
      </x:c>
      <x:c r="K1730" s="14" t="n">
        <x:f>ROUND(E1730*F1730-G1730,10)</x:f>
        <x:v>0</x:v>
      </x:c>
      <x:c r="L1730" s="2"/>
      <x:c r="M1730" s="2"/>
      <x:c r="N1730" s="2"/>
      <x:c r="O1730" s="2"/>
      <x:c r="P1730" s="2"/>
      <x:c r="Q1730" s="2"/>
      <x:c r="R1730" s="2"/>
    </x:row>
    <x:row r="1731" ht="22" customHeight="1">
      <x:c r="A1731" s="2" t="n">
        <x:v>101725</x:v>
      </x:c>
      <x:c r="B1731" s="10" t="n">
        <x:v>45147</x:v>
      </x:c>
      <x:c r="C1731" s="2" t="str">
        <x:v>Chile</x:v>
      </x:c>
      <x:c r="D1731" s="2" t="str">
        <x:v>Moda Feminina</x:v>
      </x:c>
      <x:c r="E1731" s="11" t="n">
        <x:v>44</x:v>
      </x:c>
      <x:c r="F1731" s="12" t="n">
        <x:v>173.35</x:v>
      </x:c>
      <x:c r="G1731" s="12" t="n">
        <x:v>7627.4</x:v>
      </x:c>
      <x:c r="H1731" s="13" t="n">
        <x:v>98</x:v>
      </x:c>
      <x:c r="I1731" s="13" t="n">
        <x:f>YEAR(B1731)</x:f>
        <x:v>2023</x:v>
      </x:c>
      <x:c r="J1731" s="13" t="n">
        <x:f>MONTH(B1731)</x:f>
        <x:v>8</x:v>
      </x:c>
      <x:c r="K1731" s="14" t="n">
        <x:f>ROUND(E1731*F1731-G1731,10)</x:f>
        <x:v>0</x:v>
      </x:c>
      <x:c r="L1731" s="2"/>
      <x:c r="M1731" s="2"/>
      <x:c r="N1731" s="2"/>
      <x:c r="O1731" s="2"/>
      <x:c r="P1731" s="2"/>
      <x:c r="Q1731" s="2"/>
      <x:c r="R1731" s="2"/>
    </x:row>
    <x:row r="1732" ht="22" customHeight="1">
      <x:c r="A1732" s="2" t="n">
        <x:v>101726</x:v>
      </x:c>
      <x:c r="B1732" s="10" t="n">
        <x:v>45265</x:v>
      </x:c>
      <x:c r="C1732" s="2" t="str">
        <x:v>Argentina</x:v>
      </x:c>
      <x:c r="D1732" s="2" t="str">
        <x:v>Moda Infantil</x:v>
      </x:c>
      <x:c r="E1732" s="11" t="n">
        <x:v>1</x:v>
      </x:c>
      <x:c r="F1732" s="12" t="n">
        <x:v>84.19</x:v>
      </x:c>
      <x:c r="G1732" s="12" t="n">
        <x:v>84.19</x:v>
      </x:c>
      <x:c r="H1732" s="13" t="n">
        <x:v>426</x:v>
      </x:c>
      <x:c r="I1732" s="13" t="n">
        <x:f>YEAR(B1732)</x:f>
        <x:v>2023</x:v>
      </x:c>
      <x:c r="J1732" s="13" t="n">
        <x:f>MONTH(B1732)</x:f>
        <x:v>12</x:v>
      </x:c>
      <x:c r="K1732" s="14" t="n">
        <x:f>ROUND(E1732*F1732-G1732,10)</x:f>
        <x:v>0</x:v>
      </x:c>
      <x:c r="L1732" s="2"/>
      <x:c r="M1732" s="2"/>
      <x:c r="N1732" s="2"/>
      <x:c r="O1732" s="2"/>
      <x:c r="P1732" s="2"/>
      <x:c r="Q1732" s="2"/>
      <x:c r="R1732" s="2"/>
    </x:row>
    <x:row r="1733" ht="22" customHeight="1">
      <x:c r="A1733" s="2" t="n">
        <x:v>101727</x:v>
      </x:c>
      <x:c r="B1733" s="10" t="n">
        <x:v>45148</x:v>
      </x:c>
      <x:c r="C1733" s="2" t="str">
        <x:v>Chile</x:v>
      </x:c>
      <x:c r="D1733" s="2" t="str">
        <x:v>Moda Masculina</x:v>
      </x:c>
      <x:c r="E1733" s="11" t="n">
        <x:v>10</x:v>
      </x:c>
      <x:c r="F1733" s="12" t="n">
        <x:v>67.05</x:v>
      </x:c>
      <x:c r="G1733" s="12" t="n">
        <x:v>670.5</x:v>
      </x:c>
      <x:c r="H1733" s="13" t="n">
        <x:v>378</x:v>
      </x:c>
      <x:c r="I1733" s="13" t="n">
        <x:f>YEAR(B1733)</x:f>
        <x:v>2023</x:v>
      </x:c>
      <x:c r="J1733" s="13" t="n">
        <x:f>MONTH(B1733)</x:f>
        <x:v>8</x:v>
      </x:c>
      <x:c r="K1733" s="14" t="n">
        <x:f>ROUND(E1733*F1733-G1733,10)</x:f>
        <x:v>0</x:v>
      </x:c>
      <x:c r="L1733" s="2"/>
      <x:c r="M1733" s="2"/>
      <x:c r="N1733" s="2"/>
      <x:c r="O1733" s="2"/>
      <x:c r="P1733" s="2"/>
      <x:c r="Q1733" s="2"/>
      <x:c r="R1733" s="2"/>
    </x:row>
    <x:row r="1734" ht="22" customHeight="1">
      <x:c r="A1734" s="2" t="n">
        <x:v>101728</x:v>
      </x:c>
      <x:c r="B1734" s="10" t="n">
        <x:v>45446</x:v>
      </x:c>
      <x:c r="C1734" s="2" t="str">
        <x:v>México</x:v>
      </x:c>
      <x:c r="D1734" s="2" t="str">
        <x:v>Moda Feminina</x:v>
      </x:c>
      <x:c r="E1734" s="11" t="n">
        <x:v>43</x:v>
      </x:c>
      <x:c r="F1734" s="12" t="n">
        <x:v>190.39</x:v>
      </x:c>
      <x:c r="G1734" s="12" t="n">
        <x:v>8186.77</x:v>
      </x:c>
      <x:c r="H1734" s="13" t="n">
        <x:v>346</x:v>
      </x:c>
      <x:c r="I1734" s="13" t="n">
        <x:f>YEAR(B1734)</x:f>
        <x:v>2024</x:v>
      </x:c>
      <x:c r="J1734" s="13" t="n">
        <x:f>MONTH(B1734)</x:f>
        <x:v>6</x:v>
      </x:c>
      <x:c r="K1734" s="14" t="n">
        <x:f>ROUND(E1734*F1734-G1734,10)</x:f>
        <x:v>0</x:v>
      </x:c>
      <x:c r="L1734" s="2"/>
      <x:c r="M1734" s="2"/>
      <x:c r="N1734" s="2"/>
      <x:c r="O1734" s="2"/>
      <x:c r="P1734" s="2"/>
      <x:c r="Q1734" s="2"/>
      <x:c r="R1734" s="2"/>
    </x:row>
    <x:row r="1735" ht="22" customHeight="1">
      <x:c r="A1735" s="2" t="n">
        <x:v>101729</x:v>
      </x:c>
      <x:c r="B1735" s="10" t="n">
        <x:v>44966</x:v>
      </x:c>
      <x:c r="C1735" s="2" t="str">
        <x:v>México</x:v>
      </x:c>
      <x:c r="D1735" s="2" t="str">
        <x:v>Moda Masculina</x:v>
      </x:c>
      <x:c r="E1735" s="11" t="n">
        <x:v>16</x:v>
      </x:c>
      <x:c r="F1735" s="12" t="n">
        <x:v>150.73</x:v>
      </x:c>
      <x:c r="G1735" s="12" t="n">
        <x:v>2411.68</x:v>
      </x:c>
      <x:c r="H1735" s="13" t="n">
        <x:v>411</x:v>
      </x:c>
      <x:c r="I1735" s="13" t="n">
        <x:f>YEAR(B1735)</x:f>
        <x:v>2023</x:v>
      </x:c>
      <x:c r="J1735" s="13" t="n">
        <x:f>MONTH(B1735)</x:f>
        <x:v>2</x:v>
      </x:c>
      <x:c r="K1735" s="14" t="n">
        <x:f>ROUND(E1735*F1735-G1735,10)</x:f>
        <x:v>0</x:v>
      </x:c>
      <x:c r="L1735" s="2"/>
      <x:c r="M1735" s="2"/>
      <x:c r="N1735" s="2"/>
      <x:c r="O1735" s="2"/>
      <x:c r="P1735" s="2"/>
      <x:c r="Q1735" s="2"/>
      <x:c r="R1735" s="2"/>
    </x:row>
    <x:row r="1736" ht="22" customHeight="1">
      <x:c r="A1736" s="2" t="n">
        <x:v>101730</x:v>
      </x:c>
      <x:c r="B1736" s="10" t="n">
        <x:v>45360</x:v>
      </x:c>
      <x:c r="C1736" s="2" t="str">
        <x:v>Brasil</x:v>
      </x:c>
      <x:c r="D1736" s="2" t="str">
        <x:v>Calçados</x:v>
      </x:c>
      <x:c r="E1736" s="11" t="n">
        <x:v>46</x:v>
      </x:c>
      <x:c r="F1736" s="12" t="n">
        <x:v>59.54</x:v>
      </x:c>
      <x:c r="G1736" s="12" t="n">
        <x:v>2738.84</x:v>
      </x:c>
      <x:c r="H1736" s="13" t="n">
        <x:v>126</x:v>
      </x:c>
      <x:c r="I1736" s="13" t="n">
        <x:f>YEAR(B1736)</x:f>
        <x:v>2024</x:v>
      </x:c>
      <x:c r="J1736" s="13" t="n">
        <x:f>MONTH(B1736)</x:f>
        <x:v>3</x:v>
      </x:c>
      <x:c r="K1736" s="14" t="n">
        <x:f>ROUND(E1736*F1736-G1736,10)</x:f>
        <x:v>0</x:v>
      </x:c>
      <x:c r="L1736" s="2"/>
      <x:c r="M1736" s="2"/>
      <x:c r="N1736" s="2"/>
      <x:c r="O1736" s="2"/>
      <x:c r="P1736" s="2"/>
      <x:c r="Q1736" s="2"/>
      <x:c r="R1736" s="2"/>
    </x:row>
    <x:row r="1737" ht="22" customHeight="1">
      <x:c r="A1737" s="2" t="n">
        <x:v>101731</x:v>
      </x:c>
      <x:c r="B1737" s="10" t="n">
        <x:v>45556</x:v>
      </x:c>
      <x:c r="C1737" s="2" t="str">
        <x:v>Peru</x:v>
      </x:c>
      <x:c r="D1737" s="2" t="str">
        <x:v>Acessórios</x:v>
      </x:c>
      <x:c r="E1737" s="11" t="n">
        <x:v>8</x:v>
      </x:c>
      <x:c r="F1737" s="12" t="n">
        <x:v>100.84</x:v>
      </x:c>
      <x:c r="G1737" s="12" t="n">
        <x:v>806.72</x:v>
      </x:c>
      <x:c r="H1737" s="13" t="n">
        <x:v>487</x:v>
      </x:c>
      <x:c r="I1737" s="13" t="n">
        <x:f>YEAR(B1737)</x:f>
        <x:v>2024</x:v>
      </x:c>
      <x:c r="J1737" s="13" t="n">
        <x:f>MONTH(B1737)</x:f>
        <x:v>9</x:v>
      </x:c>
      <x:c r="K1737" s="14" t="n">
        <x:f>ROUND(E1737*F1737-G1737,10)</x:f>
        <x:v>0</x:v>
      </x:c>
      <x:c r="L1737" s="2"/>
      <x:c r="M1737" s="2"/>
      <x:c r="N1737" s="2"/>
      <x:c r="O1737" s="2"/>
      <x:c r="P1737" s="2"/>
      <x:c r="Q1737" s="2"/>
      <x:c r="R1737" s="2"/>
    </x:row>
    <x:row r="1738" ht="22" customHeight="1">
      <x:c r="A1738" s="2" t="n">
        <x:v>101732</x:v>
      </x:c>
      <x:c r="B1738" s="10" t="n">
        <x:v>45631</x:v>
      </x:c>
      <x:c r="C1738" s="2" t="str">
        <x:v>Chile</x:v>
      </x:c>
      <x:c r="D1738" s="2" t="str">
        <x:v>Calçados</x:v>
      </x:c>
      <x:c r="E1738" s="11" t="n">
        <x:v>49</x:v>
      </x:c>
      <x:c r="F1738" s="12" t="n">
        <x:v>163.36</x:v>
      </x:c>
      <x:c r="G1738" s="12" t="n">
        <x:v>8004.64</x:v>
      </x:c>
      <x:c r="H1738" s="13" t="n">
        <x:v>176</x:v>
      </x:c>
      <x:c r="I1738" s="13" t="n">
        <x:f>YEAR(B1738)</x:f>
        <x:v>2024</x:v>
      </x:c>
      <x:c r="J1738" s="13" t="n">
        <x:f>MONTH(B1738)</x:f>
        <x:v>12</x:v>
      </x:c>
      <x:c r="K1738" s="14" t="n">
        <x:f>ROUND(E1738*F1738-G1738,10)</x:f>
        <x:v>0</x:v>
      </x:c>
      <x:c r="L1738" s="2"/>
      <x:c r="M1738" s="2"/>
      <x:c r="N1738" s="2"/>
      <x:c r="O1738" s="2"/>
      <x:c r="P1738" s="2"/>
      <x:c r="Q1738" s="2"/>
      <x:c r="R1738" s="2"/>
    </x:row>
    <x:row r="1739" ht="22" customHeight="1">
      <x:c r="A1739" s="2" t="n">
        <x:v>101733</x:v>
      </x:c>
      <x:c r="B1739" s="10" t="n">
        <x:v>45399</x:v>
      </x:c>
      <x:c r="C1739" s="2" t="str">
        <x:v>Colômbia</x:v>
      </x:c>
      <x:c r="D1739" s="2" t="str">
        <x:v>Acessórios</x:v>
      </x:c>
      <x:c r="E1739" s="11" t="n">
        <x:v>25</x:v>
      </x:c>
      <x:c r="F1739" s="12" t="n">
        <x:v>118.47</x:v>
      </x:c>
      <x:c r="G1739" s="12" t="n">
        <x:v>2961.75</x:v>
      </x:c>
      <x:c r="H1739" s="13" t="n">
        <x:v>246</x:v>
      </x:c>
      <x:c r="I1739" s="13" t="n">
        <x:f>YEAR(B1739)</x:f>
        <x:v>2024</x:v>
      </x:c>
      <x:c r="J1739" s="13" t="n">
        <x:f>MONTH(B1739)</x:f>
        <x:v>4</x:v>
      </x:c>
      <x:c r="K1739" s="14" t="n">
        <x:f>ROUND(E1739*F1739-G1739,10)</x:f>
        <x:v>0</x:v>
      </x:c>
      <x:c r="L1739" s="2"/>
      <x:c r="M1739" s="2"/>
      <x:c r="N1739" s="2"/>
      <x:c r="O1739" s="2"/>
      <x:c r="P1739" s="2"/>
      <x:c r="Q1739" s="2"/>
      <x:c r="R1739" s="2"/>
    </x:row>
    <x:row r="1740" ht="22" customHeight="1">
      <x:c r="A1740" s="2" t="n">
        <x:v>101734</x:v>
      </x:c>
      <x:c r="B1740" s="10" t="n">
        <x:v>45417</x:v>
      </x:c>
      <x:c r="C1740" s="2" t="str">
        <x:v>Brasil</x:v>
      </x:c>
      <x:c r="D1740" s="2" t="str">
        <x:v>Calçados</x:v>
      </x:c>
      <x:c r="E1740" s="11" t="n">
        <x:v>12</x:v>
      </x:c>
      <x:c r="F1740" s="12" t="n">
        <x:v>136.99</x:v>
      </x:c>
      <x:c r="G1740" s="12" t="n">
        <x:v>1643.88</x:v>
      </x:c>
      <x:c r="H1740" s="13" t="n">
        <x:v>270</x:v>
      </x:c>
      <x:c r="I1740" s="13" t="n">
        <x:f>YEAR(B1740)</x:f>
        <x:v>2024</x:v>
      </x:c>
      <x:c r="J1740" s="13" t="n">
        <x:f>MONTH(B1740)</x:f>
        <x:v>5</x:v>
      </x:c>
      <x:c r="K1740" s="14" t="n">
        <x:f>ROUND(E1740*F1740-G1740,10)</x:f>
        <x:v>0</x:v>
      </x:c>
      <x:c r="L1740" s="2"/>
      <x:c r="M1740" s="2"/>
      <x:c r="N1740" s="2"/>
      <x:c r="O1740" s="2"/>
      <x:c r="P1740" s="2"/>
      <x:c r="Q1740" s="2"/>
      <x:c r="R1740" s="2"/>
    </x:row>
    <x:row r="1741" ht="22" customHeight="1">
      <x:c r="A1741" s="2" t="n">
        <x:v>101735</x:v>
      </x:c>
      <x:c r="B1741" s="10" t="n">
        <x:v>45108</x:v>
      </x:c>
      <x:c r="C1741" s="2" t="str">
        <x:v>Chile</x:v>
      </x:c>
      <x:c r="D1741" s="2" t="str">
        <x:v>Moda Infantil</x:v>
      </x:c>
      <x:c r="E1741" s="11" t="n">
        <x:v>25</x:v>
      </x:c>
      <x:c r="F1741" s="12" t="n">
        <x:v>155.68</x:v>
      </x:c>
      <x:c r="G1741" s="12" t="n">
        <x:v>3892</x:v>
      </x:c>
      <x:c r="H1741" s="13" t="n">
        <x:v>140</x:v>
      </x:c>
      <x:c r="I1741" s="13" t="n">
        <x:f>YEAR(B1741)</x:f>
        <x:v>2023</x:v>
      </x:c>
      <x:c r="J1741" s="13" t="n">
        <x:f>MONTH(B1741)</x:f>
        <x:v>7</x:v>
      </x:c>
      <x:c r="K1741" s="14" t="n">
        <x:f>ROUND(E1741*F1741-G1741,10)</x:f>
        <x:v>0</x:v>
      </x:c>
      <x:c r="L1741" s="2"/>
      <x:c r="M1741" s="2"/>
      <x:c r="N1741" s="2"/>
      <x:c r="O1741" s="2"/>
      <x:c r="P1741" s="2"/>
      <x:c r="Q1741" s="2"/>
      <x:c r="R1741" s="2"/>
    </x:row>
    <x:row r="1742" ht="22" customHeight="1">
      <x:c r="A1742" s="2" t="n">
        <x:v>101736</x:v>
      </x:c>
      <x:c r="B1742" s="10" t="n">
        <x:v>45326</x:v>
      </x:c>
      <x:c r="C1742" s="2" t="str">
        <x:v>Chile</x:v>
      </x:c>
      <x:c r="D1742" s="2" t="str">
        <x:v>Moda Masculina</x:v>
      </x:c>
      <x:c r="E1742" s="11" t="n">
        <x:v>17</x:v>
      </x:c>
      <x:c r="F1742" s="12" t="n">
        <x:v>131.96</x:v>
      </x:c>
      <x:c r="G1742" s="12" t="n">
        <x:v>2243.32</x:v>
      </x:c>
      <x:c r="H1742" s="13" t="n">
        <x:v>460</x:v>
      </x:c>
      <x:c r="I1742" s="13" t="n">
        <x:f>YEAR(B1742)</x:f>
        <x:v>2024</x:v>
      </x:c>
      <x:c r="J1742" s="13" t="n">
        <x:f>MONTH(B1742)</x:f>
        <x:v>2</x:v>
      </x:c>
      <x:c r="K1742" s="14" t="n">
        <x:f>ROUND(E1742*F1742-G1742,10)</x:f>
        <x:v>0</x:v>
      </x:c>
      <x:c r="L1742" s="2"/>
      <x:c r="M1742" s="2"/>
      <x:c r="N1742" s="2"/>
      <x:c r="O1742" s="2"/>
      <x:c r="P1742" s="2"/>
      <x:c r="Q1742" s="2"/>
      <x:c r="R1742" s="2"/>
    </x:row>
    <x:row r="1743" ht="22" customHeight="1">
      <x:c r="A1743" s="2" t="n">
        <x:v>101737</x:v>
      </x:c>
      <x:c r="B1743" s="10" t="n">
        <x:v>45498</x:v>
      </x:c>
      <x:c r="C1743" s="2" t="str">
        <x:v>Brasil</x:v>
      </x:c>
      <x:c r="D1743" s="2" t="str">
        <x:v>Acessórios</x:v>
      </x:c>
      <x:c r="E1743" s="11" t="n">
        <x:v>26</x:v>
      </x:c>
      <x:c r="F1743" s="12" t="n">
        <x:v>117.21</x:v>
      </x:c>
      <x:c r="G1743" s="12" t="n">
        <x:v>3047.46</x:v>
      </x:c>
      <x:c r="H1743" s="13" t="n">
        <x:v>57</x:v>
      </x:c>
      <x:c r="I1743" s="13" t="n">
        <x:f>YEAR(B1743)</x:f>
        <x:v>2024</x:v>
      </x:c>
      <x:c r="J1743" s="13" t="n">
        <x:f>MONTH(B1743)</x:f>
        <x:v>7</x:v>
      </x:c>
      <x:c r="K1743" s="14" t="n">
        <x:f>ROUND(E1743*F1743-G1743,10)</x:f>
        <x:v>0</x:v>
      </x:c>
      <x:c r="L1743" s="2"/>
      <x:c r="M1743" s="2"/>
      <x:c r="N1743" s="2"/>
      <x:c r="O1743" s="2"/>
      <x:c r="P1743" s="2"/>
      <x:c r="Q1743" s="2"/>
      <x:c r="R1743" s="2"/>
    </x:row>
    <x:row r="1744" ht="22" customHeight="1">
      <x:c r="A1744" s="2" t="n">
        <x:v>101738</x:v>
      </x:c>
      <x:c r="B1744" s="10" t="n">
        <x:v>45627</x:v>
      </x:c>
      <x:c r="C1744" s="2" t="str">
        <x:v>México</x:v>
      </x:c>
      <x:c r="D1744" s="2" t="str">
        <x:v>Moda Feminina</x:v>
      </x:c>
      <x:c r="E1744" s="11" t="n">
        <x:v>46</x:v>
      </x:c>
      <x:c r="F1744" s="12" t="n">
        <x:v>154.93</x:v>
      </x:c>
      <x:c r="G1744" s="12" t="n">
        <x:v>7126.780000000001</x:v>
      </x:c>
      <x:c r="H1744" s="13" t="n">
        <x:v>81</x:v>
      </x:c>
      <x:c r="I1744" s="13" t="n">
        <x:f>YEAR(B1744)</x:f>
        <x:v>2024</x:v>
      </x:c>
      <x:c r="J1744" s="13" t="n">
        <x:f>MONTH(B1744)</x:f>
        <x:v>12</x:v>
      </x:c>
      <x:c r="K1744" s="14" t="n">
        <x:f>ROUND(E1744*F1744-G1744,10)</x:f>
        <x:v>0</x:v>
      </x:c>
      <x:c r="L1744" s="2"/>
      <x:c r="M1744" s="2"/>
      <x:c r="N1744" s="2"/>
      <x:c r="O1744" s="2"/>
      <x:c r="P1744" s="2"/>
      <x:c r="Q1744" s="2"/>
      <x:c r="R1744" s="2"/>
    </x:row>
    <x:row r="1745" ht="22" customHeight="1">
      <x:c r="A1745" s="2" t="n">
        <x:v>101739</x:v>
      </x:c>
      <x:c r="B1745" s="10" t="n">
        <x:v>45458</x:v>
      </x:c>
      <x:c r="C1745" s="2" t="str">
        <x:v>Chile</x:v>
      </x:c>
      <x:c r="D1745" s="2" t="str">
        <x:v>Moda Masculina</x:v>
      </x:c>
      <x:c r="E1745" s="11" t="n">
        <x:v>48</x:v>
      </x:c>
      <x:c r="F1745" s="12" t="n">
        <x:v>150.96</x:v>
      </x:c>
      <x:c r="G1745" s="12" t="n">
        <x:v>7246.08</x:v>
      </x:c>
      <x:c r="H1745" s="13" t="n">
        <x:v>369</x:v>
      </x:c>
      <x:c r="I1745" s="13" t="n">
        <x:f>YEAR(B1745)</x:f>
        <x:v>2024</x:v>
      </x:c>
      <x:c r="J1745" s="13" t="n">
        <x:f>MONTH(B1745)</x:f>
        <x:v>6</x:v>
      </x:c>
      <x:c r="K1745" s="14" t="n">
        <x:f>ROUND(E1745*F1745-G1745,10)</x:f>
        <x:v>0</x:v>
      </x:c>
      <x:c r="L1745" s="2"/>
      <x:c r="M1745" s="2"/>
      <x:c r="N1745" s="2"/>
      <x:c r="O1745" s="2"/>
      <x:c r="P1745" s="2"/>
      <x:c r="Q1745" s="2"/>
      <x:c r="R1745" s="2"/>
    </x:row>
    <x:row r="1746" ht="22" customHeight="1">
      <x:c r="A1746" s="2" t="n">
        <x:v>101740</x:v>
      </x:c>
      <x:c r="B1746" s="10" t="n">
        <x:v>45187</x:v>
      </x:c>
      <x:c r="C1746" s="2" t="str">
        <x:v>México</x:v>
      </x:c>
      <x:c r="D1746" s="2" t="str">
        <x:v>Moda Feminina</x:v>
      </x:c>
      <x:c r="E1746" s="11" t="n">
        <x:v>14</x:v>
      </x:c>
      <x:c r="F1746" s="12" t="n">
        <x:v>133.38</x:v>
      </x:c>
      <x:c r="G1746" s="12" t="n">
        <x:v>1867.32</x:v>
      </x:c>
      <x:c r="H1746" s="13" t="n">
        <x:v>443</x:v>
      </x:c>
      <x:c r="I1746" s="13" t="n">
        <x:f>YEAR(B1746)</x:f>
        <x:v>2023</x:v>
      </x:c>
      <x:c r="J1746" s="13" t="n">
        <x:f>MONTH(B1746)</x:f>
        <x:v>9</x:v>
      </x:c>
      <x:c r="K1746" s="14" t="n">
        <x:f>ROUND(E1746*F1746-G1746,10)</x:f>
        <x:v>0</x:v>
      </x:c>
      <x:c r="L1746" s="2"/>
      <x:c r="M1746" s="2"/>
      <x:c r="N1746" s="2"/>
      <x:c r="O1746" s="2"/>
      <x:c r="P1746" s="2"/>
      <x:c r="Q1746" s="2"/>
      <x:c r="R1746" s="2"/>
    </x:row>
    <x:row r="1747" ht="22" customHeight="1">
      <x:c r="A1747" s="2" t="n">
        <x:v>101741</x:v>
      </x:c>
      <x:c r="B1747" s="10" t="n">
        <x:v>45035</x:v>
      </x:c>
      <x:c r="C1747" s="2" t="str">
        <x:v>Brasil</x:v>
      </x:c>
      <x:c r="D1747" s="2" t="str">
        <x:v>Moda Masculina</x:v>
      </x:c>
      <x:c r="E1747" s="11" t="n">
        <x:v>41</x:v>
      </x:c>
      <x:c r="F1747" s="12" t="n">
        <x:v>84.76</x:v>
      </x:c>
      <x:c r="G1747" s="12" t="n">
        <x:v>3475.16</x:v>
      </x:c>
      <x:c r="H1747" s="13" t="n">
        <x:v>318</x:v>
      </x:c>
      <x:c r="I1747" s="13" t="n">
        <x:f>YEAR(B1747)</x:f>
        <x:v>2023</x:v>
      </x:c>
      <x:c r="J1747" s="13" t="n">
        <x:f>MONTH(B1747)</x:f>
        <x:v>4</x:v>
      </x:c>
      <x:c r="K1747" s="14" t="n">
        <x:f>ROUND(E1747*F1747-G1747,10)</x:f>
        <x:v>0</x:v>
      </x:c>
      <x:c r="L1747" s="2"/>
      <x:c r="M1747" s="2"/>
      <x:c r="N1747" s="2"/>
      <x:c r="O1747" s="2"/>
      <x:c r="P1747" s="2"/>
      <x:c r="Q1747" s="2"/>
      <x:c r="R1747" s="2"/>
    </x:row>
    <x:row r="1748" ht="22" customHeight="1">
      <x:c r="A1748" s="2" t="n">
        <x:v>101742</x:v>
      </x:c>
      <x:c r="B1748" s="10" t="n">
        <x:v>44995</x:v>
      </x:c>
      <x:c r="C1748" s="2" t="str">
        <x:v>México</x:v>
      </x:c>
      <x:c r="D1748" s="2" t="str">
        <x:v>Moda Masculina</x:v>
      </x:c>
      <x:c r="E1748" s="11" t="n">
        <x:v>36</x:v>
      </x:c>
      <x:c r="F1748" s="12" t="n">
        <x:v>93.05</x:v>
      </x:c>
      <x:c r="G1748" s="12" t="n">
        <x:v>3349.8</x:v>
      </x:c>
      <x:c r="H1748" s="13" t="n">
        <x:v>240</x:v>
      </x:c>
      <x:c r="I1748" s="13" t="n">
        <x:f>YEAR(B1748)</x:f>
        <x:v>2023</x:v>
      </x:c>
      <x:c r="J1748" s="13" t="n">
        <x:f>MONTH(B1748)</x:f>
        <x:v>3</x:v>
      </x:c>
      <x:c r="K1748" s="14" t="n">
        <x:f>ROUND(E1748*F1748-G1748,10)</x:f>
        <x:v>0</x:v>
      </x:c>
      <x:c r="L1748" s="2"/>
      <x:c r="M1748" s="2"/>
      <x:c r="N1748" s="2"/>
      <x:c r="O1748" s="2"/>
      <x:c r="P1748" s="2"/>
      <x:c r="Q1748" s="2"/>
      <x:c r="R1748" s="2"/>
    </x:row>
    <x:row r="1749" ht="22" customHeight="1">
      <x:c r="A1749" s="2" t="n">
        <x:v>101743</x:v>
      </x:c>
      <x:c r="B1749" s="10" t="n">
        <x:v>45349</x:v>
      </x:c>
      <x:c r="C1749" s="2" t="str">
        <x:v>Argentina</x:v>
      </x:c>
      <x:c r="D1749" s="2" t="str">
        <x:v>Calçados</x:v>
      </x:c>
      <x:c r="E1749" s="11" t="n">
        <x:v>23</x:v>
      </x:c>
      <x:c r="F1749" s="12" t="n">
        <x:v>194.68</x:v>
      </x:c>
      <x:c r="G1749" s="12" t="n">
        <x:v>4477.64</x:v>
      </x:c>
      <x:c r="H1749" s="13" t="n">
        <x:v>398</x:v>
      </x:c>
      <x:c r="I1749" s="13" t="n">
        <x:f>YEAR(B1749)</x:f>
        <x:v>2024</x:v>
      </x:c>
      <x:c r="J1749" s="13" t="n">
        <x:f>MONTH(B1749)</x:f>
        <x:v>2</x:v>
      </x:c>
      <x:c r="K1749" s="14" t="n">
        <x:f>ROUND(E1749*F1749-G1749,10)</x:f>
        <x:v>0</x:v>
      </x:c>
      <x:c r="L1749" s="2"/>
      <x:c r="M1749" s="2"/>
      <x:c r="N1749" s="2"/>
      <x:c r="O1749" s="2"/>
      <x:c r="P1749" s="2"/>
      <x:c r="Q1749" s="2"/>
      <x:c r="R1749" s="2"/>
    </x:row>
    <x:row r="1750" ht="22" customHeight="1">
      <x:c r="A1750" s="2" t="n">
        <x:v>101744</x:v>
      </x:c>
      <x:c r="B1750" s="10" t="n">
        <x:v>45571</x:v>
      </x:c>
      <x:c r="C1750" s="2" t="str">
        <x:v>Colômbia</x:v>
      </x:c>
      <x:c r="D1750" s="2" t="str">
        <x:v>Acessórios</x:v>
      </x:c>
      <x:c r="E1750" s="11" t="n">
        <x:v>43</x:v>
      </x:c>
      <x:c r="F1750" s="12" t="n">
        <x:v>40.23</x:v>
      </x:c>
      <x:c r="G1750" s="12" t="n">
        <x:v>1729.89</x:v>
      </x:c>
      <x:c r="H1750" s="13" t="n">
        <x:v>212</x:v>
      </x:c>
      <x:c r="I1750" s="13" t="n">
        <x:f>YEAR(B1750)</x:f>
        <x:v>2024</x:v>
      </x:c>
      <x:c r="J1750" s="13" t="n">
        <x:f>MONTH(B1750)</x:f>
        <x:v>10</x:v>
      </x:c>
      <x:c r="K1750" s="14" t="n">
        <x:f>ROUND(E1750*F1750-G1750,10)</x:f>
        <x:v>0</x:v>
      </x:c>
      <x:c r="L1750" s="2"/>
      <x:c r="M1750" s="2"/>
      <x:c r="N1750" s="2"/>
      <x:c r="O1750" s="2"/>
      <x:c r="P1750" s="2"/>
      <x:c r="Q1750" s="2"/>
      <x:c r="R1750" s="2"/>
    </x:row>
    <x:row r="1751" ht="22" customHeight="1">
      <x:c r="A1751" s="2" t="n">
        <x:v>101745</x:v>
      </x:c>
      <x:c r="B1751" s="10" t="n">
        <x:v>45166</x:v>
      </x:c>
      <x:c r="C1751" s="2" t="str">
        <x:v>Chile</x:v>
      </x:c>
      <x:c r="D1751" s="2" t="str">
        <x:v>Acessórios</x:v>
      </x:c>
      <x:c r="E1751" s="11" t="n">
        <x:v>6</x:v>
      </x:c>
      <x:c r="F1751" s="12" t="n">
        <x:v>68.33</x:v>
      </x:c>
      <x:c r="G1751" s="12" t="n">
        <x:v>409.98</x:v>
      </x:c>
      <x:c r="H1751" s="13" t="n">
        <x:v>110</x:v>
      </x:c>
      <x:c r="I1751" s="13" t="n">
        <x:f>YEAR(B1751)</x:f>
        <x:v>2023</x:v>
      </x:c>
      <x:c r="J1751" s="13" t="n">
        <x:f>MONTH(B1751)</x:f>
        <x:v>8</x:v>
      </x:c>
      <x:c r="K1751" s="14" t="n">
        <x:f>ROUND(E1751*F1751-G1751,10)</x:f>
        <x:v>0</x:v>
      </x:c>
      <x:c r="L1751" s="2"/>
      <x:c r="M1751" s="2"/>
      <x:c r="N1751" s="2"/>
      <x:c r="O1751" s="2"/>
      <x:c r="P1751" s="2"/>
      <x:c r="Q1751" s="2"/>
      <x:c r="R1751" s="2"/>
    </x:row>
    <x:row r="1752" ht="22" customHeight="1">
      <x:c r="A1752" s="2" t="n">
        <x:v>101746</x:v>
      </x:c>
      <x:c r="B1752" s="10" t="n">
        <x:v>45081</x:v>
      </x:c>
      <x:c r="C1752" s="2" t="str">
        <x:v>Peru</x:v>
      </x:c>
      <x:c r="D1752" s="2" t="str">
        <x:v>Moda Masculina</x:v>
      </x:c>
      <x:c r="E1752" s="11" t="n">
        <x:v>47</x:v>
      </x:c>
      <x:c r="F1752" s="12" t="n">
        <x:v>108.63</x:v>
      </x:c>
      <x:c r="G1752" s="12" t="n">
        <x:v>5105.61</x:v>
      </x:c>
      <x:c r="H1752" s="13" t="n">
        <x:v>487</x:v>
      </x:c>
      <x:c r="I1752" s="13" t="n">
        <x:f>YEAR(B1752)</x:f>
        <x:v>2023</x:v>
      </x:c>
      <x:c r="J1752" s="13" t="n">
        <x:f>MONTH(B1752)</x:f>
        <x:v>6</x:v>
      </x:c>
      <x:c r="K1752" s="14" t="n">
        <x:f>ROUND(E1752*F1752-G1752,10)</x:f>
        <x:v>0</x:v>
      </x:c>
      <x:c r="L1752" s="2"/>
      <x:c r="M1752" s="2"/>
      <x:c r="N1752" s="2"/>
      <x:c r="O1752" s="2"/>
      <x:c r="P1752" s="2"/>
      <x:c r="Q1752" s="2"/>
      <x:c r="R1752" s="2"/>
    </x:row>
    <x:row r="1753" ht="22" customHeight="1">
      <x:c r="A1753" s="2" t="n">
        <x:v>101747</x:v>
      </x:c>
      <x:c r="B1753" s="10" t="n">
        <x:v>45639</x:v>
      </x:c>
      <x:c r="C1753" s="2" t="str">
        <x:v>Colômbia</x:v>
      </x:c>
      <x:c r="D1753" s="2" t="str">
        <x:v>Moda Infantil</x:v>
      </x:c>
      <x:c r="E1753" s="11" t="n">
        <x:v>5</x:v>
      </x:c>
      <x:c r="F1753" s="12" t="n">
        <x:v>170.61</x:v>
      </x:c>
      <x:c r="G1753" s="12" t="n">
        <x:v>853.0500000000001</x:v>
      </x:c>
      <x:c r="H1753" s="13" t="n">
        <x:v>313</x:v>
      </x:c>
      <x:c r="I1753" s="13" t="n">
        <x:f>YEAR(B1753)</x:f>
        <x:v>2024</x:v>
      </x:c>
      <x:c r="J1753" s="13" t="n">
        <x:f>MONTH(B1753)</x:f>
        <x:v>12</x:v>
      </x:c>
      <x:c r="K1753" s="14" t="n">
        <x:f>ROUND(E1753*F1753-G1753,10)</x:f>
        <x:v>0</x:v>
      </x:c>
      <x:c r="L1753" s="2"/>
      <x:c r="M1753" s="2"/>
      <x:c r="N1753" s="2"/>
      <x:c r="O1753" s="2"/>
      <x:c r="P1753" s="2"/>
      <x:c r="Q1753" s="2"/>
      <x:c r="R1753" s="2"/>
    </x:row>
    <x:row r="1754" ht="22" customHeight="1">
      <x:c r="A1754" s="2" t="n">
        <x:v>101748</x:v>
      </x:c>
      <x:c r="B1754" s="10" t="n">
        <x:v>45366</x:v>
      </x:c>
      <x:c r="C1754" s="2" t="str">
        <x:v>México</x:v>
      </x:c>
      <x:c r="D1754" s="2" t="str">
        <x:v>Moda Infantil</x:v>
      </x:c>
      <x:c r="E1754" s="11" t="n">
        <x:v>43</x:v>
      </x:c>
      <x:c r="F1754" s="12" t="n">
        <x:v>49.46</x:v>
      </x:c>
      <x:c r="G1754" s="12" t="n">
        <x:v>2126.78</x:v>
      </x:c>
      <x:c r="H1754" s="13" t="n">
        <x:v>334</x:v>
      </x:c>
      <x:c r="I1754" s="13" t="n">
        <x:f>YEAR(B1754)</x:f>
        <x:v>2024</x:v>
      </x:c>
      <x:c r="J1754" s="13" t="n">
        <x:f>MONTH(B1754)</x:f>
        <x:v>3</x:v>
      </x:c>
      <x:c r="K1754" s="14" t="n">
        <x:f>ROUND(E1754*F1754-G1754,10)</x:f>
        <x:v>0</x:v>
      </x:c>
      <x:c r="L1754" s="2"/>
      <x:c r="M1754" s="2"/>
      <x:c r="N1754" s="2"/>
      <x:c r="O1754" s="2"/>
      <x:c r="P1754" s="2"/>
      <x:c r="Q1754" s="2"/>
      <x:c r="R1754" s="2"/>
    </x:row>
    <x:row r="1755" ht="22" customHeight="1">
      <x:c r="A1755" s="2" t="n">
        <x:v>101749</x:v>
      </x:c>
      <x:c r="B1755" s="10" t="n">
        <x:v>45446</x:v>
      </x:c>
      <x:c r="C1755" s="2" t="str">
        <x:v>Chile</x:v>
      </x:c>
      <x:c r="D1755" s="2" t="str">
        <x:v>Moda Feminina</x:v>
      </x:c>
      <x:c r="E1755" s="11" t="n">
        <x:v>25</x:v>
      </x:c>
      <x:c r="F1755" s="12" t="n">
        <x:v>69.85</x:v>
      </x:c>
      <x:c r="G1755" s="12" t="n">
        <x:v>1746.25</x:v>
      </x:c>
      <x:c r="H1755" s="13" t="n">
        <x:v>144</x:v>
      </x:c>
      <x:c r="I1755" s="13" t="n">
        <x:f>YEAR(B1755)</x:f>
        <x:v>2024</x:v>
      </x:c>
      <x:c r="J1755" s="13" t="n">
        <x:f>MONTH(B1755)</x:f>
        <x:v>6</x:v>
      </x:c>
      <x:c r="K1755" s="14" t="n">
        <x:f>ROUND(E1755*F1755-G1755,10)</x:f>
        <x:v>0</x:v>
      </x:c>
      <x:c r="L1755" s="2"/>
      <x:c r="M1755" s="2"/>
      <x:c r="N1755" s="2"/>
      <x:c r="O1755" s="2"/>
      <x:c r="P1755" s="2"/>
      <x:c r="Q1755" s="2"/>
      <x:c r="R1755" s="2"/>
    </x:row>
    <x:row r="1756" ht="22" customHeight="1">
      <x:c r="A1756" s="2" t="n">
        <x:v>101750</x:v>
      </x:c>
      <x:c r="B1756" s="10" t="n">
        <x:v>45200</x:v>
      </x:c>
      <x:c r="C1756" s="2" t="str">
        <x:v>México</x:v>
      </x:c>
      <x:c r="D1756" s="2" t="str">
        <x:v>Moda Feminina</x:v>
      </x:c>
      <x:c r="E1756" s="11" t="n">
        <x:v>18</x:v>
      </x:c>
      <x:c r="F1756" s="12" t="n">
        <x:v>31.84</x:v>
      </x:c>
      <x:c r="G1756" s="12" t="n">
        <x:v>573.12</x:v>
      </x:c>
      <x:c r="H1756" s="13" t="n">
        <x:v>90</x:v>
      </x:c>
      <x:c r="I1756" s="13" t="n">
        <x:f>YEAR(B1756)</x:f>
        <x:v>2023</x:v>
      </x:c>
      <x:c r="J1756" s="13" t="n">
        <x:f>MONTH(B1756)</x:f>
        <x:v>10</x:v>
      </x:c>
      <x:c r="K1756" s="14" t="n">
        <x:f>ROUND(E1756*F1756-G1756,10)</x:f>
        <x:v>0</x:v>
      </x:c>
      <x:c r="L1756" s="2"/>
      <x:c r="M1756" s="2"/>
      <x:c r="N1756" s="2"/>
      <x:c r="O1756" s="2"/>
      <x:c r="P1756" s="2"/>
      <x:c r="Q1756" s="2"/>
      <x:c r="R1756" s="2"/>
    </x:row>
    <x:row r="1757" ht="22" customHeight="1">
      <x:c r="A1757" s="2" t="n">
        <x:v>101751</x:v>
      </x:c>
      <x:c r="B1757" s="10" t="n">
        <x:v>45572</x:v>
      </x:c>
      <x:c r="C1757" s="2" t="str">
        <x:v>Argentina</x:v>
      </x:c>
      <x:c r="D1757" s="2" t="str">
        <x:v>Calçados</x:v>
      </x:c>
      <x:c r="E1757" s="11" t="n">
        <x:v>13</x:v>
      </x:c>
      <x:c r="F1757" s="12" t="n">
        <x:v>147.08</x:v>
      </x:c>
      <x:c r="G1757" s="12" t="n">
        <x:v>1912.04</x:v>
      </x:c>
      <x:c r="H1757" s="13" t="n">
        <x:v>463</x:v>
      </x:c>
      <x:c r="I1757" s="13" t="n">
        <x:f>YEAR(B1757)</x:f>
        <x:v>2024</x:v>
      </x:c>
      <x:c r="J1757" s="13" t="n">
        <x:f>MONTH(B1757)</x:f>
        <x:v>10</x:v>
      </x:c>
      <x:c r="K1757" s="14" t="n">
        <x:f>ROUND(E1757*F1757-G1757,10)</x:f>
        <x:v>0</x:v>
      </x:c>
      <x:c r="L1757" s="2"/>
      <x:c r="M1757" s="2"/>
      <x:c r="N1757" s="2"/>
      <x:c r="O1757" s="2"/>
      <x:c r="P1757" s="2"/>
      <x:c r="Q1757" s="2"/>
      <x:c r="R1757" s="2"/>
    </x:row>
    <x:row r="1758" ht="22" customHeight="1">
      <x:c r="A1758" s="2" t="n">
        <x:v>101752</x:v>
      </x:c>
      <x:c r="B1758" s="10" t="n">
        <x:v>45235</x:v>
      </x:c>
      <x:c r="C1758" s="2" t="str">
        <x:v>Brasil</x:v>
      </x:c>
      <x:c r="D1758" s="2" t="str">
        <x:v>Moda Masculina</x:v>
      </x:c>
      <x:c r="E1758" s="11" t="n">
        <x:v>43</x:v>
      </x:c>
      <x:c r="F1758" s="12" t="n">
        <x:v>62.88</x:v>
      </x:c>
      <x:c r="G1758" s="12" t="n">
        <x:v>2703.84</x:v>
      </x:c>
      <x:c r="H1758" s="13" t="n">
        <x:v>198</x:v>
      </x:c>
      <x:c r="I1758" s="13" t="n">
        <x:f>YEAR(B1758)</x:f>
        <x:v>2023</x:v>
      </x:c>
      <x:c r="J1758" s="13" t="n">
        <x:f>MONTH(B1758)</x:f>
        <x:v>11</x:v>
      </x:c>
      <x:c r="K1758" s="14" t="n">
        <x:f>ROUND(E1758*F1758-G1758,10)</x:f>
        <x:v>0</x:v>
      </x:c>
      <x:c r="L1758" s="2"/>
      <x:c r="M1758" s="2"/>
      <x:c r="N1758" s="2"/>
      <x:c r="O1758" s="2"/>
      <x:c r="P1758" s="2"/>
      <x:c r="Q1758" s="2"/>
      <x:c r="R1758" s="2"/>
    </x:row>
    <x:row r="1759" ht="22" customHeight="1">
      <x:c r="A1759" s="2" t="n">
        <x:v>101753</x:v>
      </x:c>
      <x:c r="B1759" s="10" t="n">
        <x:v>45171</x:v>
      </x:c>
      <x:c r="C1759" s="2" t="str">
        <x:v>Chile</x:v>
      </x:c>
      <x:c r="D1759" s="2" t="str">
        <x:v>Moda Feminina</x:v>
      </x:c>
      <x:c r="E1759" s="11" t="n">
        <x:v>14</x:v>
      </x:c>
      <x:c r="F1759" s="12" t="n">
        <x:v>89.96</x:v>
      </x:c>
      <x:c r="G1759" s="12" t="n">
        <x:v>1259.44</x:v>
      </x:c>
      <x:c r="H1759" s="13" t="n">
        <x:v>253</x:v>
      </x:c>
      <x:c r="I1759" s="13" t="n">
        <x:f>YEAR(B1759)</x:f>
        <x:v>2023</x:v>
      </x:c>
      <x:c r="J1759" s="13" t="n">
        <x:f>MONTH(B1759)</x:f>
        <x:v>9</x:v>
      </x:c>
      <x:c r="K1759" s="14" t="n">
        <x:f>ROUND(E1759*F1759-G1759,10)</x:f>
        <x:v>0</x:v>
      </x:c>
      <x:c r="L1759" s="2"/>
      <x:c r="M1759" s="2"/>
      <x:c r="N1759" s="2"/>
      <x:c r="O1759" s="2"/>
      <x:c r="P1759" s="2"/>
      <x:c r="Q1759" s="2"/>
      <x:c r="R1759" s="2"/>
    </x:row>
    <x:row r="1760" ht="22" customHeight="1">
      <x:c r="A1760" s="2" t="n">
        <x:v>101754</x:v>
      </x:c>
      <x:c r="B1760" s="10" t="n">
        <x:v>45417</x:v>
      </x:c>
      <x:c r="C1760" s="2" t="str">
        <x:v>Argentina</x:v>
      </x:c>
      <x:c r="D1760" s="2" t="str">
        <x:v>Moda Feminina</x:v>
      </x:c>
      <x:c r="E1760" s="11" t="n">
        <x:v>28</x:v>
      </x:c>
      <x:c r="F1760" s="12" t="n">
        <x:v>99.87</x:v>
      </x:c>
      <x:c r="G1760" s="12" t="n">
        <x:v>2796.36</x:v>
      </x:c>
      <x:c r="H1760" s="13" t="n">
        <x:v>316</x:v>
      </x:c>
      <x:c r="I1760" s="13" t="n">
        <x:f>YEAR(B1760)</x:f>
        <x:v>2024</x:v>
      </x:c>
      <x:c r="J1760" s="13" t="n">
        <x:f>MONTH(B1760)</x:f>
        <x:v>5</x:v>
      </x:c>
      <x:c r="K1760" s="14" t="n">
        <x:f>ROUND(E1760*F1760-G1760,10)</x:f>
        <x:v>0</x:v>
      </x:c>
      <x:c r="L1760" s="2"/>
      <x:c r="M1760" s="2"/>
      <x:c r="N1760" s="2"/>
      <x:c r="O1760" s="2"/>
      <x:c r="P1760" s="2"/>
      <x:c r="Q1760" s="2"/>
      <x:c r="R1760" s="2"/>
    </x:row>
    <x:row r="1761" ht="22" customHeight="1">
      <x:c r="A1761" s="2" t="n">
        <x:v>101755</x:v>
      </x:c>
      <x:c r="B1761" s="10" t="n">
        <x:v>45372</x:v>
      </x:c>
      <x:c r="C1761" s="2" t="str">
        <x:v>Argentina</x:v>
      </x:c>
      <x:c r="D1761" s="2" t="str">
        <x:v>Moda Masculina</x:v>
      </x:c>
      <x:c r="E1761" s="11" t="n">
        <x:v>18</x:v>
      </x:c>
      <x:c r="F1761" s="12" t="n">
        <x:v>180.44</x:v>
      </x:c>
      <x:c r="G1761" s="12" t="n">
        <x:v>3247.92</x:v>
      </x:c>
      <x:c r="H1761" s="13" t="n">
        <x:v>51</x:v>
      </x:c>
      <x:c r="I1761" s="13" t="n">
        <x:f>YEAR(B1761)</x:f>
        <x:v>2024</x:v>
      </x:c>
      <x:c r="J1761" s="13" t="n">
        <x:f>MONTH(B1761)</x:f>
        <x:v>3</x:v>
      </x:c>
      <x:c r="K1761" s="14" t="n">
        <x:f>ROUND(E1761*F1761-G1761,10)</x:f>
        <x:v>0</x:v>
      </x:c>
      <x:c r="L1761" s="2"/>
      <x:c r="M1761" s="2"/>
      <x:c r="N1761" s="2"/>
      <x:c r="O1761" s="2"/>
      <x:c r="P1761" s="2"/>
      <x:c r="Q1761" s="2"/>
      <x:c r="R1761" s="2"/>
    </x:row>
    <x:row r="1762" ht="22" customHeight="1">
      <x:c r="A1762" s="2" t="n">
        <x:v>101756</x:v>
      </x:c>
      <x:c r="B1762" s="10" t="n">
        <x:v>44966</x:v>
      </x:c>
      <x:c r="C1762" s="2" t="str">
        <x:v>Chile</x:v>
      </x:c>
      <x:c r="D1762" s="2" t="str">
        <x:v>Calçados</x:v>
      </x:c>
      <x:c r="E1762" s="11" t="n">
        <x:v>28</x:v>
      </x:c>
      <x:c r="F1762" s="12" t="n">
        <x:v>94.04</x:v>
      </x:c>
      <x:c r="G1762" s="12" t="n">
        <x:v>2633.12</x:v>
      </x:c>
      <x:c r="H1762" s="13" t="n">
        <x:v>227</x:v>
      </x:c>
      <x:c r="I1762" s="13" t="n">
        <x:f>YEAR(B1762)</x:f>
        <x:v>2023</x:v>
      </x:c>
      <x:c r="J1762" s="13" t="n">
        <x:f>MONTH(B1762)</x:f>
        <x:v>2</x:v>
      </x:c>
      <x:c r="K1762" s="14" t="n">
        <x:f>ROUND(E1762*F1762-G1762,10)</x:f>
        <x:v>0</x:v>
      </x:c>
      <x:c r="L1762" s="2"/>
      <x:c r="M1762" s="2"/>
      <x:c r="N1762" s="2"/>
      <x:c r="O1762" s="2"/>
      <x:c r="P1762" s="2"/>
      <x:c r="Q1762" s="2"/>
      <x:c r="R1762" s="2"/>
    </x:row>
    <x:row r="1763" ht="22" customHeight="1">
      <x:c r="A1763" s="2" t="n">
        <x:v>101757</x:v>
      </x:c>
      <x:c r="B1763" s="10" t="n">
        <x:v>45202</x:v>
      </x:c>
      <x:c r="C1763" s="2" t="str">
        <x:v>México</x:v>
      </x:c>
      <x:c r="D1763" s="2" t="str">
        <x:v>Moda Feminina</x:v>
      </x:c>
      <x:c r="E1763" s="11" t="n">
        <x:v>27</x:v>
      </x:c>
      <x:c r="F1763" s="12" t="n">
        <x:v>46.14</x:v>
      </x:c>
      <x:c r="G1763" s="12" t="n">
        <x:v>1245.78</x:v>
      </x:c>
      <x:c r="H1763" s="13" t="n">
        <x:v>474</x:v>
      </x:c>
      <x:c r="I1763" s="13" t="n">
        <x:f>YEAR(B1763)</x:f>
        <x:v>2023</x:v>
      </x:c>
      <x:c r="J1763" s="13" t="n">
        <x:f>MONTH(B1763)</x:f>
        <x:v>10</x:v>
      </x:c>
      <x:c r="K1763" s="14" t="n">
        <x:f>ROUND(E1763*F1763-G1763,10)</x:f>
        <x:v>0</x:v>
      </x:c>
      <x:c r="L1763" s="2"/>
      <x:c r="M1763" s="2"/>
      <x:c r="N1763" s="2"/>
      <x:c r="O1763" s="2"/>
      <x:c r="P1763" s="2"/>
      <x:c r="Q1763" s="2"/>
      <x:c r="R1763" s="2"/>
    </x:row>
    <x:row r="1764" ht="22" customHeight="1">
      <x:c r="A1764" s="2" t="n">
        <x:v>101758</x:v>
      </x:c>
      <x:c r="B1764" s="10" t="n">
        <x:v>45284</x:v>
      </x:c>
      <x:c r="C1764" s="2" t="str">
        <x:v>Peru</x:v>
      </x:c>
      <x:c r="D1764" s="2" t="str">
        <x:v>Calçados</x:v>
      </x:c>
      <x:c r="E1764" s="11" t="n">
        <x:v>32</x:v>
      </x:c>
      <x:c r="F1764" s="12" t="n">
        <x:v>114.38</x:v>
      </x:c>
      <x:c r="G1764" s="12" t="n">
        <x:v>3660.16</x:v>
      </x:c>
      <x:c r="H1764" s="13" t="n">
        <x:v>243</x:v>
      </x:c>
      <x:c r="I1764" s="13" t="n">
        <x:f>YEAR(B1764)</x:f>
        <x:v>2023</x:v>
      </x:c>
      <x:c r="J1764" s="13" t="n">
        <x:f>MONTH(B1764)</x:f>
        <x:v>12</x:v>
      </x:c>
      <x:c r="K1764" s="14" t="n">
        <x:f>ROUND(E1764*F1764-G1764,10)</x:f>
        <x:v>0</x:v>
      </x:c>
      <x:c r="L1764" s="2"/>
      <x:c r="M1764" s="2"/>
      <x:c r="N1764" s="2"/>
      <x:c r="O1764" s="2"/>
      <x:c r="P1764" s="2"/>
      <x:c r="Q1764" s="2"/>
      <x:c r="R1764" s="2"/>
    </x:row>
    <x:row r="1765" ht="22" customHeight="1">
      <x:c r="A1765" s="2" t="n">
        <x:v>101759</x:v>
      </x:c>
      <x:c r="B1765" s="10" t="n">
        <x:v>45455</x:v>
      </x:c>
      <x:c r="C1765" s="2" t="str">
        <x:v>Argentina</x:v>
      </x:c>
      <x:c r="D1765" s="2" t="str">
        <x:v>Acessórios</x:v>
      </x:c>
      <x:c r="E1765" s="11" t="n">
        <x:v>47</x:v>
      </x:c>
      <x:c r="F1765" s="12" t="n">
        <x:v>193.33</x:v>
      </x:c>
      <x:c r="G1765" s="12" t="n">
        <x:v>9086.51</x:v>
      </x:c>
      <x:c r="H1765" s="13" t="n">
        <x:v>436</x:v>
      </x:c>
      <x:c r="I1765" s="13" t="n">
        <x:f>YEAR(B1765)</x:f>
        <x:v>2024</x:v>
      </x:c>
      <x:c r="J1765" s="13" t="n">
        <x:f>MONTH(B1765)</x:f>
        <x:v>6</x:v>
      </x:c>
      <x:c r="K1765" s="14" t="n">
        <x:f>ROUND(E1765*F1765-G1765,10)</x:f>
        <x:v>0</x:v>
      </x:c>
      <x:c r="L1765" s="2"/>
      <x:c r="M1765" s="2"/>
      <x:c r="N1765" s="2"/>
      <x:c r="O1765" s="2"/>
      <x:c r="P1765" s="2"/>
      <x:c r="Q1765" s="2"/>
      <x:c r="R1765" s="2"/>
    </x:row>
    <x:row r="1766" ht="22" customHeight="1">
      <x:c r="A1766" s="2" t="n">
        <x:v>101760</x:v>
      </x:c>
      <x:c r="B1766" s="10" t="n">
        <x:v>45523</x:v>
      </x:c>
      <x:c r="C1766" s="2" t="str">
        <x:v>Colômbia</x:v>
      </x:c>
      <x:c r="D1766" s="2" t="str">
        <x:v>Calçados</x:v>
      </x:c>
      <x:c r="E1766" s="11" t="n">
        <x:v>9</x:v>
      </x:c>
      <x:c r="F1766" s="12" t="n">
        <x:v>129.38</x:v>
      </x:c>
      <x:c r="G1766" s="12" t="n">
        <x:v>1164.42</x:v>
      </x:c>
      <x:c r="H1766" s="13" t="n">
        <x:v>385</x:v>
      </x:c>
      <x:c r="I1766" s="13" t="n">
        <x:f>YEAR(B1766)</x:f>
        <x:v>2024</x:v>
      </x:c>
      <x:c r="J1766" s="13" t="n">
        <x:f>MONTH(B1766)</x:f>
        <x:v>8</x:v>
      </x:c>
      <x:c r="K1766" s="14" t="n">
        <x:f>ROUND(E1766*F1766-G1766,10)</x:f>
        <x:v>0</x:v>
      </x:c>
      <x:c r="L1766" s="2"/>
      <x:c r="M1766" s="2"/>
      <x:c r="N1766" s="2"/>
      <x:c r="O1766" s="2"/>
      <x:c r="P1766" s="2"/>
      <x:c r="Q1766" s="2"/>
      <x:c r="R1766" s="2"/>
    </x:row>
    <x:row r="1767" ht="22" customHeight="1">
      <x:c r="A1767" s="2" t="n">
        <x:v>101761</x:v>
      </x:c>
      <x:c r="B1767" s="10" t="n">
        <x:v>45204</x:v>
      </x:c>
      <x:c r="C1767" s="2" t="str">
        <x:v>Argentina</x:v>
      </x:c>
      <x:c r="D1767" s="2" t="str">
        <x:v>Moda Infantil</x:v>
      </x:c>
      <x:c r="E1767" s="11" t="n">
        <x:v>40</x:v>
      </x:c>
      <x:c r="F1767" s="12" t="n">
        <x:v>197.01</x:v>
      </x:c>
      <x:c r="G1767" s="12" t="n">
        <x:v>7880.4</x:v>
      </x:c>
      <x:c r="H1767" s="13" t="n">
        <x:v>484</x:v>
      </x:c>
      <x:c r="I1767" s="13" t="n">
        <x:f>YEAR(B1767)</x:f>
        <x:v>2023</x:v>
      </x:c>
      <x:c r="J1767" s="13" t="n">
        <x:f>MONTH(B1767)</x:f>
        <x:v>10</x:v>
      </x:c>
      <x:c r="K1767" s="14" t="n">
        <x:f>ROUND(E1767*F1767-G1767,10)</x:f>
        <x:v>0</x:v>
      </x:c>
      <x:c r="L1767" s="2"/>
      <x:c r="M1767" s="2"/>
      <x:c r="N1767" s="2"/>
      <x:c r="O1767" s="2"/>
      <x:c r="P1767" s="2"/>
      <x:c r="Q1767" s="2"/>
      <x:c r="R1767" s="2"/>
    </x:row>
    <x:row r="1768" ht="22" customHeight="1">
      <x:c r="A1768" s="2" t="n">
        <x:v>101762</x:v>
      </x:c>
      <x:c r="B1768" s="10" t="n">
        <x:v>45144</x:v>
      </x:c>
      <x:c r="C1768" s="2" t="str">
        <x:v>Peru</x:v>
      </x:c>
      <x:c r="D1768" s="2" t="str">
        <x:v>Moda Infantil</x:v>
      </x:c>
      <x:c r="E1768" s="11" t="n">
        <x:v>32</x:v>
      </x:c>
      <x:c r="F1768" s="12" t="n">
        <x:v>171.4</x:v>
      </x:c>
      <x:c r="G1768" s="12" t="n">
        <x:v>5484.8</x:v>
      </x:c>
      <x:c r="H1768" s="13" t="n">
        <x:v>245</x:v>
      </x:c>
      <x:c r="I1768" s="13" t="n">
        <x:f>YEAR(B1768)</x:f>
        <x:v>2023</x:v>
      </x:c>
      <x:c r="J1768" s="13" t="n">
        <x:f>MONTH(B1768)</x:f>
        <x:v>8</x:v>
      </x:c>
      <x:c r="K1768" s="14" t="n">
        <x:f>ROUND(E1768*F1768-G1768,10)</x:f>
        <x:v>0</x:v>
      </x:c>
      <x:c r="L1768" s="2"/>
      <x:c r="M1768" s="2"/>
      <x:c r="N1768" s="2"/>
      <x:c r="O1768" s="2"/>
      <x:c r="P1768" s="2"/>
      <x:c r="Q1768" s="2"/>
      <x:c r="R1768" s="2"/>
    </x:row>
    <x:row r="1769" ht="22" customHeight="1">
      <x:c r="A1769" s="2" t="n">
        <x:v>101763</x:v>
      </x:c>
      <x:c r="B1769" s="10" t="n">
        <x:v>45172</x:v>
      </x:c>
      <x:c r="C1769" s="2" t="str">
        <x:v>México</x:v>
      </x:c>
      <x:c r="D1769" s="2" t="str">
        <x:v>Calçados</x:v>
      </x:c>
      <x:c r="E1769" s="11" t="n">
        <x:v>20</x:v>
      </x:c>
      <x:c r="F1769" s="12" t="n">
        <x:v>26.47</x:v>
      </x:c>
      <x:c r="G1769" s="12" t="n">
        <x:v>529.4</x:v>
      </x:c>
      <x:c r="H1769" s="13" t="n">
        <x:v>392</x:v>
      </x:c>
      <x:c r="I1769" s="13" t="n">
        <x:f>YEAR(B1769)</x:f>
        <x:v>2023</x:v>
      </x:c>
      <x:c r="J1769" s="13" t="n">
        <x:f>MONTH(B1769)</x:f>
        <x:v>9</x:v>
      </x:c>
      <x:c r="K1769" s="14" t="n">
        <x:f>ROUND(E1769*F1769-G1769,10)</x:f>
        <x:v>0</x:v>
      </x:c>
      <x:c r="L1769" s="2"/>
      <x:c r="M1769" s="2"/>
      <x:c r="N1769" s="2"/>
      <x:c r="O1769" s="2"/>
      <x:c r="P1769" s="2"/>
      <x:c r="Q1769" s="2"/>
      <x:c r="R1769" s="2"/>
    </x:row>
    <x:row r="1770" ht="22" customHeight="1">
      <x:c r="A1770" s="2" t="n">
        <x:v>101764</x:v>
      </x:c>
      <x:c r="B1770" s="10" t="n">
        <x:v>45537</x:v>
      </x:c>
      <x:c r="C1770" s="2" t="str">
        <x:v>México</x:v>
      </x:c>
      <x:c r="D1770" s="2" t="str">
        <x:v>Moda Infantil</x:v>
      </x:c>
      <x:c r="E1770" s="11" t="n">
        <x:v>28</x:v>
      </x:c>
      <x:c r="F1770" s="12" t="n">
        <x:v>138.51</x:v>
      </x:c>
      <x:c r="G1770" s="12" t="n">
        <x:v>3878.28</x:v>
      </x:c>
      <x:c r="H1770" s="13" t="n">
        <x:v>298</x:v>
      </x:c>
      <x:c r="I1770" s="13" t="n">
        <x:f>YEAR(B1770)</x:f>
        <x:v>2024</x:v>
      </x:c>
      <x:c r="J1770" s="13" t="n">
        <x:f>MONTH(B1770)</x:f>
        <x:v>9</x:v>
      </x:c>
      <x:c r="K1770" s="14" t="n">
        <x:f>ROUND(E1770*F1770-G1770,10)</x:f>
        <x:v>0</x:v>
      </x:c>
      <x:c r="L1770" s="2"/>
      <x:c r="M1770" s="2"/>
      <x:c r="N1770" s="2"/>
      <x:c r="O1770" s="2"/>
      <x:c r="P1770" s="2"/>
      <x:c r="Q1770" s="2"/>
      <x:c r="R1770" s="2"/>
    </x:row>
    <x:row r="1771" ht="22" customHeight="1">
      <x:c r="A1771" s="2" t="n">
        <x:v>101765</x:v>
      </x:c>
      <x:c r="B1771" s="10" t="n">
        <x:v>45376</x:v>
      </x:c>
      <x:c r="C1771" s="2" t="str">
        <x:v>Colômbia</x:v>
      </x:c>
      <x:c r="D1771" s="2" t="str">
        <x:v>Acessórios</x:v>
      </x:c>
      <x:c r="E1771" s="11" t="n">
        <x:v>33</x:v>
      </x:c>
      <x:c r="F1771" s="12" t="n">
        <x:v>71.62</x:v>
      </x:c>
      <x:c r="G1771" s="12" t="n">
        <x:v>2363.46</x:v>
      </x:c>
      <x:c r="H1771" s="13" t="n">
        <x:v>261</x:v>
      </x:c>
      <x:c r="I1771" s="13" t="n">
        <x:f>YEAR(B1771)</x:f>
        <x:v>2024</x:v>
      </x:c>
      <x:c r="J1771" s="13" t="n">
        <x:f>MONTH(B1771)</x:f>
        <x:v>3</x:v>
      </x:c>
      <x:c r="K1771" s="14" t="n">
        <x:f>ROUND(E1771*F1771-G1771,10)</x:f>
        <x:v>0</x:v>
      </x:c>
      <x:c r="L1771" s="2"/>
      <x:c r="M1771" s="2"/>
      <x:c r="N1771" s="2"/>
      <x:c r="O1771" s="2"/>
      <x:c r="P1771" s="2"/>
      <x:c r="Q1771" s="2"/>
      <x:c r="R1771" s="2"/>
    </x:row>
    <x:row r="1772" ht="22" customHeight="1">
      <x:c r="A1772" s="2" t="n">
        <x:v>101766</x:v>
      </x:c>
      <x:c r="B1772" s="10" t="n">
        <x:v>45567</x:v>
      </x:c>
      <x:c r="C1772" s="2" t="str">
        <x:v>Argentina</x:v>
      </x:c>
      <x:c r="D1772" s="2" t="str">
        <x:v>Moda Masculina</x:v>
      </x:c>
      <x:c r="E1772" s="11" t="n">
        <x:v>4</x:v>
      </x:c>
      <x:c r="F1772" s="12" t="n">
        <x:v>120.73</x:v>
      </x:c>
      <x:c r="G1772" s="12" t="n">
        <x:v>482.92</x:v>
      </x:c>
      <x:c r="H1772" s="13" t="n">
        <x:v>202</x:v>
      </x:c>
      <x:c r="I1772" s="13" t="n">
        <x:f>YEAR(B1772)</x:f>
        <x:v>2024</x:v>
      </x:c>
      <x:c r="J1772" s="13" t="n">
        <x:f>MONTH(B1772)</x:f>
        <x:v>10</x:v>
      </x:c>
      <x:c r="K1772" s="14" t="n">
        <x:f>ROUND(E1772*F1772-G1772,10)</x:f>
        <x:v>0</x:v>
      </x:c>
      <x:c r="L1772" s="2"/>
      <x:c r="M1772" s="2"/>
      <x:c r="N1772" s="2"/>
      <x:c r="O1772" s="2"/>
      <x:c r="P1772" s="2"/>
      <x:c r="Q1772" s="2"/>
      <x:c r="R1772" s="2"/>
    </x:row>
    <x:row r="1773" ht="22" customHeight="1">
      <x:c r="A1773" s="2" t="n">
        <x:v>101767</x:v>
      </x:c>
      <x:c r="B1773" s="10" t="n">
        <x:v>45074</x:v>
      </x:c>
      <x:c r="C1773" s="2" t="str">
        <x:v>México</x:v>
      </x:c>
      <x:c r="D1773" s="2" t="str">
        <x:v>Moda Infantil</x:v>
      </x:c>
      <x:c r="E1773" s="11" t="n">
        <x:v>46</x:v>
      </x:c>
      <x:c r="F1773" s="12" t="n">
        <x:v>70.28</x:v>
      </x:c>
      <x:c r="G1773" s="12" t="n">
        <x:v>3232.88</x:v>
      </x:c>
      <x:c r="H1773" s="13" t="n">
        <x:v>207</x:v>
      </x:c>
      <x:c r="I1773" s="13" t="n">
        <x:f>YEAR(B1773)</x:f>
        <x:v>2023</x:v>
      </x:c>
      <x:c r="J1773" s="13" t="n">
        <x:f>MONTH(B1773)</x:f>
        <x:v>5</x:v>
      </x:c>
      <x:c r="K1773" s="14" t="n">
        <x:f>ROUND(E1773*F1773-G1773,10)</x:f>
        <x:v>0</x:v>
      </x:c>
      <x:c r="L1773" s="2"/>
      <x:c r="M1773" s="2"/>
      <x:c r="N1773" s="2"/>
      <x:c r="O1773" s="2"/>
      <x:c r="P1773" s="2"/>
      <x:c r="Q1773" s="2"/>
      <x:c r="R1773" s="2"/>
    </x:row>
    <x:row r="1774" ht="22" customHeight="1">
      <x:c r="A1774" s="2" t="n">
        <x:v>101768</x:v>
      </x:c>
      <x:c r="B1774" s="10" t="n">
        <x:v>45034</x:v>
      </x:c>
      <x:c r="C1774" s="2" t="str">
        <x:v>Peru</x:v>
      </x:c>
      <x:c r="D1774" s="2" t="str">
        <x:v>Moda Infantil</x:v>
      </x:c>
      <x:c r="E1774" s="11" t="n">
        <x:v>34</x:v>
      </x:c>
      <x:c r="F1774" s="12" t="n">
        <x:v>82.8</x:v>
      </x:c>
      <x:c r="G1774" s="12" t="n">
        <x:v>2815.2</x:v>
      </x:c>
      <x:c r="H1774" s="13" t="n">
        <x:v>411</x:v>
      </x:c>
      <x:c r="I1774" s="13" t="n">
        <x:f>YEAR(B1774)</x:f>
        <x:v>2023</x:v>
      </x:c>
      <x:c r="J1774" s="13" t="n">
        <x:f>MONTH(B1774)</x:f>
        <x:v>4</x:v>
      </x:c>
      <x:c r="K1774" s="14" t="n">
        <x:f>ROUND(E1774*F1774-G1774,10)</x:f>
        <x:v>0</x:v>
      </x:c>
      <x:c r="L1774" s="2"/>
      <x:c r="M1774" s="2"/>
      <x:c r="N1774" s="2"/>
      <x:c r="O1774" s="2"/>
      <x:c r="P1774" s="2"/>
      <x:c r="Q1774" s="2"/>
      <x:c r="R1774" s="2"/>
    </x:row>
    <x:row r="1775" ht="22" customHeight="1">
      <x:c r="A1775" s="2" t="n">
        <x:v>101769</x:v>
      </x:c>
      <x:c r="B1775" s="10" t="n">
        <x:v>44981</x:v>
      </x:c>
      <x:c r="C1775" s="2" t="str">
        <x:v>Chile</x:v>
      </x:c>
      <x:c r="D1775" s="2" t="str">
        <x:v>Calçados</x:v>
      </x:c>
      <x:c r="E1775" s="11" t="n">
        <x:v>48</x:v>
      </x:c>
      <x:c r="F1775" s="12" t="n">
        <x:v>186.17</x:v>
      </x:c>
      <x:c r="G1775" s="12" t="n">
        <x:v>8936.16</x:v>
      </x:c>
      <x:c r="H1775" s="13" t="n">
        <x:v>188</x:v>
      </x:c>
      <x:c r="I1775" s="13" t="n">
        <x:f>YEAR(B1775)</x:f>
        <x:v>2023</x:v>
      </x:c>
      <x:c r="J1775" s="13" t="n">
        <x:f>MONTH(B1775)</x:f>
        <x:v>2</x:v>
      </x:c>
      <x:c r="K1775" s="14" t="n">
        <x:f>ROUND(E1775*F1775-G1775,10)</x:f>
        <x:v>0</x:v>
      </x:c>
      <x:c r="L1775" s="2"/>
      <x:c r="M1775" s="2"/>
      <x:c r="N1775" s="2"/>
      <x:c r="O1775" s="2"/>
      <x:c r="P1775" s="2"/>
      <x:c r="Q1775" s="2"/>
      <x:c r="R1775" s="2"/>
    </x:row>
    <x:row r="1776" ht="22" customHeight="1">
      <x:c r="A1776" s="2" t="n">
        <x:v>101770</x:v>
      </x:c>
      <x:c r="B1776" s="10" t="n">
        <x:v>45354</x:v>
      </x:c>
      <x:c r="C1776" s="2" t="str">
        <x:v>Brasil</x:v>
      </x:c>
      <x:c r="D1776" s="2" t="str">
        <x:v>Acessórios</x:v>
      </x:c>
      <x:c r="E1776" s="11" t="n">
        <x:v>3</x:v>
      </x:c>
      <x:c r="F1776" s="12" t="n">
        <x:v>57.2</x:v>
      </x:c>
      <x:c r="G1776" s="12" t="n">
        <x:v>171.6</x:v>
      </x:c>
      <x:c r="H1776" s="13" t="n">
        <x:v>270</x:v>
      </x:c>
      <x:c r="I1776" s="13" t="n">
        <x:f>YEAR(B1776)</x:f>
        <x:v>2024</x:v>
      </x:c>
      <x:c r="J1776" s="13" t="n">
        <x:f>MONTH(B1776)</x:f>
        <x:v>3</x:v>
      </x:c>
      <x:c r="K1776" s="14" t="n">
        <x:f>ROUND(E1776*F1776-G1776,10)</x:f>
        <x:v>0</x:v>
      </x:c>
      <x:c r="L1776" s="2"/>
      <x:c r="M1776" s="2"/>
      <x:c r="N1776" s="2"/>
      <x:c r="O1776" s="2"/>
      <x:c r="P1776" s="2"/>
      <x:c r="Q1776" s="2"/>
      <x:c r="R1776" s="2"/>
    </x:row>
    <x:row r="1777" ht="22" customHeight="1">
      <x:c r="A1777" s="2" t="n">
        <x:v>101771</x:v>
      </x:c>
      <x:c r="B1777" s="10" t="n">
        <x:v>45545</x:v>
      </x:c>
      <x:c r="C1777" s="2" t="str">
        <x:v>Brasil</x:v>
      </x:c>
      <x:c r="D1777" s="2" t="str">
        <x:v>Moda Masculina</x:v>
      </x:c>
      <x:c r="E1777" s="11" t="n">
        <x:v>26</x:v>
      </x:c>
      <x:c r="F1777" s="12" t="n">
        <x:v>177.34</x:v>
      </x:c>
      <x:c r="G1777" s="12" t="n">
        <x:v>4610.84</x:v>
      </x:c>
      <x:c r="H1777" s="13" t="n">
        <x:v>322</x:v>
      </x:c>
      <x:c r="I1777" s="13" t="n">
        <x:f>YEAR(B1777)</x:f>
        <x:v>2024</x:v>
      </x:c>
      <x:c r="J1777" s="13" t="n">
        <x:f>MONTH(B1777)</x:f>
        <x:v>9</x:v>
      </x:c>
      <x:c r="K1777" s="14" t="n">
        <x:f>ROUND(E1777*F1777-G1777,10)</x:f>
        <x:v>0</x:v>
      </x:c>
      <x:c r="L1777" s="2"/>
      <x:c r="M1777" s="2"/>
      <x:c r="N1777" s="2"/>
      <x:c r="O1777" s="2"/>
      <x:c r="P1777" s="2"/>
      <x:c r="Q1777" s="2"/>
      <x:c r="R1777" s="2"/>
    </x:row>
    <x:row r="1778" ht="22" customHeight="1">
      <x:c r="A1778" s="2" t="n">
        <x:v>101772</x:v>
      </x:c>
      <x:c r="B1778" s="10" t="n">
        <x:v>45105</x:v>
      </x:c>
      <x:c r="C1778" s="2" t="str">
        <x:v>Brasil</x:v>
      </x:c>
      <x:c r="D1778" s="2" t="str">
        <x:v>Calçados</x:v>
      </x:c>
      <x:c r="E1778" s="11" t="n">
        <x:v>8</x:v>
      </x:c>
      <x:c r="F1778" s="12" t="n">
        <x:v>25.48</x:v>
      </x:c>
      <x:c r="G1778" s="12" t="n">
        <x:v>203.84</x:v>
      </x:c>
      <x:c r="H1778" s="13" t="n">
        <x:v>203</x:v>
      </x:c>
      <x:c r="I1778" s="13" t="n">
        <x:f>YEAR(B1778)</x:f>
        <x:v>2023</x:v>
      </x:c>
      <x:c r="J1778" s="13" t="n">
        <x:f>MONTH(B1778)</x:f>
        <x:v>6</x:v>
      </x:c>
      <x:c r="K1778" s="14" t="n">
        <x:f>ROUND(E1778*F1778-G1778,10)</x:f>
        <x:v>0</x:v>
      </x:c>
      <x:c r="L1778" s="2"/>
      <x:c r="M1778" s="2"/>
      <x:c r="N1778" s="2"/>
      <x:c r="O1778" s="2"/>
      <x:c r="P1778" s="2"/>
      <x:c r="Q1778" s="2"/>
      <x:c r="R1778" s="2"/>
    </x:row>
    <x:row r="1779" ht="22" customHeight="1">
      <x:c r="A1779" s="2" t="n">
        <x:v>101773</x:v>
      </x:c>
      <x:c r="B1779" s="10" t="n">
        <x:v>45369</x:v>
      </x:c>
      <x:c r="C1779" s="2" t="str">
        <x:v>Argentina</x:v>
      </x:c>
      <x:c r="D1779" s="2" t="str">
        <x:v>Calçados</x:v>
      </x:c>
      <x:c r="E1779" s="11" t="n">
        <x:v>6</x:v>
      </x:c>
      <x:c r="F1779" s="12" t="n">
        <x:v>36.36</x:v>
      </x:c>
      <x:c r="G1779" s="12" t="n">
        <x:v>218.16</x:v>
      </x:c>
      <x:c r="H1779" s="13" t="n">
        <x:v>298</x:v>
      </x:c>
      <x:c r="I1779" s="13" t="n">
        <x:f>YEAR(B1779)</x:f>
        <x:v>2024</x:v>
      </x:c>
      <x:c r="J1779" s="13" t="n">
        <x:f>MONTH(B1779)</x:f>
        <x:v>3</x:v>
      </x:c>
      <x:c r="K1779" s="14" t="n">
        <x:f>ROUND(E1779*F1779-G1779,10)</x:f>
        <x:v>0</x:v>
      </x:c>
      <x:c r="L1779" s="2"/>
      <x:c r="M1779" s="2"/>
      <x:c r="N1779" s="2"/>
      <x:c r="O1779" s="2"/>
      <x:c r="P1779" s="2"/>
      <x:c r="Q1779" s="2"/>
      <x:c r="R1779" s="2"/>
    </x:row>
    <x:row r="1780" ht="22" customHeight="1">
      <x:c r="A1780" s="2" t="n">
        <x:v>101774</x:v>
      </x:c>
      <x:c r="B1780" s="10" t="n">
        <x:v>45007</x:v>
      </x:c>
      <x:c r="C1780" s="2" t="str">
        <x:v>Colômbia</x:v>
      </x:c>
      <x:c r="D1780" s="2" t="str">
        <x:v>Acessórios</x:v>
      </x:c>
      <x:c r="E1780" s="11" t="n">
        <x:v>16</x:v>
      </x:c>
      <x:c r="F1780" s="12" t="n">
        <x:v>173.84</x:v>
      </x:c>
      <x:c r="G1780" s="12" t="n">
        <x:v>2781.44</x:v>
      </x:c>
      <x:c r="H1780" s="13" t="n">
        <x:v>328</x:v>
      </x:c>
      <x:c r="I1780" s="13" t="n">
        <x:f>YEAR(B1780)</x:f>
        <x:v>2023</x:v>
      </x:c>
      <x:c r="J1780" s="13" t="n">
        <x:f>MONTH(B1780)</x:f>
        <x:v>3</x:v>
      </x:c>
      <x:c r="K1780" s="14" t="n">
        <x:f>ROUND(E1780*F1780-G1780,10)</x:f>
        <x:v>0</x:v>
      </x:c>
      <x:c r="L1780" s="2"/>
      <x:c r="M1780" s="2"/>
      <x:c r="N1780" s="2"/>
      <x:c r="O1780" s="2"/>
      <x:c r="P1780" s="2"/>
      <x:c r="Q1780" s="2"/>
      <x:c r="R1780" s="2"/>
    </x:row>
    <x:row r="1781" ht="22" customHeight="1">
      <x:c r="A1781" s="2" t="n">
        <x:v>101775</x:v>
      </x:c>
      <x:c r="B1781" s="10" t="n">
        <x:v>44993</x:v>
      </x:c>
      <x:c r="C1781" s="2" t="str">
        <x:v>México</x:v>
      </x:c>
      <x:c r="D1781" s="2" t="str">
        <x:v>Moda Masculina</x:v>
      </x:c>
      <x:c r="E1781" s="11" t="n">
        <x:v>24</x:v>
      </x:c>
      <x:c r="F1781" s="12" t="n">
        <x:v>133.5</x:v>
      </x:c>
      <x:c r="G1781" s="12" t="n">
        <x:v>3204</x:v>
      </x:c>
      <x:c r="H1781" s="13" t="n">
        <x:v>489</x:v>
      </x:c>
      <x:c r="I1781" s="13" t="n">
        <x:f>YEAR(B1781)</x:f>
        <x:v>2023</x:v>
      </x:c>
      <x:c r="J1781" s="13" t="n">
        <x:f>MONTH(B1781)</x:f>
        <x:v>3</x:v>
      </x:c>
      <x:c r="K1781" s="14" t="n">
        <x:f>ROUND(E1781*F1781-G1781,10)</x:f>
        <x:v>0</x:v>
      </x:c>
      <x:c r="L1781" s="2"/>
      <x:c r="M1781" s="2"/>
      <x:c r="N1781" s="2"/>
      <x:c r="O1781" s="2"/>
      <x:c r="P1781" s="2"/>
      <x:c r="Q1781" s="2"/>
      <x:c r="R1781" s="2"/>
    </x:row>
    <x:row r="1782" ht="22" customHeight="1">
      <x:c r="A1782" s="2" t="n">
        <x:v>101776</x:v>
      </x:c>
      <x:c r="B1782" s="10" t="n">
        <x:v>45338</x:v>
      </x:c>
      <x:c r="C1782" s="2" t="str">
        <x:v>Chile</x:v>
      </x:c>
      <x:c r="D1782" s="2" t="str">
        <x:v>Acessórios</x:v>
      </x:c>
      <x:c r="E1782" s="11" t="n">
        <x:v>48</x:v>
      </x:c>
      <x:c r="F1782" s="12" t="n">
        <x:v>154.5</x:v>
      </x:c>
      <x:c r="G1782" s="12" t="n">
        <x:v>7416</x:v>
      </x:c>
      <x:c r="H1782" s="13" t="n">
        <x:v>485</x:v>
      </x:c>
      <x:c r="I1782" s="13" t="n">
        <x:f>YEAR(B1782)</x:f>
        <x:v>2024</x:v>
      </x:c>
      <x:c r="J1782" s="13" t="n">
        <x:f>MONTH(B1782)</x:f>
        <x:v>2</x:v>
      </x:c>
      <x:c r="K1782" s="14" t="n">
        <x:f>ROUND(E1782*F1782-G1782,10)</x:f>
        <x:v>0</x:v>
      </x:c>
      <x:c r="L1782" s="2"/>
      <x:c r="M1782" s="2"/>
      <x:c r="N1782" s="2"/>
      <x:c r="O1782" s="2"/>
      <x:c r="P1782" s="2"/>
      <x:c r="Q1782" s="2"/>
      <x:c r="R1782" s="2"/>
    </x:row>
    <x:row r="1783" ht="22" customHeight="1">
      <x:c r="A1783" s="2" t="n">
        <x:v>101777</x:v>
      </x:c>
      <x:c r="B1783" s="10" t="n">
        <x:v>45376</x:v>
      </x:c>
      <x:c r="C1783" s="2" t="str">
        <x:v>Peru</x:v>
      </x:c>
      <x:c r="D1783" s="2" t="str">
        <x:v>Moda Masculina</x:v>
      </x:c>
      <x:c r="E1783" s="11" t="n">
        <x:v>39</x:v>
      </x:c>
      <x:c r="F1783" s="12" t="n">
        <x:v>57.7</x:v>
      </x:c>
      <x:c r="G1783" s="12" t="n">
        <x:v>2250.3</x:v>
      </x:c>
      <x:c r="H1783" s="13" t="n">
        <x:v>353</x:v>
      </x:c>
      <x:c r="I1783" s="13" t="n">
        <x:f>YEAR(B1783)</x:f>
        <x:v>2024</x:v>
      </x:c>
      <x:c r="J1783" s="13" t="n">
        <x:f>MONTH(B1783)</x:f>
        <x:v>3</x:v>
      </x:c>
      <x:c r="K1783" s="14" t="n">
        <x:f>ROUND(E1783*F1783-G1783,10)</x:f>
        <x:v>0</x:v>
      </x:c>
      <x:c r="L1783" s="2"/>
      <x:c r="M1783" s="2"/>
      <x:c r="N1783" s="2"/>
      <x:c r="O1783" s="2"/>
      <x:c r="P1783" s="2"/>
      <x:c r="Q1783" s="2"/>
      <x:c r="R1783" s="2"/>
    </x:row>
    <x:row r="1784" ht="22" customHeight="1">
      <x:c r="A1784" s="2" t="n">
        <x:v>101778</x:v>
      </x:c>
      <x:c r="B1784" s="10" t="n">
        <x:v>45025</x:v>
      </x:c>
      <x:c r="C1784" s="2" t="str">
        <x:v>Chile</x:v>
      </x:c>
      <x:c r="D1784" s="2" t="str">
        <x:v>Acessórios</x:v>
      </x:c>
      <x:c r="E1784" s="11" t="n">
        <x:v>30</x:v>
      </x:c>
      <x:c r="F1784" s="12" t="n">
        <x:v>116.68</x:v>
      </x:c>
      <x:c r="G1784" s="12" t="n">
        <x:v>3500.4</x:v>
      </x:c>
      <x:c r="H1784" s="13" t="n">
        <x:v>325</x:v>
      </x:c>
      <x:c r="I1784" s="13" t="n">
        <x:f>YEAR(B1784)</x:f>
        <x:v>2023</x:v>
      </x:c>
      <x:c r="J1784" s="13" t="n">
        <x:f>MONTH(B1784)</x:f>
        <x:v>4</x:v>
      </x:c>
      <x:c r="K1784" s="14" t="n">
        <x:f>ROUND(E1784*F1784-G1784,10)</x:f>
        <x:v>0</x:v>
      </x:c>
      <x:c r="L1784" s="2"/>
      <x:c r="M1784" s="2"/>
      <x:c r="N1784" s="2"/>
      <x:c r="O1784" s="2"/>
      <x:c r="P1784" s="2"/>
      <x:c r="Q1784" s="2"/>
      <x:c r="R1784" s="2"/>
    </x:row>
    <x:row r="1785" ht="22" customHeight="1">
      <x:c r="A1785" s="2" t="n">
        <x:v>101779</x:v>
      </x:c>
      <x:c r="B1785" s="10" t="n">
        <x:v>45345</x:v>
      </x:c>
      <x:c r="C1785" s="2" t="str">
        <x:v>Peru</x:v>
      </x:c>
      <x:c r="D1785" s="2" t="str">
        <x:v>Calçados</x:v>
      </x:c>
      <x:c r="E1785" s="11" t="n">
        <x:v>45</x:v>
      </x:c>
      <x:c r="F1785" s="12" t="n">
        <x:v>152.7</x:v>
      </x:c>
      <x:c r="G1785" s="12" t="n">
        <x:v>6871.499999999999</x:v>
      </x:c>
      <x:c r="H1785" s="13" t="n">
        <x:v>51</x:v>
      </x:c>
      <x:c r="I1785" s="13" t="n">
        <x:f>YEAR(B1785)</x:f>
        <x:v>2024</x:v>
      </x:c>
      <x:c r="J1785" s="13" t="n">
        <x:f>MONTH(B1785)</x:f>
        <x:v>2</x:v>
      </x:c>
      <x:c r="K1785" s="14" t="n">
        <x:f>ROUND(E1785*F1785-G1785,10)</x:f>
        <x:v>0</x:v>
      </x:c>
      <x:c r="L1785" s="2"/>
      <x:c r="M1785" s="2"/>
      <x:c r="N1785" s="2"/>
      <x:c r="O1785" s="2"/>
      <x:c r="P1785" s="2"/>
      <x:c r="Q1785" s="2"/>
      <x:c r="R1785" s="2"/>
    </x:row>
    <x:row r="1786" ht="22" customHeight="1">
      <x:c r="A1786" s="2" t="n">
        <x:v>101780</x:v>
      </x:c>
      <x:c r="B1786" s="10" t="n">
        <x:v>45527</x:v>
      </x:c>
      <x:c r="C1786" s="2" t="str">
        <x:v>Argentina</x:v>
      </x:c>
      <x:c r="D1786" s="2" t="str">
        <x:v>Calçados</x:v>
      </x:c>
      <x:c r="E1786" s="11" t="n">
        <x:v>13</x:v>
      </x:c>
      <x:c r="F1786" s="12" t="n">
        <x:v>132.92</x:v>
      </x:c>
      <x:c r="G1786" s="12" t="n">
        <x:v>1727.96</x:v>
      </x:c>
      <x:c r="H1786" s="13" t="n">
        <x:v>137</x:v>
      </x:c>
      <x:c r="I1786" s="13" t="n">
        <x:f>YEAR(B1786)</x:f>
        <x:v>2024</x:v>
      </x:c>
      <x:c r="J1786" s="13" t="n">
        <x:f>MONTH(B1786)</x:f>
        <x:v>8</x:v>
      </x:c>
      <x:c r="K1786" s="14" t="n">
        <x:f>ROUND(E1786*F1786-G1786,10)</x:f>
        <x:v>0</x:v>
      </x:c>
      <x:c r="L1786" s="2"/>
      <x:c r="M1786" s="2"/>
      <x:c r="N1786" s="2"/>
      <x:c r="O1786" s="2"/>
      <x:c r="P1786" s="2"/>
      <x:c r="Q1786" s="2"/>
      <x:c r="R1786" s="2"/>
    </x:row>
    <x:row r="1787" ht="22" customHeight="1">
      <x:c r="A1787" s="2" t="n">
        <x:v>101781</x:v>
      </x:c>
      <x:c r="B1787" s="10" t="n">
        <x:v>45264</x:v>
      </x:c>
      <x:c r="C1787" s="2" t="str">
        <x:v>Brasil</x:v>
      </x:c>
      <x:c r="D1787" s="2" t="str">
        <x:v>Moda Feminina</x:v>
      </x:c>
      <x:c r="E1787" s="11" t="n">
        <x:v>5</x:v>
      </x:c>
      <x:c r="F1787" s="12" t="n">
        <x:v>104.91</x:v>
      </x:c>
      <x:c r="G1787" s="12" t="n">
        <x:v>524.55</x:v>
      </x:c>
      <x:c r="H1787" s="13" t="n">
        <x:v>336</x:v>
      </x:c>
      <x:c r="I1787" s="13" t="n">
        <x:f>YEAR(B1787)</x:f>
        <x:v>2023</x:v>
      </x:c>
      <x:c r="J1787" s="13" t="n">
        <x:f>MONTH(B1787)</x:f>
        <x:v>12</x:v>
      </x:c>
      <x:c r="K1787" s="14" t="n">
        <x:f>ROUND(E1787*F1787-G1787,10)</x:f>
        <x:v>0</x:v>
      </x:c>
      <x:c r="L1787" s="2"/>
      <x:c r="M1787" s="2"/>
      <x:c r="N1787" s="2"/>
      <x:c r="O1787" s="2"/>
      <x:c r="P1787" s="2"/>
      <x:c r="Q1787" s="2"/>
      <x:c r="R1787" s="2"/>
    </x:row>
    <x:row r="1788" ht="22" customHeight="1">
      <x:c r="A1788" s="2" t="n">
        <x:v>101782</x:v>
      </x:c>
      <x:c r="B1788" s="10" t="n">
        <x:v>45621</x:v>
      </x:c>
      <x:c r="C1788" s="2" t="str">
        <x:v>Argentina</x:v>
      </x:c>
      <x:c r="D1788" s="2" t="str">
        <x:v>Moda Infantil</x:v>
      </x:c>
      <x:c r="E1788" s="11" t="n">
        <x:v>25</x:v>
      </x:c>
      <x:c r="F1788" s="12" t="n">
        <x:v>192.76</x:v>
      </x:c>
      <x:c r="G1788" s="12" t="n">
        <x:v>4819</x:v>
      </x:c>
      <x:c r="H1788" s="13" t="n">
        <x:v>460</x:v>
      </x:c>
      <x:c r="I1788" s="13" t="n">
        <x:f>YEAR(B1788)</x:f>
        <x:v>2024</x:v>
      </x:c>
      <x:c r="J1788" s="13" t="n">
        <x:f>MONTH(B1788)</x:f>
        <x:v>11</x:v>
      </x:c>
      <x:c r="K1788" s="14" t="n">
        <x:f>ROUND(E1788*F1788-G1788,10)</x:f>
        <x:v>0</x:v>
      </x:c>
      <x:c r="L1788" s="2"/>
      <x:c r="M1788" s="2"/>
      <x:c r="N1788" s="2"/>
      <x:c r="O1788" s="2"/>
      <x:c r="P1788" s="2"/>
      <x:c r="Q1788" s="2"/>
      <x:c r="R1788" s="2"/>
    </x:row>
    <x:row r="1789" ht="22" customHeight="1">
      <x:c r="A1789" s="2" t="n">
        <x:v>101783</x:v>
      </x:c>
      <x:c r="B1789" s="10" t="n">
        <x:v>45054</x:v>
      </x:c>
      <x:c r="C1789" s="2" t="str">
        <x:v>Colômbia</x:v>
      </x:c>
      <x:c r="D1789" s="2" t="str">
        <x:v>Acessórios</x:v>
      </x:c>
      <x:c r="E1789" s="11" t="n">
        <x:v>20</x:v>
      </x:c>
      <x:c r="F1789" s="12" t="n">
        <x:v>141.71</x:v>
      </x:c>
      <x:c r="G1789" s="12" t="n">
        <x:v>2834.2</x:v>
      </x:c>
      <x:c r="H1789" s="13" t="n">
        <x:v>179</x:v>
      </x:c>
      <x:c r="I1789" s="13" t="n">
        <x:f>YEAR(B1789)</x:f>
        <x:v>2023</x:v>
      </x:c>
      <x:c r="J1789" s="13" t="n">
        <x:f>MONTH(B1789)</x:f>
        <x:v>5</x:v>
      </x:c>
      <x:c r="K1789" s="14" t="n">
        <x:f>ROUND(E1789*F1789-G1789,10)</x:f>
        <x:v>0</x:v>
      </x:c>
      <x:c r="L1789" s="2"/>
      <x:c r="M1789" s="2"/>
      <x:c r="N1789" s="2"/>
      <x:c r="O1789" s="2"/>
      <x:c r="P1789" s="2"/>
      <x:c r="Q1789" s="2"/>
      <x:c r="R1789" s="2"/>
    </x:row>
    <x:row r="1790" ht="22" customHeight="1">
      <x:c r="A1790" s="2" t="n">
        <x:v>101784</x:v>
      </x:c>
      <x:c r="B1790" s="10" t="n">
        <x:v>45190</x:v>
      </x:c>
      <x:c r="C1790" s="2" t="str">
        <x:v>Colômbia</x:v>
      </x:c>
      <x:c r="D1790" s="2" t="str">
        <x:v>Moda Feminina</x:v>
      </x:c>
      <x:c r="E1790" s="11" t="n">
        <x:v>18</x:v>
      </x:c>
      <x:c r="F1790" s="12" t="n">
        <x:v>183.4</x:v>
      </x:c>
      <x:c r="G1790" s="12" t="n">
        <x:v>3301.2</x:v>
      </x:c>
      <x:c r="H1790" s="13" t="n">
        <x:v>127</x:v>
      </x:c>
      <x:c r="I1790" s="13" t="n">
        <x:f>YEAR(B1790)</x:f>
        <x:v>2023</x:v>
      </x:c>
      <x:c r="J1790" s="13" t="n">
        <x:f>MONTH(B1790)</x:f>
        <x:v>9</x:v>
      </x:c>
      <x:c r="K1790" s="14" t="n">
        <x:f>ROUND(E1790*F1790-G1790,10)</x:f>
        <x:v>0</x:v>
      </x:c>
      <x:c r="L1790" s="2"/>
      <x:c r="M1790" s="2"/>
      <x:c r="N1790" s="2"/>
      <x:c r="O1790" s="2"/>
      <x:c r="P1790" s="2"/>
      <x:c r="Q1790" s="2"/>
      <x:c r="R1790" s="2"/>
    </x:row>
    <x:row r="1791" ht="22" customHeight="1">
      <x:c r="A1791" s="2" t="n">
        <x:v>101785</x:v>
      </x:c>
      <x:c r="B1791" s="10" t="n">
        <x:v>45180</x:v>
      </x:c>
      <x:c r="C1791" s="2" t="str">
        <x:v>Peru</x:v>
      </x:c>
      <x:c r="D1791" s="2" t="str">
        <x:v>Moda Infantil</x:v>
      </x:c>
      <x:c r="E1791" s="11" t="n">
        <x:v>47</x:v>
      </x:c>
      <x:c r="F1791" s="12" t="n">
        <x:v>151.36</x:v>
      </x:c>
      <x:c r="G1791" s="12" t="n">
        <x:v>7113.920000000001</x:v>
      </x:c>
      <x:c r="H1791" s="13" t="n">
        <x:v>309</x:v>
      </x:c>
      <x:c r="I1791" s="13" t="n">
        <x:f>YEAR(B1791)</x:f>
        <x:v>2023</x:v>
      </x:c>
      <x:c r="J1791" s="13" t="n">
        <x:f>MONTH(B1791)</x:f>
        <x:v>9</x:v>
      </x:c>
      <x:c r="K1791" s="14" t="n">
        <x:f>ROUND(E1791*F1791-G1791,10)</x:f>
        <x:v>0</x:v>
      </x:c>
      <x:c r="L1791" s="2"/>
      <x:c r="M1791" s="2"/>
      <x:c r="N1791" s="2"/>
      <x:c r="O1791" s="2"/>
      <x:c r="P1791" s="2"/>
      <x:c r="Q1791" s="2"/>
      <x:c r="R1791" s="2"/>
    </x:row>
    <x:row r="1792" ht="22" customHeight="1">
      <x:c r="A1792" s="2" t="n">
        <x:v>101786</x:v>
      </x:c>
      <x:c r="B1792" s="10" t="n">
        <x:v>44985</x:v>
      </x:c>
      <x:c r="C1792" s="2" t="str">
        <x:v>México</x:v>
      </x:c>
      <x:c r="D1792" s="2" t="str">
        <x:v>Acessórios</x:v>
      </x:c>
      <x:c r="E1792" s="11" t="n">
        <x:v>18</x:v>
      </x:c>
      <x:c r="F1792" s="12" t="n">
        <x:v>152.38</x:v>
      </x:c>
      <x:c r="G1792" s="12" t="n">
        <x:v>2742.84</x:v>
      </x:c>
      <x:c r="H1792" s="13" t="n">
        <x:v>290</x:v>
      </x:c>
      <x:c r="I1792" s="13" t="n">
        <x:f>YEAR(B1792)</x:f>
        <x:v>2023</x:v>
      </x:c>
      <x:c r="J1792" s="13" t="n">
        <x:f>MONTH(B1792)</x:f>
        <x:v>2</x:v>
      </x:c>
      <x:c r="K1792" s="14" t="n">
        <x:f>ROUND(E1792*F1792-G1792,10)</x:f>
        <x:v>0</x:v>
      </x:c>
      <x:c r="L1792" s="2"/>
      <x:c r="M1792" s="2"/>
      <x:c r="N1792" s="2"/>
      <x:c r="O1792" s="2"/>
      <x:c r="P1792" s="2"/>
      <x:c r="Q1792" s="2"/>
      <x:c r="R1792" s="2"/>
    </x:row>
    <x:row r="1793" ht="22" customHeight="1">
      <x:c r="A1793" s="2" t="n">
        <x:v>101787</x:v>
      </x:c>
      <x:c r="B1793" s="10" t="n">
        <x:v>45127</x:v>
      </x:c>
      <x:c r="C1793" s="2" t="str">
        <x:v>México</x:v>
      </x:c>
      <x:c r="D1793" s="2" t="str">
        <x:v>Moda Masculina</x:v>
      </x:c>
      <x:c r="E1793" s="11" t="n">
        <x:v>2</x:v>
      </x:c>
      <x:c r="F1793" s="12" t="n">
        <x:v>34.4</x:v>
      </x:c>
      <x:c r="G1793" s="12" t="n">
        <x:v>68.8</x:v>
      </x:c>
      <x:c r="H1793" s="13" t="n">
        <x:v>190</x:v>
      </x:c>
      <x:c r="I1793" s="13" t="n">
        <x:f>YEAR(B1793)</x:f>
        <x:v>2023</x:v>
      </x:c>
      <x:c r="J1793" s="13" t="n">
        <x:f>MONTH(B1793)</x:f>
        <x:v>7</x:v>
      </x:c>
      <x:c r="K1793" s="14" t="n">
        <x:f>ROUND(E1793*F1793-G1793,10)</x:f>
        <x:v>0</x:v>
      </x:c>
      <x:c r="L1793" s="2"/>
      <x:c r="M1793" s="2"/>
      <x:c r="N1793" s="2"/>
      <x:c r="O1793" s="2"/>
      <x:c r="P1793" s="2"/>
      <x:c r="Q1793" s="2"/>
      <x:c r="R1793" s="2"/>
    </x:row>
    <x:row r="1794" ht="22" customHeight="1">
      <x:c r="A1794" s="2" t="n">
        <x:v>101788</x:v>
      </x:c>
      <x:c r="B1794" s="10" t="n">
        <x:v>45090</x:v>
      </x:c>
      <x:c r="C1794" s="2" t="str">
        <x:v>Peru</x:v>
      </x:c>
      <x:c r="D1794" s="2" t="str">
        <x:v>Moda Infantil</x:v>
      </x:c>
      <x:c r="E1794" s="11" t="n">
        <x:v>10</x:v>
      </x:c>
      <x:c r="F1794" s="12" t="n">
        <x:v>84.7</x:v>
      </x:c>
      <x:c r="G1794" s="12" t="n">
        <x:v>847</x:v>
      </x:c>
      <x:c r="H1794" s="13" t="n">
        <x:v>277</x:v>
      </x:c>
      <x:c r="I1794" s="13" t="n">
        <x:f>YEAR(B1794)</x:f>
        <x:v>2023</x:v>
      </x:c>
      <x:c r="J1794" s="13" t="n">
        <x:f>MONTH(B1794)</x:f>
        <x:v>6</x:v>
      </x:c>
      <x:c r="K1794" s="14" t="n">
        <x:f>ROUND(E1794*F1794-G1794,10)</x:f>
        <x:v>0</x:v>
      </x:c>
      <x:c r="L1794" s="2"/>
      <x:c r="M1794" s="2"/>
      <x:c r="N1794" s="2"/>
      <x:c r="O1794" s="2"/>
      <x:c r="P1794" s="2"/>
      <x:c r="Q1794" s="2"/>
      <x:c r="R1794" s="2"/>
    </x:row>
    <x:row r="1795" ht="22" customHeight="1">
      <x:c r="A1795" s="2" t="n">
        <x:v>101789</x:v>
      </x:c>
      <x:c r="B1795" s="10" t="n">
        <x:v>45401</x:v>
      </x:c>
      <x:c r="C1795" s="2" t="str">
        <x:v>Colômbia</x:v>
      </x:c>
      <x:c r="D1795" s="2" t="str">
        <x:v>Calçados</x:v>
      </x:c>
      <x:c r="E1795" s="11" t="n">
        <x:v>45</x:v>
      </x:c>
      <x:c r="F1795" s="12" t="n">
        <x:v>174.51</x:v>
      </x:c>
      <x:c r="G1795" s="12" t="n">
        <x:v>7852.95</x:v>
      </x:c>
      <x:c r="H1795" s="13" t="n">
        <x:v>212</x:v>
      </x:c>
      <x:c r="I1795" s="13" t="n">
        <x:f>YEAR(B1795)</x:f>
        <x:v>2024</x:v>
      </x:c>
      <x:c r="J1795" s="13" t="n">
        <x:f>MONTH(B1795)</x:f>
        <x:v>4</x:v>
      </x:c>
      <x:c r="K1795" s="14" t="n">
        <x:f>ROUND(E1795*F1795-G1795,10)</x:f>
        <x:v>0</x:v>
      </x:c>
      <x:c r="L1795" s="2"/>
      <x:c r="M1795" s="2"/>
      <x:c r="N1795" s="2"/>
      <x:c r="O1795" s="2"/>
      <x:c r="P1795" s="2"/>
      <x:c r="Q1795" s="2"/>
      <x:c r="R1795" s="2"/>
    </x:row>
    <x:row r="1796" ht="22" customHeight="1">
      <x:c r="A1796" s="2" t="n">
        <x:v>101790</x:v>
      </x:c>
      <x:c r="B1796" s="10" t="n">
        <x:v>45334</x:v>
      </x:c>
      <x:c r="C1796" s="2" t="str">
        <x:v>Colômbia</x:v>
      </x:c>
      <x:c r="D1796" s="2" t="str">
        <x:v>Moda Feminina</x:v>
      </x:c>
      <x:c r="E1796" s="11" t="n">
        <x:v>47</x:v>
      </x:c>
      <x:c r="F1796" s="12" t="n">
        <x:v>61.87</x:v>
      </x:c>
      <x:c r="G1796" s="12" t="n">
        <x:v>2907.89</x:v>
      </x:c>
      <x:c r="H1796" s="13" t="n">
        <x:v>285</x:v>
      </x:c>
      <x:c r="I1796" s="13" t="n">
        <x:f>YEAR(B1796)</x:f>
        <x:v>2024</x:v>
      </x:c>
      <x:c r="J1796" s="13" t="n">
        <x:f>MONTH(B1796)</x:f>
        <x:v>2</x:v>
      </x:c>
      <x:c r="K1796" s="14" t="n">
        <x:f>ROUND(E1796*F1796-G1796,10)</x:f>
        <x:v>0</x:v>
      </x:c>
      <x:c r="L1796" s="2"/>
      <x:c r="M1796" s="2"/>
      <x:c r="N1796" s="2"/>
      <x:c r="O1796" s="2"/>
      <x:c r="P1796" s="2"/>
      <x:c r="Q1796" s="2"/>
      <x:c r="R1796" s="2"/>
    </x:row>
    <x:row r="1797" ht="22" customHeight="1">
      <x:c r="A1797" s="2" t="n">
        <x:v>101791</x:v>
      </x:c>
      <x:c r="B1797" s="10" t="n">
        <x:v>45234</x:v>
      </x:c>
      <x:c r="C1797" s="2" t="str">
        <x:v>Colômbia</x:v>
      </x:c>
      <x:c r="D1797" s="2" t="str">
        <x:v>Moda Infantil</x:v>
      </x:c>
      <x:c r="E1797" s="11" t="n">
        <x:v>12</x:v>
      </x:c>
      <x:c r="F1797" s="12" t="n">
        <x:v>40.79</x:v>
      </x:c>
      <x:c r="G1797" s="12" t="n">
        <x:v>489.48</x:v>
      </x:c>
      <x:c r="H1797" s="13" t="n">
        <x:v>177</x:v>
      </x:c>
      <x:c r="I1797" s="13" t="n">
        <x:f>YEAR(B1797)</x:f>
        <x:v>2023</x:v>
      </x:c>
      <x:c r="J1797" s="13" t="n">
        <x:f>MONTH(B1797)</x:f>
        <x:v>11</x:v>
      </x:c>
      <x:c r="K1797" s="14" t="n">
        <x:f>ROUND(E1797*F1797-G1797,10)</x:f>
        <x:v>0</x:v>
      </x:c>
      <x:c r="L1797" s="2"/>
      <x:c r="M1797" s="2"/>
      <x:c r="N1797" s="2"/>
      <x:c r="O1797" s="2"/>
      <x:c r="P1797" s="2"/>
      <x:c r="Q1797" s="2"/>
      <x:c r="R1797" s="2"/>
    </x:row>
    <x:row r="1798" ht="22" customHeight="1">
      <x:c r="A1798" s="2" t="n">
        <x:v>101792</x:v>
      </x:c>
      <x:c r="B1798" s="10" t="n">
        <x:v>45400</x:v>
      </x:c>
      <x:c r="C1798" s="2" t="str">
        <x:v>Argentina</x:v>
      </x:c>
      <x:c r="D1798" s="2" t="str">
        <x:v>Moda Infantil</x:v>
      </x:c>
      <x:c r="E1798" s="11" t="n">
        <x:v>47</x:v>
      </x:c>
      <x:c r="F1798" s="12" t="n">
        <x:v>78.7</x:v>
      </x:c>
      <x:c r="G1798" s="12" t="n">
        <x:v>3698.9</x:v>
      </x:c>
      <x:c r="H1798" s="13" t="n">
        <x:v>249</x:v>
      </x:c>
      <x:c r="I1798" s="13" t="n">
        <x:f>YEAR(B1798)</x:f>
        <x:v>2024</x:v>
      </x:c>
      <x:c r="J1798" s="13" t="n">
        <x:f>MONTH(B1798)</x:f>
        <x:v>4</x:v>
      </x:c>
      <x:c r="K1798" s="14" t="n">
        <x:f>ROUND(E1798*F1798-G1798,10)</x:f>
        <x:v>0</x:v>
      </x:c>
      <x:c r="L1798" s="2"/>
      <x:c r="M1798" s="2"/>
      <x:c r="N1798" s="2"/>
      <x:c r="O1798" s="2"/>
      <x:c r="P1798" s="2"/>
      <x:c r="Q1798" s="2"/>
      <x:c r="R1798" s="2"/>
    </x:row>
    <x:row r="1799" ht="22" customHeight="1">
      <x:c r="A1799" s="2" t="n">
        <x:v>101793</x:v>
      </x:c>
      <x:c r="B1799" s="10" t="n">
        <x:v>45346</x:v>
      </x:c>
      <x:c r="C1799" s="2" t="str">
        <x:v>Colômbia</x:v>
      </x:c>
      <x:c r="D1799" s="2" t="str">
        <x:v>Calçados</x:v>
      </x:c>
      <x:c r="E1799" s="11" t="n">
        <x:v>13</x:v>
      </x:c>
      <x:c r="F1799" s="12" t="n">
        <x:v>59.68</x:v>
      </x:c>
      <x:c r="G1799" s="12" t="n">
        <x:v>775.84</x:v>
      </x:c>
      <x:c r="H1799" s="13" t="n">
        <x:v>499</x:v>
      </x:c>
      <x:c r="I1799" s="13" t="n">
        <x:f>YEAR(B1799)</x:f>
        <x:v>2024</x:v>
      </x:c>
      <x:c r="J1799" s="13" t="n">
        <x:f>MONTH(B1799)</x:f>
        <x:v>2</x:v>
      </x:c>
      <x:c r="K1799" s="14" t="n">
        <x:f>ROUND(E1799*F1799-G1799,10)</x:f>
        <x:v>0</x:v>
      </x:c>
      <x:c r="L1799" s="2"/>
      <x:c r="M1799" s="2"/>
      <x:c r="N1799" s="2"/>
      <x:c r="O1799" s="2"/>
      <x:c r="P1799" s="2"/>
      <x:c r="Q1799" s="2"/>
      <x:c r="R1799" s="2"/>
    </x:row>
    <x:row r="1800" ht="22" customHeight="1">
      <x:c r="A1800" s="2" t="n">
        <x:v>101794</x:v>
      </x:c>
      <x:c r="B1800" s="10" t="n">
        <x:v>45342</x:v>
      </x:c>
      <x:c r="C1800" s="2" t="str">
        <x:v>Chile</x:v>
      </x:c>
      <x:c r="D1800" s="2" t="str">
        <x:v>Acessórios</x:v>
      </x:c>
      <x:c r="E1800" s="11" t="n">
        <x:v>47</x:v>
      </x:c>
      <x:c r="F1800" s="12" t="n">
        <x:v>186.55</x:v>
      </x:c>
      <x:c r="G1800" s="12" t="n">
        <x:v>8767.85</x:v>
      </x:c>
      <x:c r="H1800" s="13" t="n">
        <x:v>439</x:v>
      </x:c>
      <x:c r="I1800" s="13" t="n">
        <x:f>YEAR(B1800)</x:f>
        <x:v>2024</x:v>
      </x:c>
      <x:c r="J1800" s="13" t="n">
        <x:f>MONTH(B1800)</x:f>
        <x:v>2</x:v>
      </x:c>
      <x:c r="K1800" s="14" t="n">
        <x:f>ROUND(E1800*F1800-G1800,10)</x:f>
        <x:v>0</x:v>
      </x:c>
      <x:c r="L1800" s="2"/>
      <x:c r="M1800" s="2"/>
      <x:c r="N1800" s="2"/>
      <x:c r="O1800" s="2"/>
      <x:c r="P1800" s="2"/>
      <x:c r="Q1800" s="2"/>
      <x:c r="R1800" s="2"/>
    </x:row>
    <x:row r="1801" ht="22" customHeight="1">
      <x:c r="A1801" s="2" t="n">
        <x:v>101795</x:v>
      </x:c>
      <x:c r="B1801" s="10" t="n">
        <x:v>45523</x:v>
      </x:c>
      <x:c r="C1801" s="2" t="str">
        <x:v>Brasil</x:v>
      </x:c>
      <x:c r="D1801" s="2" t="str">
        <x:v>Moda Masculina</x:v>
      </x:c>
      <x:c r="E1801" s="11" t="n">
        <x:v>11</x:v>
      </x:c>
      <x:c r="F1801" s="12" t="n">
        <x:v>176.23</x:v>
      </x:c>
      <x:c r="G1801" s="12" t="n">
        <x:v>1938.53</x:v>
      </x:c>
      <x:c r="H1801" s="13" t="n">
        <x:v>80</x:v>
      </x:c>
      <x:c r="I1801" s="13" t="n">
        <x:f>YEAR(B1801)</x:f>
        <x:v>2024</x:v>
      </x:c>
      <x:c r="J1801" s="13" t="n">
        <x:f>MONTH(B1801)</x:f>
        <x:v>8</x:v>
      </x:c>
      <x:c r="K1801" s="14" t="n">
        <x:f>ROUND(E1801*F1801-G1801,10)</x:f>
        <x:v>0</x:v>
      </x:c>
      <x:c r="L1801" s="2"/>
      <x:c r="M1801" s="2"/>
      <x:c r="N1801" s="2"/>
      <x:c r="O1801" s="2"/>
      <x:c r="P1801" s="2"/>
      <x:c r="Q1801" s="2"/>
      <x:c r="R1801" s="2"/>
    </x:row>
    <x:row r="1802" ht="22" customHeight="1">
      <x:c r="A1802" s="2" t="n">
        <x:v>101796</x:v>
      </x:c>
      <x:c r="B1802" s="10" t="n">
        <x:v>44976</x:v>
      </x:c>
      <x:c r="C1802" s="2" t="str">
        <x:v>Colômbia</x:v>
      </x:c>
      <x:c r="D1802" s="2" t="str">
        <x:v>Calçados</x:v>
      </x:c>
      <x:c r="E1802" s="11" t="n">
        <x:v>19</x:v>
      </x:c>
      <x:c r="F1802" s="12" t="n">
        <x:v>109.94</x:v>
      </x:c>
      <x:c r="G1802" s="12" t="n">
        <x:v>2088.86</x:v>
      </x:c>
      <x:c r="H1802" s="13" t="n">
        <x:v>187</x:v>
      </x:c>
      <x:c r="I1802" s="13" t="n">
        <x:f>YEAR(B1802)</x:f>
        <x:v>2023</x:v>
      </x:c>
      <x:c r="J1802" s="13" t="n">
        <x:f>MONTH(B1802)</x:f>
        <x:v>2</x:v>
      </x:c>
      <x:c r="K1802" s="14" t="n">
        <x:f>ROUND(E1802*F1802-G1802,10)</x:f>
        <x:v>0</x:v>
      </x:c>
      <x:c r="L1802" s="2"/>
      <x:c r="M1802" s="2"/>
      <x:c r="N1802" s="2"/>
      <x:c r="O1802" s="2"/>
      <x:c r="P1802" s="2"/>
      <x:c r="Q1802" s="2"/>
      <x:c r="R1802" s="2"/>
    </x:row>
    <x:row r="1803" ht="22" customHeight="1">
      <x:c r="A1803" s="2" t="n">
        <x:v>101797</x:v>
      </x:c>
      <x:c r="B1803" s="10" t="n">
        <x:v>45297</x:v>
      </x:c>
      <x:c r="C1803" s="2" t="str">
        <x:v>Peru</x:v>
      </x:c>
      <x:c r="D1803" s="2" t="str">
        <x:v>Moda Masculina</x:v>
      </x:c>
      <x:c r="E1803" s="11" t="n">
        <x:v>35</x:v>
      </x:c>
      <x:c r="F1803" s="12" t="n">
        <x:v>31.04</x:v>
      </x:c>
      <x:c r="G1803" s="12" t="n">
        <x:v>1086.4</x:v>
      </x:c>
      <x:c r="H1803" s="13" t="n">
        <x:v>70</x:v>
      </x:c>
      <x:c r="I1803" s="13" t="n">
        <x:f>YEAR(B1803)</x:f>
        <x:v>2024</x:v>
      </x:c>
      <x:c r="J1803" s="13" t="n">
        <x:f>MONTH(B1803)</x:f>
        <x:v>1</x:v>
      </x:c>
      <x:c r="K1803" s="14" t="n">
        <x:f>ROUND(E1803*F1803-G1803,10)</x:f>
        <x:v>0</x:v>
      </x:c>
      <x:c r="L1803" s="2"/>
      <x:c r="M1803" s="2"/>
      <x:c r="N1803" s="2"/>
      <x:c r="O1803" s="2"/>
      <x:c r="P1803" s="2"/>
      <x:c r="Q1803" s="2"/>
      <x:c r="R1803" s="2"/>
    </x:row>
    <x:row r="1804" ht="22" customHeight="1">
      <x:c r="A1804" s="2" t="n">
        <x:v>101798</x:v>
      </x:c>
      <x:c r="B1804" s="10" t="n">
        <x:v>45144</x:v>
      </x:c>
      <x:c r="C1804" s="2" t="str">
        <x:v>Brasil</x:v>
      </x:c>
      <x:c r="D1804" s="2" t="str">
        <x:v>Acessórios</x:v>
      </x:c>
      <x:c r="E1804" s="11" t="n">
        <x:v>39</x:v>
      </x:c>
      <x:c r="F1804" s="12" t="n">
        <x:v>148.62</x:v>
      </x:c>
      <x:c r="G1804" s="12" t="n">
        <x:v>5796.18</x:v>
      </x:c>
      <x:c r="H1804" s="13" t="n">
        <x:v>283</x:v>
      </x:c>
      <x:c r="I1804" s="13" t="n">
        <x:f>YEAR(B1804)</x:f>
        <x:v>2023</x:v>
      </x:c>
      <x:c r="J1804" s="13" t="n">
        <x:f>MONTH(B1804)</x:f>
        <x:v>8</x:v>
      </x:c>
      <x:c r="K1804" s="14" t="n">
        <x:f>ROUND(E1804*F1804-G1804,10)</x:f>
        <x:v>0</x:v>
      </x:c>
      <x:c r="L1804" s="2"/>
      <x:c r="M1804" s="2"/>
      <x:c r="N1804" s="2"/>
      <x:c r="O1804" s="2"/>
      <x:c r="P1804" s="2"/>
      <x:c r="Q1804" s="2"/>
      <x:c r="R1804" s="2"/>
    </x:row>
    <x:row r="1805" ht="22" customHeight="1">
      <x:c r="A1805" s="2" t="n">
        <x:v>101799</x:v>
      </x:c>
      <x:c r="B1805" s="10" t="n">
        <x:v>45602</x:v>
      </x:c>
      <x:c r="C1805" s="2" t="str">
        <x:v>Argentina</x:v>
      </x:c>
      <x:c r="D1805" s="2" t="str">
        <x:v>Moda Infantil</x:v>
      </x:c>
      <x:c r="E1805" s="11" t="n">
        <x:v>26</x:v>
      </x:c>
      <x:c r="F1805" s="12" t="n">
        <x:v>132.21</x:v>
      </x:c>
      <x:c r="G1805" s="12" t="n">
        <x:v>3437.46</x:v>
      </x:c>
      <x:c r="H1805" s="13" t="n">
        <x:v>251</x:v>
      </x:c>
      <x:c r="I1805" s="13" t="n">
        <x:f>YEAR(B1805)</x:f>
        <x:v>2024</x:v>
      </x:c>
      <x:c r="J1805" s="13" t="n">
        <x:f>MONTH(B1805)</x:f>
        <x:v>11</x:v>
      </x:c>
      <x:c r="K1805" s="14" t="n">
        <x:f>ROUND(E1805*F1805-G1805,10)</x:f>
        <x:v>0</x:v>
      </x:c>
      <x:c r="L1805" s="2"/>
      <x:c r="M1805" s="2"/>
      <x:c r="N1805" s="2"/>
      <x:c r="O1805" s="2"/>
      <x:c r="P1805" s="2"/>
      <x:c r="Q1805" s="2"/>
      <x:c r="R1805" s="2"/>
    </x:row>
    <x:row r="1806" ht="22" customHeight="1">
      <x:c r="A1806" s="2" t="n">
        <x:v>101800</x:v>
      </x:c>
      <x:c r="B1806" s="10" t="n">
        <x:v>45111</x:v>
      </x:c>
      <x:c r="C1806" s="2" t="str">
        <x:v>Peru</x:v>
      </x:c>
      <x:c r="D1806" s="2" t="str">
        <x:v>Moda Masculina</x:v>
      </x:c>
      <x:c r="E1806" s="11" t="n">
        <x:v>46</x:v>
      </x:c>
      <x:c r="F1806" s="12" t="n">
        <x:v>194.7</x:v>
      </x:c>
      <x:c r="G1806" s="12" t="n">
        <x:v>8956.199999999999</x:v>
      </x:c>
      <x:c r="H1806" s="13" t="n">
        <x:v>328</x:v>
      </x:c>
      <x:c r="I1806" s="13" t="n">
        <x:f>YEAR(B1806)</x:f>
        <x:v>2023</x:v>
      </x:c>
      <x:c r="J1806" s="13" t="n">
        <x:f>MONTH(B1806)</x:f>
        <x:v>7</x:v>
      </x:c>
      <x:c r="K1806" s="14" t="n">
        <x:f>ROUND(E1806*F1806-G1806,10)</x:f>
        <x:v>0</x:v>
      </x:c>
      <x:c r="L1806" s="2"/>
      <x:c r="M1806" s="2"/>
      <x:c r="N1806" s="2"/>
      <x:c r="O1806" s="2"/>
      <x:c r="P1806" s="2"/>
      <x:c r="Q1806" s="2"/>
      <x:c r="R1806" s="2"/>
    </x:row>
    <x:row r="1807" ht="22" customHeight="1">
      <x:c r="A1807" s="2" t="n">
        <x:v>101801</x:v>
      </x:c>
      <x:c r="B1807" s="10" t="n">
        <x:v>45022</x:v>
      </x:c>
      <x:c r="C1807" s="2" t="str">
        <x:v>Brasil</x:v>
      </x:c>
      <x:c r="D1807" s="2" t="str">
        <x:v>Moda Feminina</x:v>
      </x:c>
      <x:c r="E1807" s="11" t="n">
        <x:v>14</x:v>
      </x:c>
      <x:c r="F1807" s="12" t="n">
        <x:v>120.61</x:v>
      </x:c>
      <x:c r="G1807" s="12" t="n">
        <x:v>1688.54</x:v>
      </x:c>
      <x:c r="H1807" s="13" t="n">
        <x:v>180</x:v>
      </x:c>
      <x:c r="I1807" s="13" t="n">
        <x:f>YEAR(B1807)</x:f>
        <x:v>2023</x:v>
      </x:c>
      <x:c r="J1807" s="13" t="n">
        <x:f>MONTH(B1807)</x:f>
        <x:v>4</x:v>
      </x:c>
      <x:c r="K1807" s="14" t="n">
        <x:f>ROUND(E1807*F1807-G1807,10)</x:f>
        <x:v>0</x:v>
      </x:c>
      <x:c r="L1807" s="2"/>
      <x:c r="M1807" s="2"/>
      <x:c r="N1807" s="2"/>
      <x:c r="O1807" s="2"/>
      <x:c r="P1807" s="2"/>
      <x:c r="Q1807" s="2"/>
      <x:c r="R1807" s="2"/>
    </x:row>
    <x:row r="1808" ht="22" customHeight="1">
      <x:c r="A1808" s="2" t="n">
        <x:v>101802</x:v>
      </x:c>
      <x:c r="B1808" s="10" t="n">
        <x:v>44983</x:v>
      </x:c>
      <x:c r="C1808" s="2" t="str">
        <x:v>Peru</x:v>
      </x:c>
      <x:c r="D1808" s="2" t="str">
        <x:v>Moda Feminina</x:v>
      </x:c>
      <x:c r="E1808" s="11" t="n">
        <x:v>45</x:v>
      </x:c>
      <x:c r="F1808" s="12" t="n">
        <x:v>80.55</x:v>
      </x:c>
      <x:c r="G1808" s="12" t="n">
        <x:v>3624.75</x:v>
      </x:c>
      <x:c r="H1808" s="13" t="n">
        <x:v>465</x:v>
      </x:c>
      <x:c r="I1808" s="13" t="n">
        <x:f>YEAR(B1808)</x:f>
        <x:v>2023</x:v>
      </x:c>
      <x:c r="J1808" s="13" t="n">
        <x:f>MONTH(B1808)</x:f>
        <x:v>2</x:v>
      </x:c>
      <x:c r="K1808" s="14" t="n">
        <x:f>ROUND(E1808*F1808-G1808,10)</x:f>
        <x:v>0</x:v>
      </x:c>
      <x:c r="L1808" s="2"/>
      <x:c r="M1808" s="2"/>
      <x:c r="N1808" s="2"/>
      <x:c r="O1808" s="2"/>
      <x:c r="P1808" s="2"/>
      <x:c r="Q1808" s="2"/>
      <x:c r="R1808" s="2"/>
    </x:row>
    <x:row r="1809" ht="22" customHeight="1">
      <x:c r="A1809" s="2" t="n">
        <x:v>101803</x:v>
      </x:c>
      <x:c r="B1809" s="10" t="n">
        <x:v>45111</x:v>
      </x:c>
      <x:c r="C1809" s="2" t="str">
        <x:v>Argentina</x:v>
      </x:c>
      <x:c r="D1809" s="2" t="str">
        <x:v>Calçados</x:v>
      </x:c>
      <x:c r="E1809" s="11" t="n">
        <x:v>44</x:v>
      </x:c>
      <x:c r="F1809" s="12" t="n">
        <x:v>113.42</x:v>
      </x:c>
      <x:c r="G1809" s="12" t="n">
        <x:v>4990.48</x:v>
      </x:c>
      <x:c r="H1809" s="13" t="n">
        <x:v>197</x:v>
      </x:c>
      <x:c r="I1809" s="13" t="n">
        <x:f>YEAR(B1809)</x:f>
        <x:v>2023</x:v>
      </x:c>
      <x:c r="J1809" s="13" t="n">
        <x:f>MONTH(B1809)</x:f>
        <x:v>7</x:v>
      </x:c>
      <x:c r="K1809" s="14" t="n">
        <x:f>ROUND(E1809*F1809-G1809,10)</x:f>
        <x:v>0</x:v>
      </x:c>
      <x:c r="L1809" s="2"/>
      <x:c r="M1809" s="2"/>
      <x:c r="N1809" s="2"/>
      <x:c r="O1809" s="2"/>
      <x:c r="P1809" s="2"/>
      <x:c r="Q1809" s="2"/>
      <x:c r="R1809" s="2"/>
    </x:row>
    <x:row r="1810" ht="22" customHeight="1">
      <x:c r="A1810" s="2" t="n">
        <x:v>101804</x:v>
      </x:c>
      <x:c r="B1810" s="10" t="n">
        <x:v>45516</x:v>
      </x:c>
      <x:c r="C1810" s="2" t="str">
        <x:v>Chile</x:v>
      </x:c>
      <x:c r="D1810" s="2" t="str">
        <x:v>Acessórios</x:v>
      </x:c>
      <x:c r="E1810" s="11" t="n">
        <x:v>24</x:v>
      </x:c>
      <x:c r="F1810" s="12" t="n">
        <x:v>196.27</x:v>
      </x:c>
      <x:c r="G1810" s="12" t="n">
        <x:v>4710.48</x:v>
      </x:c>
      <x:c r="H1810" s="13" t="n">
        <x:v>78</x:v>
      </x:c>
      <x:c r="I1810" s="13" t="n">
        <x:f>YEAR(B1810)</x:f>
        <x:v>2024</x:v>
      </x:c>
      <x:c r="J1810" s="13" t="n">
        <x:f>MONTH(B1810)</x:f>
        <x:v>8</x:v>
      </x:c>
      <x:c r="K1810" s="14" t="n">
        <x:f>ROUND(E1810*F1810-G1810,10)</x:f>
        <x:v>0</x:v>
      </x:c>
      <x:c r="L1810" s="2"/>
      <x:c r="M1810" s="2"/>
      <x:c r="N1810" s="2"/>
      <x:c r="O1810" s="2"/>
      <x:c r="P1810" s="2"/>
      <x:c r="Q1810" s="2"/>
      <x:c r="R1810" s="2"/>
    </x:row>
    <x:row r="1811" ht="22" customHeight="1">
      <x:c r="A1811" s="2" t="n">
        <x:v>101805</x:v>
      </x:c>
      <x:c r="B1811" s="10" t="n">
        <x:v>45197</x:v>
      </x:c>
      <x:c r="C1811" s="2" t="str">
        <x:v>Argentina</x:v>
      </x:c>
      <x:c r="D1811" s="2" t="str">
        <x:v>Calçados</x:v>
      </x:c>
      <x:c r="E1811" s="11" t="n">
        <x:v>41</x:v>
      </x:c>
      <x:c r="F1811" s="12" t="n">
        <x:v>145.35</x:v>
      </x:c>
      <x:c r="G1811" s="12" t="n">
        <x:v>5959.349999999999</x:v>
      </x:c>
      <x:c r="H1811" s="13" t="n">
        <x:v>410</x:v>
      </x:c>
      <x:c r="I1811" s="13" t="n">
        <x:f>YEAR(B1811)</x:f>
        <x:v>2023</x:v>
      </x:c>
      <x:c r="J1811" s="13" t="n">
        <x:f>MONTH(B1811)</x:f>
        <x:v>9</x:v>
      </x:c>
      <x:c r="K1811" s="14" t="n">
        <x:f>ROUND(E1811*F1811-G1811,10)</x:f>
        <x:v>0</x:v>
      </x:c>
      <x:c r="L1811" s="2"/>
      <x:c r="M1811" s="2"/>
      <x:c r="N1811" s="2"/>
      <x:c r="O1811" s="2"/>
      <x:c r="P1811" s="2"/>
      <x:c r="Q1811" s="2"/>
      <x:c r="R1811" s="2"/>
    </x:row>
    <x:row r="1812" ht="22" customHeight="1">
      <x:c r="A1812" s="2" t="n">
        <x:v>101806</x:v>
      </x:c>
      <x:c r="B1812" s="10" t="n">
        <x:v>45391</x:v>
      </x:c>
      <x:c r="C1812" s="2" t="str">
        <x:v>Argentina</x:v>
      </x:c>
      <x:c r="D1812" s="2" t="str">
        <x:v>Calçados</x:v>
      </x:c>
      <x:c r="E1812" s="11" t="n">
        <x:v>1</x:v>
      </x:c>
      <x:c r="F1812" s="12" t="n">
        <x:v>140.96</x:v>
      </x:c>
      <x:c r="G1812" s="12" t="n">
        <x:v>140.96</x:v>
      </x:c>
      <x:c r="H1812" s="13" t="n">
        <x:v>357</x:v>
      </x:c>
      <x:c r="I1812" s="13" t="n">
        <x:f>YEAR(B1812)</x:f>
        <x:v>2024</x:v>
      </x:c>
      <x:c r="J1812" s="13" t="n">
        <x:f>MONTH(B1812)</x:f>
        <x:v>4</x:v>
      </x:c>
      <x:c r="K1812" s="14" t="n">
        <x:f>ROUND(E1812*F1812-G1812,10)</x:f>
        <x:v>0</x:v>
      </x:c>
      <x:c r="L1812" s="2"/>
      <x:c r="M1812" s="2"/>
      <x:c r="N1812" s="2"/>
      <x:c r="O1812" s="2"/>
      <x:c r="P1812" s="2"/>
      <x:c r="Q1812" s="2"/>
      <x:c r="R1812" s="2"/>
    </x:row>
    <x:row r="1813" ht="22" customHeight="1">
      <x:c r="A1813" s="2" t="n">
        <x:v>101807</x:v>
      </x:c>
      <x:c r="B1813" s="10" t="n">
        <x:v>45117</x:v>
      </x:c>
      <x:c r="C1813" s="2" t="str">
        <x:v>Peru</x:v>
      </x:c>
      <x:c r="D1813" s="2" t="str">
        <x:v>Calçados</x:v>
      </x:c>
      <x:c r="E1813" s="11" t="n">
        <x:v>43</x:v>
      </x:c>
      <x:c r="F1813" s="12" t="n">
        <x:v>63.32</x:v>
      </x:c>
      <x:c r="G1813" s="12" t="n">
        <x:v>2722.76</x:v>
      </x:c>
      <x:c r="H1813" s="13" t="n">
        <x:v>420</x:v>
      </x:c>
      <x:c r="I1813" s="13" t="n">
        <x:f>YEAR(B1813)</x:f>
        <x:v>2023</x:v>
      </x:c>
      <x:c r="J1813" s="13" t="n">
        <x:f>MONTH(B1813)</x:f>
        <x:v>7</x:v>
      </x:c>
      <x:c r="K1813" s="14" t="n">
        <x:f>ROUND(E1813*F1813-G1813,10)</x:f>
        <x:v>0</x:v>
      </x:c>
      <x:c r="L1813" s="2"/>
      <x:c r="M1813" s="2"/>
      <x:c r="N1813" s="2"/>
      <x:c r="O1813" s="2"/>
      <x:c r="P1813" s="2"/>
      <x:c r="Q1813" s="2"/>
      <x:c r="R1813" s="2"/>
    </x:row>
    <x:row r="1814" ht="22" customHeight="1">
      <x:c r="A1814" s="2" t="n">
        <x:v>101808</x:v>
      </x:c>
      <x:c r="B1814" s="10" t="n">
        <x:v>45376</x:v>
      </x:c>
      <x:c r="C1814" s="2" t="str">
        <x:v>México</x:v>
      </x:c>
      <x:c r="D1814" s="2" t="str">
        <x:v>Moda Feminina</x:v>
      </x:c>
      <x:c r="E1814" s="11" t="n">
        <x:v>22</x:v>
      </x:c>
      <x:c r="F1814" s="12" t="n">
        <x:v>153.85</x:v>
      </x:c>
      <x:c r="G1814" s="12" t="n">
        <x:v>3384.7</x:v>
      </x:c>
      <x:c r="H1814" s="13" t="n">
        <x:v>479</x:v>
      </x:c>
      <x:c r="I1814" s="13" t="n">
        <x:f>YEAR(B1814)</x:f>
        <x:v>2024</x:v>
      </x:c>
      <x:c r="J1814" s="13" t="n">
        <x:f>MONTH(B1814)</x:f>
        <x:v>3</x:v>
      </x:c>
      <x:c r="K1814" s="14" t="n">
        <x:f>ROUND(E1814*F1814-G1814,10)</x:f>
        <x:v>0</x:v>
      </x:c>
      <x:c r="L1814" s="2"/>
      <x:c r="M1814" s="2"/>
      <x:c r="N1814" s="2"/>
      <x:c r="O1814" s="2"/>
      <x:c r="P1814" s="2"/>
      <x:c r="Q1814" s="2"/>
      <x:c r="R1814" s="2"/>
    </x:row>
    <x:row r="1815" ht="22" customHeight="1">
      <x:c r="A1815" s="2" t="n">
        <x:v>101809</x:v>
      </x:c>
      <x:c r="B1815" s="10" t="n">
        <x:v>45025</x:v>
      </x:c>
      <x:c r="C1815" s="2" t="str">
        <x:v>Colômbia</x:v>
      </x:c>
      <x:c r="D1815" s="2" t="str">
        <x:v>Moda Feminina</x:v>
      </x:c>
      <x:c r="E1815" s="11" t="n">
        <x:v>23</x:v>
      </x:c>
      <x:c r="F1815" s="12" t="n">
        <x:v>155.05</x:v>
      </x:c>
      <x:c r="G1815" s="12" t="n">
        <x:v>3566.15</x:v>
      </x:c>
      <x:c r="H1815" s="13" t="n">
        <x:v>211</x:v>
      </x:c>
      <x:c r="I1815" s="13" t="n">
        <x:f>YEAR(B1815)</x:f>
        <x:v>2023</x:v>
      </x:c>
      <x:c r="J1815" s="13" t="n">
        <x:f>MONTH(B1815)</x:f>
        <x:v>4</x:v>
      </x:c>
      <x:c r="K1815" s="14" t="n">
        <x:f>ROUND(E1815*F1815-G1815,10)</x:f>
        <x:v>0</x:v>
      </x:c>
      <x:c r="L1815" s="2"/>
      <x:c r="M1815" s="2"/>
      <x:c r="N1815" s="2"/>
      <x:c r="O1815" s="2"/>
      <x:c r="P1815" s="2"/>
      <x:c r="Q1815" s="2"/>
      <x:c r="R1815" s="2"/>
    </x:row>
    <x:row r="1816" ht="22" customHeight="1">
      <x:c r="A1816" s="2" t="n">
        <x:v>101810</x:v>
      </x:c>
      <x:c r="B1816" s="10" t="n">
        <x:v>45387</x:v>
      </x:c>
      <x:c r="C1816" s="2" t="str">
        <x:v>Colômbia</x:v>
      </x:c>
      <x:c r="D1816" s="2" t="str">
        <x:v>Calçados</x:v>
      </x:c>
      <x:c r="E1816" s="11" t="n">
        <x:v>19</x:v>
      </x:c>
      <x:c r="F1816" s="12" t="n">
        <x:v>77.11</x:v>
      </x:c>
      <x:c r="G1816" s="12" t="n">
        <x:v>1465.09</x:v>
      </x:c>
      <x:c r="H1816" s="13" t="n">
        <x:v>406</x:v>
      </x:c>
      <x:c r="I1816" s="13" t="n">
        <x:f>YEAR(B1816)</x:f>
        <x:v>2024</x:v>
      </x:c>
      <x:c r="J1816" s="13" t="n">
        <x:f>MONTH(B1816)</x:f>
        <x:v>4</x:v>
      </x:c>
      <x:c r="K1816" s="14" t="n">
        <x:f>ROUND(E1816*F1816-G1816,10)</x:f>
        <x:v>0</x:v>
      </x:c>
      <x:c r="L1816" s="2"/>
      <x:c r="M1816" s="2"/>
      <x:c r="N1816" s="2"/>
      <x:c r="O1816" s="2"/>
      <x:c r="P1816" s="2"/>
      <x:c r="Q1816" s="2"/>
      <x:c r="R1816" s="2"/>
    </x:row>
    <x:row r="1817" ht="22" customHeight="1">
      <x:c r="A1817" s="2" t="n">
        <x:v>101811</x:v>
      </x:c>
      <x:c r="B1817" s="10" t="n">
        <x:v>45483</x:v>
      </x:c>
      <x:c r="C1817" s="2" t="str">
        <x:v>Chile</x:v>
      </x:c>
      <x:c r="D1817" s="2" t="str">
        <x:v>Moda Feminina</x:v>
      </x:c>
      <x:c r="E1817" s="11" t="n">
        <x:v>18</x:v>
      </x:c>
      <x:c r="F1817" s="12" t="n">
        <x:v>107.07</x:v>
      </x:c>
      <x:c r="G1817" s="12" t="n">
        <x:v>1927.26</x:v>
      </x:c>
      <x:c r="H1817" s="13" t="n">
        <x:v>389</x:v>
      </x:c>
      <x:c r="I1817" s="13" t="n">
        <x:f>YEAR(B1817)</x:f>
        <x:v>2024</x:v>
      </x:c>
      <x:c r="J1817" s="13" t="n">
        <x:f>MONTH(B1817)</x:f>
        <x:v>7</x:v>
      </x:c>
      <x:c r="K1817" s="14" t="n">
        <x:f>ROUND(E1817*F1817-G1817,10)</x:f>
        <x:v>0</x:v>
      </x:c>
      <x:c r="L1817" s="2"/>
      <x:c r="M1817" s="2"/>
      <x:c r="N1817" s="2"/>
      <x:c r="O1817" s="2"/>
      <x:c r="P1817" s="2"/>
      <x:c r="Q1817" s="2"/>
      <x:c r="R1817" s="2"/>
    </x:row>
    <x:row r="1818" ht="22" customHeight="1">
      <x:c r="A1818" s="2" t="n">
        <x:v>101812</x:v>
      </x:c>
      <x:c r="B1818" s="10" t="n">
        <x:v>45342</x:v>
      </x:c>
      <x:c r="C1818" s="2" t="str">
        <x:v>Chile</x:v>
      </x:c>
      <x:c r="D1818" s="2" t="str">
        <x:v>Acessórios</x:v>
      </x:c>
      <x:c r="E1818" s="11" t="n">
        <x:v>12</x:v>
      </x:c>
      <x:c r="F1818" s="12" t="n">
        <x:v>73.03</x:v>
      </x:c>
      <x:c r="G1818" s="12" t="n">
        <x:v>876.36</x:v>
      </x:c>
      <x:c r="H1818" s="13" t="n">
        <x:v>110</x:v>
      </x:c>
      <x:c r="I1818" s="13" t="n">
        <x:f>YEAR(B1818)</x:f>
        <x:v>2024</x:v>
      </x:c>
      <x:c r="J1818" s="13" t="n">
        <x:f>MONTH(B1818)</x:f>
        <x:v>2</x:v>
      </x:c>
      <x:c r="K1818" s="14" t="n">
        <x:f>ROUND(E1818*F1818-G1818,10)</x:f>
        <x:v>0</x:v>
      </x:c>
      <x:c r="L1818" s="2"/>
      <x:c r="M1818" s="2"/>
      <x:c r="N1818" s="2"/>
      <x:c r="O1818" s="2"/>
      <x:c r="P1818" s="2"/>
      <x:c r="Q1818" s="2"/>
      <x:c r="R1818" s="2"/>
    </x:row>
    <x:row r="1819" ht="22" customHeight="1">
      <x:c r="A1819" s="2" t="n">
        <x:v>101813</x:v>
      </x:c>
      <x:c r="B1819" s="10" t="n">
        <x:v>45329</x:v>
      </x:c>
      <x:c r="C1819" s="2" t="str">
        <x:v>Colômbia</x:v>
      </x:c>
      <x:c r="D1819" s="2" t="str">
        <x:v>Calçados</x:v>
      </x:c>
      <x:c r="E1819" s="11" t="n">
        <x:v>28</x:v>
      </x:c>
      <x:c r="F1819" s="12" t="n">
        <x:v>66.57</x:v>
      </x:c>
      <x:c r="G1819" s="12" t="n">
        <x:v>1863.96</x:v>
      </x:c>
      <x:c r="H1819" s="13" t="n">
        <x:v>174</x:v>
      </x:c>
      <x:c r="I1819" s="13" t="n">
        <x:f>YEAR(B1819)</x:f>
        <x:v>2024</x:v>
      </x:c>
      <x:c r="J1819" s="13" t="n">
        <x:f>MONTH(B1819)</x:f>
        <x:v>2</x:v>
      </x:c>
      <x:c r="K1819" s="14" t="n">
        <x:f>ROUND(E1819*F1819-G1819,10)</x:f>
        <x:v>0</x:v>
      </x:c>
      <x:c r="L1819" s="2"/>
      <x:c r="M1819" s="2"/>
      <x:c r="N1819" s="2"/>
      <x:c r="O1819" s="2"/>
      <x:c r="P1819" s="2"/>
      <x:c r="Q1819" s="2"/>
      <x:c r="R1819" s="2"/>
    </x:row>
    <x:row r="1820" ht="22" customHeight="1">
      <x:c r="A1820" s="2" t="n">
        <x:v>101814</x:v>
      </x:c>
      <x:c r="B1820" s="10" t="n">
        <x:v>45475</x:v>
      </x:c>
      <x:c r="C1820" s="2" t="str">
        <x:v>México</x:v>
      </x:c>
      <x:c r="D1820" s="2" t="str">
        <x:v>Moda Feminina</x:v>
      </x:c>
      <x:c r="E1820" s="11" t="n">
        <x:v>28</x:v>
      </x:c>
      <x:c r="F1820" s="12" t="n">
        <x:v>24.66</x:v>
      </x:c>
      <x:c r="G1820" s="12" t="n">
        <x:v>690.48</x:v>
      </x:c>
      <x:c r="H1820" s="13" t="n">
        <x:v>120</x:v>
      </x:c>
      <x:c r="I1820" s="13" t="n">
        <x:f>YEAR(B1820)</x:f>
        <x:v>2024</x:v>
      </x:c>
      <x:c r="J1820" s="13" t="n">
        <x:f>MONTH(B1820)</x:f>
        <x:v>7</x:v>
      </x:c>
      <x:c r="K1820" s="14" t="n">
        <x:f>ROUND(E1820*F1820-G1820,10)</x:f>
        <x:v>0</x:v>
      </x:c>
      <x:c r="L1820" s="2"/>
      <x:c r="M1820" s="2"/>
      <x:c r="N1820" s="2"/>
      <x:c r="O1820" s="2"/>
      <x:c r="P1820" s="2"/>
      <x:c r="Q1820" s="2"/>
      <x:c r="R1820" s="2"/>
    </x:row>
    <x:row r="1821" ht="22" customHeight="1">
      <x:c r="A1821" s="2" t="n">
        <x:v>101815</x:v>
      </x:c>
      <x:c r="B1821" s="10" t="n">
        <x:v>45397</x:v>
      </x:c>
      <x:c r="C1821" s="2" t="str">
        <x:v>Colômbia</x:v>
      </x:c>
      <x:c r="D1821" s="2" t="str">
        <x:v>Moda Masculina</x:v>
      </x:c>
      <x:c r="E1821" s="11" t="n">
        <x:v>33</x:v>
      </x:c>
      <x:c r="F1821" s="12" t="n">
        <x:v>71.34</x:v>
      </x:c>
      <x:c r="G1821" s="12" t="n">
        <x:v>2354.22</x:v>
      </x:c>
      <x:c r="H1821" s="13" t="n">
        <x:v>375</x:v>
      </x:c>
      <x:c r="I1821" s="13" t="n">
        <x:f>YEAR(B1821)</x:f>
        <x:v>2024</x:v>
      </x:c>
      <x:c r="J1821" s="13" t="n">
        <x:f>MONTH(B1821)</x:f>
        <x:v>4</x:v>
      </x:c>
      <x:c r="K1821" s="14" t="n">
        <x:f>ROUND(E1821*F1821-G1821,10)</x:f>
        <x:v>0</x:v>
      </x:c>
      <x:c r="L1821" s="2"/>
      <x:c r="M1821" s="2"/>
      <x:c r="N1821" s="2"/>
      <x:c r="O1821" s="2"/>
      <x:c r="P1821" s="2"/>
      <x:c r="Q1821" s="2"/>
      <x:c r="R1821" s="2"/>
    </x:row>
    <x:row r="1822" ht="22" customHeight="1">
      <x:c r="A1822" s="2" t="n">
        <x:v>101816</x:v>
      </x:c>
      <x:c r="B1822" s="10" t="n">
        <x:v>45558</x:v>
      </x:c>
      <x:c r="C1822" s="2" t="str">
        <x:v>México</x:v>
      </x:c>
      <x:c r="D1822" s="2" t="str">
        <x:v>Calçados</x:v>
      </x:c>
      <x:c r="E1822" s="11" t="n">
        <x:v>19</x:v>
      </x:c>
      <x:c r="F1822" s="12" t="n">
        <x:v>119.71</x:v>
      </x:c>
      <x:c r="G1822" s="12" t="n">
        <x:v>2274.49</x:v>
      </x:c>
      <x:c r="H1822" s="13" t="n">
        <x:v>444</x:v>
      </x:c>
      <x:c r="I1822" s="13" t="n">
        <x:f>YEAR(B1822)</x:f>
        <x:v>2024</x:v>
      </x:c>
      <x:c r="J1822" s="13" t="n">
        <x:f>MONTH(B1822)</x:f>
        <x:v>9</x:v>
      </x:c>
      <x:c r="K1822" s="14" t="n">
        <x:f>ROUND(E1822*F1822-G1822,10)</x:f>
        <x:v>0</x:v>
      </x:c>
      <x:c r="L1822" s="2"/>
      <x:c r="M1822" s="2"/>
      <x:c r="N1822" s="2"/>
      <x:c r="O1822" s="2"/>
      <x:c r="P1822" s="2"/>
      <x:c r="Q1822" s="2"/>
      <x:c r="R1822" s="2"/>
    </x:row>
    <x:row r="1823" ht="22" customHeight="1">
      <x:c r="A1823" s="2" t="n">
        <x:v>101817</x:v>
      </x:c>
      <x:c r="B1823" s="10" t="n">
        <x:v>45431</x:v>
      </x:c>
      <x:c r="C1823" s="2" t="str">
        <x:v>Chile</x:v>
      </x:c>
      <x:c r="D1823" s="2" t="str">
        <x:v>Calçados</x:v>
      </x:c>
      <x:c r="E1823" s="11" t="n">
        <x:v>28</x:v>
      </x:c>
      <x:c r="F1823" s="12" t="n">
        <x:v>20.29</x:v>
      </x:c>
      <x:c r="G1823" s="12" t="n">
        <x:v>568.12</x:v>
      </x:c>
      <x:c r="H1823" s="13" t="n">
        <x:v>413</x:v>
      </x:c>
      <x:c r="I1823" s="13" t="n">
        <x:f>YEAR(B1823)</x:f>
        <x:v>2024</x:v>
      </x:c>
      <x:c r="J1823" s="13" t="n">
        <x:f>MONTH(B1823)</x:f>
        <x:v>5</x:v>
      </x:c>
      <x:c r="K1823" s="14" t="n">
        <x:f>ROUND(E1823*F1823-G1823,10)</x:f>
        <x:v>0</x:v>
      </x:c>
      <x:c r="L1823" s="2"/>
      <x:c r="M1823" s="2"/>
      <x:c r="N1823" s="2"/>
      <x:c r="O1823" s="2"/>
      <x:c r="P1823" s="2"/>
      <x:c r="Q1823" s="2"/>
      <x:c r="R1823" s="2"/>
    </x:row>
    <x:row r="1824" ht="22" customHeight="1">
      <x:c r="A1824" s="2" t="n">
        <x:v>101818</x:v>
      </x:c>
      <x:c r="B1824" s="10" t="n">
        <x:v>45109</x:v>
      </x:c>
      <x:c r="C1824" s="2" t="str">
        <x:v>Brasil</x:v>
      </x:c>
      <x:c r="D1824" s="2" t="str">
        <x:v>Acessórios</x:v>
      </x:c>
      <x:c r="E1824" s="11" t="n">
        <x:v>49</x:v>
      </x:c>
      <x:c r="F1824" s="12" t="n">
        <x:v>70.98</x:v>
      </x:c>
      <x:c r="G1824" s="12" t="n">
        <x:v>3478.02</x:v>
      </x:c>
      <x:c r="H1824" s="13" t="n">
        <x:v>292</x:v>
      </x:c>
      <x:c r="I1824" s="13" t="n">
        <x:f>YEAR(B1824)</x:f>
        <x:v>2023</x:v>
      </x:c>
      <x:c r="J1824" s="13" t="n">
        <x:f>MONTH(B1824)</x:f>
        <x:v>7</x:v>
      </x:c>
      <x:c r="K1824" s="14" t="n">
        <x:f>ROUND(E1824*F1824-G1824,10)</x:f>
        <x:v>0</x:v>
      </x:c>
      <x:c r="L1824" s="2"/>
      <x:c r="M1824" s="2"/>
      <x:c r="N1824" s="2"/>
      <x:c r="O1824" s="2"/>
      <x:c r="P1824" s="2"/>
      <x:c r="Q1824" s="2"/>
      <x:c r="R1824" s="2"/>
    </x:row>
    <x:row r="1825" ht="22" customHeight="1">
      <x:c r="A1825" s="2" t="n">
        <x:v>101819</x:v>
      </x:c>
      <x:c r="B1825" s="10" t="n">
        <x:v>45549</x:v>
      </x:c>
      <x:c r="C1825" s="2" t="str">
        <x:v>Peru</x:v>
      </x:c>
      <x:c r="D1825" s="2" t="str">
        <x:v>Moda Infantil</x:v>
      </x:c>
      <x:c r="E1825" s="11" t="n">
        <x:v>37</x:v>
      </x:c>
      <x:c r="F1825" s="12" t="n">
        <x:v>178.65</x:v>
      </x:c>
      <x:c r="G1825" s="12" t="n">
        <x:v>6610.05</x:v>
      </x:c>
      <x:c r="H1825" s="13" t="n">
        <x:v>298</x:v>
      </x:c>
      <x:c r="I1825" s="13" t="n">
        <x:f>YEAR(B1825)</x:f>
        <x:v>2024</x:v>
      </x:c>
      <x:c r="J1825" s="13" t="n">
        <x:f>MONTH(B1825)</x:f>
        <x:v>9</x:v>
      </x:c>
      <x:c r="K1825" s="14" t="n">
        <x:f>ROUND(E1825*F1825-G1825,10)</x:f>
        <x:v>0</x:v>
      </x:c>
      <x:c r="L1825" s="2"/>
      <x:c r="M1825" s="2"/>
      <x:c r="N1825" s="2"/>
      <x:c r="O1825" s="2"/>
      <x:c r="P1825" s="2"/>
      <x:c r="Q1825" s="2"/>
      <x:c r="R1825" s="2"/>
    </x:row>
    <x:row r="1826" ht="22" customHeight="1">
      <x:c r="A1826" s="2" t="n">
        <x:v>101820</x:v>
      </x:c>
      <x:c r="B1826" s="10" t="n">
        <x:v>45317</x:v>
      </x:c>
      <x:c r="C1826" s="2" t="str">
        <x:v>Chile</x:v>
      </x:c>
      <x:c r="D1826" s="2" t="str">
        <x:v>Moda Infantil</x:v>
      </x:c>
      <x:c r="E1826" s="11" t="n">
        <x:v>26</x:v>
      </x:c>
      <x:c r="F1826" s="12" t="n">
        <x:v>126.86</x:v>
      </x:c>
      <x:c r="G1826" s="12" t="n">
        <x:v>3298.36</x:v>
      </x:c>
      <x:c r="H1826" s="13" t="n">
        <x:v>270</x:v>
      </x:c>
      <x:c r="I1826" s="13" t="n">
        <x:f>YEAR(B1826)</x:f>
        <x:v>2024</x:v>
      </x:c>
      <x:c r="J1826" s="13" t="n">
        <x:f>MONTH(B1826)</x:f>
        <x:v>1</x:v>
      </x:c>
      <x:c r="K1826" s="14" t="n">
        <x:f>ROUND(E1826*F1826-G1826,10)</x:f>
        <x:v>0</x:v>
      </x:c>
      <x:c r="L1826" s="2"/>
      <x:c r="M1826" s="2"/>
      <x:c r="N1826" s="2"/>
      <x:c r="O1826" s="2"/>
      <x:c r="P1826" s="2"/>
      <x:c r="Q1826" s="2"/>
      <x:c r="R1826" s="2"/>
    </x:row>
    <x:row r="1827" ht="22" customHeight="1">
      <x:c r="A1827" s="2" t="n">
        <x:v>101821</x:v>
      </x:c>
      <x:c r="B1827" s="10" t="n">
        <x:v>45068</x:v>
      </x:c>
      <x:c r="C1827" s="2" t="str">
        <x:v>Chile</x:v>
      </x:c>
      <x:c r="D1827" s="2" t="str">
        <x:v>Acessórios</x:v>
      </x:c>
      <x:c r="E1827" s="11" t="n">
        <x:v>35</x:v>
      </x:c>
      <x:c r="F1827" s="12" t="n">
        <x:v>129.42</x:v>
      </x:c>
      <x:c r="G1827" s="12" t="n">
        <x:v>4529.7</x:v>
      </x:c>
      <x:c r="H1827" s="13" t="n">
        <x:v>496</x:v>
      </x:c>
      <x:c r="I1827" s="13" t="n">
        <x:f>YEAR(B1827)</x:f>
        <x:v>2023</x:v>
      </x:c>
      <x:c r="J1827" s="13" t="n">
        <x:f>MONTH(B1827)</x:f>
        <x:v>5</x:v>
      </x:c>
      <x:c r="K1827" s="14" t="n">
        <x:f>ROUND(E1827*F1827-G1827,10)</x:f>
        <x:v>0</x:v>
      </x:c>
      <x:c r="L1827" s="2"/>
      <x:c r="M1827" s="2"/>
      <x:c r="N1827" s="2"/>
      <x:c r="O1827" s="2"/>
      <x:c r="P1827" s="2"/>
      <x:c r="Q1827" s="2"/>
      <x:c r="R1827" s="2"/>
    </x:row>
    <x:row r="1828" ht="22" customHeight="1">
      <x:c r="A1828" s="2" t="n">
        <x:v>101822</x:v>
      </x:c>
      <x:c r="B1828" s="10" t="n">
        <x:v>45344</x:v>
      </x:c>
      <x:c r="C1828" s="2" t="str">
        <x:v>Argentina</x:v>
      </x:c>
      <x:c r="D1828" s="2" t="str">
        <x:v>Acessórios</x:v>
      </x:c>
      <x:c r="E1828" s="11" t="n">
        <x:v>34</x:v>
      </x:c>
      <x:c r="F1828" s="12" t="n">
        <x:v>92.61</x:v>
      </x:c>
      <x:c r="G1828" s="12" t="n">
        <x:v>3148.74</x:v>
      </x:c>
      <x:c r="H1828" s="13" t="n">
        <x:v>70</x:v>
      </x:c>
      <x:c r="I1828" s="13" t="n">
        <x:f>YEAR(B1828)</x:f>
        <x:v>2024</x:v>
      </x:c>
      <x:c r="J1828" s="13" t="n">
        <x:f>MONTH(B1828)</x:f>
        <x:v>2</x:v>
      </x:c>
      <x:c r="K1828" s="14" t="n">
        <x:f>ROUND(E1828*F1828-G1828,10)</x:f>
        <x:v>0</x:v>
      </x:c>
      <x:c r="L1828" s="2"/>
      <x:c r="M1828" s="2"/>
      <x:c r="N1828" s="2"/>
      <x:c r="O1828" s="2"/>
      <x:c r="P1828" s="2"/>
      <x:c r="Q1828" s="2"/>
      <x:c r="R1828" s="2"/>
    </x:row>
    <x:row r="1829" ht="22" customHeight="1">
      <x:c r="A1829" s="2" t="n">
        <x:v>101823</x:v>
      </x:c>
      <x:c r="B1829" s="10" t="n">
        <x:v>45579</x:v>
      </x:c>
      <x:c r="C1829" s="2" t="str">
        <x:v>Argentina</x:v>
      </x:c>
      <x:c r="D1829" s="2" t="str">
        <x:v>Acessórios</x:v>
      </x:c>
      <x:c r="E1829" s="11" t="n">
        <x:v>35</x:v>
      </x:c>
      <x:c r="F1829" s="12" t="n">
        <x:v>141.76</x:v>
      </x:c>
      <x:c r="G1829" s="12" t="n">
        <x:v>4961.599999999999</x:v>
      </x:c>
      <x:c r="H1829" s="13" t="n">
        <x:v>436</x:v>
      </x:c>
      <x:c r="I1829" s="13" t="n">
        <x:f>YEAR(B1829)</x:f>
        <x:v>2024</x:v>
      </x:c>
      <x:c r="J1829" s="13" t="n">
        <x:f>MONTH(B1829)</x:f>
        <x:v>10</x:v>
      </x:c>
      <x:c r="K1829" s="14" t="n">
        <x:f>ROUND(E1829*F1829-G1829,10)</x:f>
        <x:v>0</x:v>
      </x:c>
      <x:c r="L1829" s="2"/>
      <x:c r="M1829" s="2"/>
      <x:c r="N1829" s="2"/>
      <x:c r="O1829" s="2"/>
      <x:c r="P1829" s="2"/>
      <x:c r="Q1829" s="2"/>
      <x:c r="R1829" s="2"/>
    </x:row>
    <x:row r="1830" ht="22" customHeight="1">
      <x:c r="A1830" s="2" t="n">
        <x:v>101824</x:v>
      </x:c>
      <x:c r="B1830" s="10" t="n">
        <x:v>45053</x:v>
      </x:c>
      <x:c r="C1830" s="2" t="str">
        <x:v>Argentina</x:v>
      </x:c>
      <x:c r="D1830" s="2" t="str">
        <x:v>Moda Infantil</x:v>
      </x:c>
      <x:c r="E1830" s="11" t="n">
        <x:v>40</x:v>
      </x:c>
      <x:c r="F1830" s="12" t="n">
        <x:v>54.19</x:v>
      </x:c>
      <x:c r="G1830" s="12" t="n">
        <x:v>2167.6</x:v>
      </x:c>
      <x:c r="H1830" s="13" t="n">
        <x:v>131</x:v>
      </x:c>
      <x:c r="I1830" s="13" t="n">
        <x:f>YEAR(B1830)</x:f>
        <x:v>2023</x:v>
      </x:c>
      <x:c r="J1830" s="13" t="n">
        <x:f>MONTH(B1830)</x:f>
        <x:v>5</x:v>
      </x:c>
      <x:c r="K1830" s="14" t="n">
        <x:f>ROUND(E1830*F1830-G1830,10)</x:f>
        <x:v>0</x:v>
      </x:c>
      <x:c r="L1830" s="2"/>
      <x:c r="M1830" s="2"/>
      <x:c r="N1830" s="2"/>
      <x:c r="O1830" s="2"/>
      <x:c r="P1830" s="2"/>
      <x:c r="Q1830" s="2"/>
      <x:c r="R1830" s="2"/>
    </x:row>
    <x:row r="1831" ht="22" customHeight="1">
      <x:c r="A1831" s="2" t="n">
        <x:v>101825</x:v>
      </x:c>
      <x:c r="B1831" s="10" t="n">
        <x:v>45432</x:v>
      </x:c>
      <x:c r="C1831" s="2" t="str">
        <x:v>Peru</x:v>
      </x:c>
      <x:c r="D1831" s="2" t="str">
        <x:v>Acessórios</x:v>
      </x:c>
      <x:c r="E1831" s="11" t="n">
        <x:v>16</x:v>
      </x:c>
      <x:c r="F1831" s="12" t="n">
        <x:v>167.37</x:v>
      </x:c>
      <x:c r="G1831" s="12" t="n">
        <x:v>2677.92</x:v>
      </x:c>
      <x:c r="H1831" s="13" t="n">
        <x:v>393</x:v>
      </x:c>
      <x:c r="I1831" s="13" t="n">
        <x:f>YEAR(B1831)</x:f>
        <x:v>2024</x:v>
      </x:c>
      <x:c r="J1831" s="13" t="n">
        <x:f>MONTH(B1831)</x:f>
        <x:v>5</x:v>
      </x:c>
      <x:c r="K1831" s="14" t="n">
        <x:f>ROUND(E1831*F1831-G1831,10)</x:f>
        <x:v>0</x:v>
      </x:c>
      <x:c r="L1831" s="2"/>
      <x:c r="M1831" s="2"/>
      <x:c r="N1831" s="2"/>
      <x:c r="O1831" s="2"/>
      <x:c r="P1831" s="2"/>
      <x:c r="Q1831" s="2"/>
      <x:c r="R1831" s="2"/>
    </x:row>
    <x:row r="1832" ht="22" customHeight="1">
      <x:c r="A1832" s="2" t="n">
        <x:v>101826</x:v>
      </x:c>
      <x:c r="B1832" s="10" t="n">
        <x:v>45183</x:v>
      </x:c>
      <x:c r="C1832" s="2" t="str">
        <x:v>Argentina</x:v>
      </x:c>
      <x:c r="D1832" s="2" t="str">
        <x:v>Moda Feminina</x:v>
      </x:c>
      <x:c r="E1832" s="11" t="n">
        <x:v>38</x:v>
      </x:c>
      <x:c r="F1832" s="12" t="n">
        <x:v>41</x:v>
      </x:c>
      <x:c r="G1832" s="12" t="n">
        <x:v>1558</x:v>
      </x:c>
      <x:c r="H1832" s="13" t="n">
        <x:v>416</x:v>
      </x:c>
      <x:c r="I1832" s="13" t="n">
        <x:f>YEAR(B1832)</x:f>
        <x:v>2023</x:v>
      </x:c>
      <x:c r="J1832" s="13" t="n">
        <x:f>MONTH(B1832)</x:f>
        <x:v>9</x:v>
      </x:c>
      <x:c r="K1832" s="14" t="n">
        <x:f>ROUND(E1832*F1832-G1832,10)</x:f>
        <x:v>0</x:v>
      </x:c>
      <x:c r="L1832" s="2"/>
      <x:c r="M1832" s="2"/>
      <x:c r="N1832" s="2"/>
      <x:c r="O1832" s="2"/>
      <x:c r="P1832" s="2"/>
      <x:c r="Q1832" s="2"/>
      <x:c r="R1832" s="2"/>
    </x:row>
    <x:row r="1833" ht="22" customHeight="1">
      <x:c r="A1833" s="2" t="n">
        <x:v>101827</x:v>
      </x:c>
      <x:c r="B1833" s="10" t="n">
        <x:v>45069</x:v>
      </x:c>
      <x:c r="C1833" s="2" t="str">
        <x:v>México</x:v>
      </x:c>
      <x:c r="D1833" s="2" t="str">
        <x:v>Calçados</x:v>
      </x:c>
      <x:c r="E1833" s="11" t="n">
        <x:v>13</x:v>
      </x:c>
      <x:c r="F1833" s="12" t="n">
        <x:v>138.08</x:v>
      </x:c>
      <x:c r="G1833" s="12" t="n">
        <x:v>1795.04</x:v>
      </x:c>
      <x:c r="H1833" s="13" t="n">
        <x:v>59</x:v>
      </x:c>
      <x:c r="I1833" s="13" t="n">
        <x:f>YEAR(B1833)</x:f>
        <x:v>2023</x:v>
      </x:c>
      <x:c r="J1833" s="13" t="n">
        <x:f>MONTH(B1833)</x:f>
        <x:v>5</x:v>
      </x:c>
      <x:c r="K1833" s="14" t="n">
        <x:f>ROUND(E1833*F1833-G1833,10)</x:f>
        <x:v>0</x:v>
      </x:c>
      <x:c r="L1833" s="2"/>
      <x:c r="M1833" s="2"/>
      <x:c r="N1833" s="2"/>
      <x:c r="O1833" s="2"/>
      <x:c r="P1833" s="2"/>
      <x:c r="Q1833" s="2"/>
      <x:c r="R1833" s="2"/>
    </x:row>
    <x:row r="1834" ht="22" customHeight="1">
      <x:c r="A1834" s="2" t="n">
        <x:v>101828</x:v>
      </x:c>
      <x:c r="B1834" s="10" t="n">
        <x:v>45616</x:v>
      </x:c>
      <x:c r="C1834" s="2" t="str">
        <x:v>Colômbia</x:v>
      </x:c>
      <x:c r="D1834" s="2" t="str">
        <x:v>Calçados</x:v>
      </x:c>
      <x:c r="E1834" s="11" t="n">
        <x:v>23</x:v>
      </x:c>
      <x:c r="F1834" s="12" t="n">
        <x:v>81.41</x:v>
      </x:c>
      <x:c r="G1834" s="12" t="n">
        <x:v>1872.43</x:v>
      </x:c>
      <x:c r="H1834" s="13" t="n">
        <x:v>460</x:v>
      </x:c>
      <x:c r="I1834" s="13" t="n">
        <x:f>YEAR(B1834)</x:f>
        <x:v>2024</x:v>
      </x:c>
      <x:c r="J1834" s="13" t="n">
        <x:f>MONTH(B1834)</x:f>
        <x:v>11</x:v>
      </x:c>
      <x:c r="K1834" s="14" t="n">
        <x:f>ROUND(E1834*F1834-G1834,10)</x:f>
        <x:v>0</x:v>
      </x:c>
      <x:c r="L1834" s="2"/>
      <x:c r="M1834" s="2"/>
      <x:c r="N1834" s="2"/>
      <x:c r="O1834" s="2"/>
      <x:c r="P1834" s="2"/>
      <x:c r="Q1834" s="2"/>
      <x:c r="R1834" s="2"/>
    </x:row>
    <x:row r="1835" ht="22" customHeight="1">
      <x:c r="A1835" s="2" t="n">
        <x:v>101829</x:v>
      </x:c>
      <x:c r="B1835" s="10" t="n">
        <x:v>45283</x:v>
      </x:c>
      <x:c r="C1835" s="2" t="str">
        <x:v>Brasil</x:v>
      </x:c>
      <x:c r="D1835" s="2" t="str">
        <x:v>Moda Masculina</x:v>
      </x:c>
      <x:c r="E1835" s="11" t="n">
        <x:v>22</x:v>
      </x:c>
      <x:c r="F1835" s="12" t="n">
        <x:v>154.55</x:v>
      </x:c>
      <x:c r="G1835" s="12" t="n">
        <x:v>3400.1</x:v>
      </x:c>
      <x:c r="H1835" s="13" t="n">
        <x:v>61</x:v>
      </x:c>
      <x:c r="I1835" s="13" t="n">
        <x:f>YEAR(B1835)</x:f>
        <x:v>2023</x:v>
      </x:c>
      <x:c r="J1835" s="13" t="n">
        <x:f>MONTH(B1835)</x:f>
        <x:v>12</x:v>
      </x:c>
      <x:c r="K1835" s="14" t="n">
        <x:f>ROUND(E1835*F1835-G1835,10)</x:f>
        <x:v>0</x:v>
      </x:c>
      <x:c r="L1835" s="2"/>
      <x:c r="M1835" s="2"/>
      <x:c r="N1835" s="2"/>
      <x:c r="O1835" s="2"/>
      <x:c r="P1835" s="2"/>
      <x:c r="Q1835" s="2"/>
      <x:c r="R1835" s="2"/>
    </x:row>
    <x:row r="1836" ht="22" customHeight="1">
      <x:c r="A1836" s="2" t="n">
        <x:v>101830</x:v>
      </x:c>
      <x:c r="B1836" s="10" t="n">
        <x:v>45646</x:v>
      </x:c>
      <x:c r="C1836" s="2" t="str">
        <x:v>Chile</x:v>
      </x:c>
      <x:c r="D1836" s="2" t="str">
        <x:v>Moda Masculina</x:v>
      </x:c>
      <x:c r="E1836" s="11" t="n">
        <x:v>16</x:v>
      </x:c>
      <x:c r="F1836" s="12" t="n">
        <x:v>118.96</x:v>
      </x:c>
      <x:c r="G1836" s="12" t="n">
        <x:v>1903.36</x:v>
      </x:c>
      <x:c r="H1836" s="13" t="n">
        <x:v>312</x:v>
      </x:c>
      <x:c r="I1836" s="13" t="n">
        <x:f>YEAR(B1836)</x:f>
        <x:v>2024</x:v>
      </x:c>
      <x:c r="J1836" s="13" t="n">
        <x:f>MONTH(B1836)</x:f>
        <x:v>12</x:v>
      </x:c>
      <x:c r="K1836" s="14" t="n">
        <x:f>ROUND(E1836*F1836-G1836,10)</x:f>
        <x:v>0</x:v>
      </x:c>
      <x:c r="L1836" s="2"/>
      <x:c r="M1836" s="2"/>
      <x:c r="N1836" s="2"/>
      <x:c r="O1836" s="2"/>
      <x:c r="P1836" s="2"/>
      <x:c r="Q1836" s="2"/>
      <x:c r="R1836" s="2"/>
    </x:row>
    <x:row r="1837" ht="22" customHeight="1">
      <x:c r="A1837" s="2" t="n">
        <x:v>101831</x:v>
      </x:c>
      <x:c r="B1837" s="10" t="n">
        <x:v>45370</x:v>
      </x:c>
      <x:c r="C1837" s="2" t="str">
        <x:v>México</x:v>
      </x:c>
      <x:c r="D1837" s="2" t="str">
        <x:v>Calçados</x:v>
      </x:c>
      <x:c r="E1837" s="11" t="n">
        <x:v>28</x:v>
      </x:c>
      <x:c r="F1837" s="12" t="n">
        <x:v>101.42</x:v>
      </x:c>
      <x:c r="G1837" s="12" t="n">
        <x:v>2839.76</x:v>
      </x:c>
      <x:c r="H1837" s="13" t="n">
        <x:v>194</x:v>
      </x:c>
      <x:c r="I1837" s="13" t="n">
        <x:f>YEAR(B1837)</x:f>
        <x:v>2024</x:v>
      </x:c>
      <x:c r="J1837" s="13" t="n">
        <x:f>MONTH(B1837)</x:f>
        <x:v>3</x:v>
      </x:c>
      <x:c r="K1837" s="14" t="n">
        <x:f>ROUND(E1837*F1837-G1837,10)</x:f>
        <x:v>0</x:v>
      </x:c>
      <x:c r="L1837" s="2"/>
      <x:c r="M1837" s="2"/>
      <x:c r="N1837" s="2"/>
      <x:c r="O1837" s="2"/>
      <x:c r="P1837" s="2"/>
      <x:c r="Q1837" s="2"/>
      <x:c r="R1837" s="2"/>
    </x:row>
    <x:row r="1838" ht="22" customHeight="1">
      <x:c r="A1838" s="2" t="n">
        <x:v>101832</x:v>
      </x:c>
      <x:c r="B1838" s="10" t="n">
        <x:v>45239</x:v>
      </x:c>
      <x:c r="C1838" s="2" t="str">
        <x:v>Brasil</x:v>
      </x:c>
      <x:c r="D1838" s="2" t="str">
        <x:v>Moda Feminina</x:v>
      </x:c>
      <x:c r="E1838" s="11" t="n">
        <x:v>48</x:v>
      </x:c>
      <x:c r="F1838" s="12" t="n">
        <x:v>50.5</x:v>
      </x:c>
      <x:c r="G1838" s="12" t="n">
        <x:v>2424</x:v>
      </x:c>
      <x:c r="H1838" s="13" t="n">
        <x:v>498</x:v>
      </x:c>
      <x:c r="I1838" s="13" t="n">
        <x:f>YEAR(B1838)</x:f>
        <x:v>2023</x:v>
      </x:c>
      <x:c r="J1838" s="13" t="n">
        <x:f>MONTH(B1838)</x:f>
        <x:v>11</x:v>
      </x:c>
      <x:c r="K1838" s="14" t="n">
        <x:f>ROUND(E1838*F1838-G1838,10)</x:f>
        <x:v>0</x:v>
      </x:c>
      <x:c r="L1838" s="2"/>
      <x:c r="M1838" s="2"/>
      <x:c r="N1838" s="2"/>
      <x:c r="O1838" s="2"/>
      <x:c r="P1838" s="2"/>
      <x:c r="Q1838" s="2"/>
      <x:c r="R1838" s="2"/>
    </x:row>
    <x:row r="1839" ht="22" customHeight="1">
      <x:c r="A1839" s="2" t="n">
        <x:v>101833</x:v>
      </x:c>
      <x:c r="B1839" s="10" t="n">
        <x:v>44997</x:v>
      </x:c>
      <x:c r="C1839" s="2" t="str">
        <x:v>México</x:v>
      </x:c>
      <x:c r="D1839" s="2" t="str">
        <x:v>Moda Infantil</x:v>
      </x:c>
      <x:c r="E1839" s="11" t="n">
        <x:v>35</x:v>
      </x:c>
      <x:c r="F1839" s="12" t="n">
        <x:v>134.63</x:v>
      </x:c>
      <x:c r="G1839" s="12" t="n">
        <x:v>4712.05</x:v>
      </x:c>
      <x:c r="H1839" s="13" t="n">
        <x:v>241</x:v>
      </x:c>
      <x:c r="I1839" s="13" t="n">
        <x:f>YEAR(B1839)</x:f>
        <x:v>2023</x:v>
      </x:c>
      <x:c r="J1839" s="13" t="n">
        <x:f>MONTH(B1839)</x:f>
        <x:v>3</x:v>
      </x:c>
      <x:c r="K1839" s="14" t="n">
        <x:f>ROUND(E1839*F1839-G1839,10)</x:f>
        <x:v>0</x:v>
      </x:c>
      <x:c r="L1839" s="2"/>
      <x:c r="M1839" s="2"/>
      <x:c r="N1839" s="2"/>
      <x:c r="O1839" s="2"/>
      <x:c r="P1839" s="2"/>
      <x:c r="Q1839" s="2"/>
      <x:c r="R1839" s="2"/>
    </x:row>
    <x:row r="1840" ht="22" customHeight="1">
      <x:c r="A1840" s="2" t="n">
        <x:v>101834</x:v>
      </x:c>
      <x:c r="B1840" s="10" t="n">
        <x:v>44930</x:v>
      </x:c>
      <x:c r="C1840" s="2" t="str">
        <x:v>México</x:v>
      </x:c>
      <x:c r="D1840" s="2" t="str">
        <x:v>Moda Infantil</x:v>
      </x:c>
      <x:c r="E1840" s="11" t="n">
        <x:v>45</x:v>
      </x:c>
      <x:c r="F1840" s="12" t="n">
        <x:v>195.46</x:v>
      </x:c>
      <x:c r="G1840" s="12" t="n">
        <x:v>8795.7</x:v>
      </x:c>
      <x:c r="H1840" s="13" t="n">
        <x:v>299</x:v>
      </x:c>
      <x:c r="I1840" s="13" t="n">
        <x:f>YEAR(B1840)</x:f>
        <x:v>2023</x:v>
      </x:c>
      <x:c r="J1840" s="13" t="n">
        <x:f>MONTH(B1840)</x:f>
        <x:v>1</x:v>
      </x:c>
      <x:c r="K1840" s="14" t="n">
        <x:f>ROUND(E1840*F1840-G1840,10)</x:f>
        <x:v>0</x:v>
      </x:c>
      <x:c r="L1840" s="2"/>
      <x:c r="M1840" s="2"/>
      <x:c r="N1840" s="2"/>
      <x:c r="O1840" s="2"/>
      <x:c r="P1840" s="2"/>
      <x:c r="Q1840" s="2"/>
      <x:c r="R1840" s="2"/>
    </x:row>
    <x:row r="1841" ht="22" customHeight="1">
      <x:c r="A1841" s="2" t="n">
        <x:v>101835</x:v>
      </x:c>
      <x:c r="B1841" s="10" t="n">
        <x:v>45485</x:v>
      </x:c>
      <x:c r="C1841" s="2" t="str">
        <x:v>Chile</x:v>
      </x:c>
      <x:c r="D1841" s="2" t="str">
        <x:v>Moda Feminina</x:v>
      </x:c>
      <x:c r="E1841" s="11" t="n">
        <x:v>46</x:v>
      </x:c>
      <x:c r="F1841" s="12" t="n">
        <x:v>168.61</x:v>
      </x:c>
      <x:c r="G1841" s="12" t="n">
        <x:v>7756.06</x:v>
      </x:c>
      <x:c r="H1841" s="13" t="n">
        <x:v>163</x:v>
      </x:c>
      <x:c r="I1841" s="13" t="n">
        <x:f>YEAR(B1841)</x:f>
        <x:v>2024</x:v>
      </x:c>
      <x:c r="J1841" s="13" t="n">
        <x:f>MONTH(B1841)</x:f>
        <x:v>7</x:v>
      </x:c>
      <x:c r="K1841" s="14" t="n">
        <x:f>ROUND(E1841*F1841-G1841,10)</x:f>
        <x:v>0</x:v>
      </x:c>
      <x:c r="L1841" s="2"/>
      <x:c r="M1841" s="2"/>
      <x:c r="N1841" s="2"/>
      <x:c r="O1841" s="2"/>
      <x:c r="P1841" s="2"/>
      <x:c r="Q1841" s="2"/>
      <x:c r="R1841" s="2"/>
    </x:row>
    <x:row r="1842" ht="22" customHeight="1">
      <x:c r="A1842" s="2" t="n">
        <x:v>101836</x:v>
      </x:c>
      <x:c r="B1842" s="10" t="n">
        <x:v>45092</x:v>
      </x:c>
      <x:c r="C1842" s="2" t="str">
        <x:v>Colômbia</x:v>
      </x:c>
      <x:c r="D1842" s="2" t="str">
        <x:v>Moda Infantil</x:v>
      </x:c>
      <x:c r="E1842" s="11" t="n">
        <x:v>8</x:v>
      </x:c>
      <x:c r="F1842" s="12" t="n">
        <x:v>30.8</x:v>
      </x:c>
      <x:c r="G1842" s="12" t="n">
        <x:v>246.4</x:v>
      </x:c>
      <x:c r="H1842" s="13" t="n">
        <x:v>75</x:v>
      </x:c>
      <x:c r="I1842" s="13" t="n">
        <x:f>YEAR(B1842)</x:f>
        <x:v>2023</x:v>
      </x:c>
      <x:c r="J1842" s="13" t="n">
        <x:f>MONTH(B1842)</x:f>
        <x:v>6</x:v>
      </x:c>
      <x:c r="K1842" s="14" t="n">
        <x:f>ROUND(E1842*F1842-G1842,10)</x:f>
        <x:v>0</x:v>
      </x:c>
      <x:c r="L1842" s="2"/>
      <x:c r="M1842" s="2"/>
      <x:c r="N1842" s="2"/>
      <x:c r="O1842" s="2"/>
      <x:c r="P1842" s="2"/>
      <x:c r="Q1842" s="2"/>
      <x:c r="R1842" s="2"/>
    </x:row>
    <x:row r="1843" ht="22" customHeight="1">
      <x:c r="A1843" s="2" t="n">
        <x:v>101837</x:v>
      </x:c>
      <x:c r="B1843" s="10" t="n">
        <x:v>45171</x:v>
      </x:c>
      <x:c r="C1843" s="2" t="str">
        <x:v>Argentina</x:v>
      </x:c>
      <x:c r="D1843" s="2" t="str">
        <x:v>Acessórios</x:v>
      </x:c>
      <x:c r="E1843" s="11" t="n">
        <x:v>44</x:v>
      </x:c>
      <x:c r="F1843" s="12" t="n">
        <x:v>87.72</x:v>
      </x:c>
      <x:c r="G1843" s="12" t="n">
        <x:v>3859.68</x:v>
      </x:c>
      <x:c r="H1843" s="13" t="n">
        <x:v>320</x:v>
      </x:c>
      <x:c r="I1843" s="13" t="n">
        <x:f>YEAR(B1843)</x:f>
        <x:v>2023</x:v>
      </x:c>
      <x:c r="J1843" s="13" t="n">
        <x:f>MONTH(B1843)</x:f>
        <x:v>9</x:v>
      </x:c>
      <x:c r="K1843" s="14" t="n">
        <x:f>ROUND(E1843*F1843-G1843,10)</x:f>
        <x:v>0</x:v>
      </x:c>
      <x:c r="L1843" s="2"/>
      <x:c r="M1843" s="2"/>
      <x:c r="N1843" s="2"/>
      <x:c r="O1843" s="2"/>
      <x:c r="P1843" s="2"/>
      <x:c r="Q1843" s="2"/>
      <x:c r="R1843" s="2"/>
    </x:row>
    <x:row r="1844" ht="22" customHeight="1">
      <x:c r="A1844" s="2" t="n">
        <x:v>101838</x:v>
      </x:c>
      <x:c r="B1844" s="10" t="n">
        <x:v>45257</x:v>
      </x:c>
      <x:c r="C1844" s="2" t="str">
        <x:v>Peru</x:v>
      </x:c>
      <x:c r="D1844" s="2" t="str">
        <x:v>Calçados</x:v>
      </x:c>
      <x:c r="E1844" s="11" t="n">
        <x:v>22</x:v>
      </x:c>
      <x:c r="F1844" s="12" t="n">
        <x:v>186.6</x:v>
      </x:c>
      <x:c r="G1844" s="12" t="n">
        <x:v>4105.2</x:v>
      </x:c>
      <x:c r="H1844" s="13" t="n">
        <x:v>82</x:v>
      </x:c>
      <x:c r="I1844" s="13" t="n">
        <x:f>YEAR(B1844)</x:f>
        <x:v>2023</x:v>
      </x:c>
      <x:c r="J1844" s="13" t="n">
        <x:f>MONTH(B1844)</x:f>
        <x:v>11</x:v>
      </x:c>
      <x:c r="K1844" s="14" t="n">
        <x:f>ROUND(E1844*F1844-G1844,10)</x:f>
        <x:v>0</x:v>
      </x:c>
      <x:c r="L1844" s="2"/>
      <x:c r="M1844" s="2"/>
      <x:c r="N1844" s="2"/>
      <x:c r="O1844" s="2"/>
      <x:c r="P1844" s="2"/>
      <x:c r="Q1844" s="2"/>
      <x:c r="R1844" s="2"/>
    </x:row>
    <x:row r="1845" ht="22" customHeight="1">
      <x:c r="A1845" s="2" t="n">
        <x:v>101839</x:v>
      </x:c>
      <x:c r="B1845" s="10" t="n">
        <x:v>45232</x:v>
      </x:c>
      <x:c r="C1845" s="2" t="str">
        <x:v>Colômbia</x:v>
      </x:c>
      <x:c r="D1845" s="2" t="str">
        <x:v>Calçados</x:v>
      </x:c>
      <x:c r="E1845" s="11" t="n">
        <x:v>21</x:v>
      </x:c>
      <x:c r="F1845" s="12" t="n">
        <x:v>110.55</x:v>
      </x:c>
      <x:c r="G1845" s="12" t="n">
        <x:v>2321.55</x:v>
      </x:c>
      <x:c r="H1845" s="13" t="n">
        <x:v>111</x:v>
      </x:c>
      <x:c r="I1845" s="13" t="n">
        <x:f>YEAR(B1845)</x:f>
        <x:v>2023</x:v>
      </x:c>
      <x:c r="J1845" s="13" t="n">
        <x:f>MONTH(B1845)</x:f>
        <x:v>11</x:v>
      </x:c>
      <x:c r="K1845" s="14" t="n">
        <x:f>ROUND(E1845*F1845-G1845,10)</x:f>
        <x:v>0</x:v>
      </x:c>
      <x:c r="L1845" s="2"/>
      <x:c r="M1845" s="2"/>
      <x:c r="N1845" s="2"/>
      <x:c r="O1845" s="2"/>
      <x:c r="P1845" s="2"/>
      <x:c r="Q1845" s="2"/>
      <x:c r="R1845" s="2"/>
    </x:row>
    <x:row r="1846" ht="22" customHeight="1">
      <x:c r="A1846" s="2" t="n">
        <x:v>101840</x:v>
      </x:c>
      <x:c r="B1846" s="10" t="n">
        <x:v>45377</x:v>
      </x:c>
      <x:c r="C1846" s="2" t="str">
        <x:v>Peru</x:v>
      </x:c>
      <x:c r="D1846" s="2" t="str">
        <x:v>Moda Feminina</x:v>
      </x:c>
      <x:c r="E1846" s="11" t="n">
        <x:v>26</x:v>
      </x:c>
      <x:c r="F1846" s="12" t="n">
        <x:v>139.18</x:v>
      </x:c>
      <x:c r="G1846" s="12" t="n">
        <x:v>3618.68</x:v>
      </x:c>
      <x:c r="H1846" s="13" t="n">
        <x:v>278</x:v>
      </x:c>
      <x:c r="I1846" s="13" t="n">
        <x:f>YEAR(B1846)</x:f>
        <x:v>2024</x:v>
      </x:c>
      <x:c r="J1846" s="13" t="n">
        <x:f>MONTH(B1846)</x:f>
        <x:v>3</x:v>
      </x:c>
      <x:c r="K1846" s="14" t="n">
        <x:f>ROUND(E1846*F1846-G1846,10)</x:f>
        <x:v>0</x:v>
      </x:c>
      <x:c r="L1846" s="2"/>
      <x:c r="M1846" s="2"/>
      <x:c r="N1846" s="2"/>
      <x:c r="O1846" s="2"/>
      <x:c r="P1846" s="2"/>
      <x:c r="Q1846" s="2"/>
      <x:c r="R1846" s="2"/>
    </x:row>
    <x:row r="1847" ht="22" customHeight="1">
      <x:c r="A1847" s="2" t="n">
        <x:v>101841</x:v>
      </x:c>
      <x:c r="B1847" s="10" t="n">
        <x:v>45071</x:v>
      </x:c>
      <x:c r="C1847" s="2" t="str">
        <x:v>Chile</x:v>
      </x:c>
      <x:c r="D1847" s="2" t="str">
        <x:v>Moda Infantil</x:v>
      </x:c>
      <x:c r="E1847" s="11" t="n">
        <x:v>40</x:v>
      </x:c>
      <x:c r="F1847" s="12" t="n">
        <x:v>184.27</x:v>
      </x:c>
      <x:c r="G1847" s="12" t="n">
        <x:v>7370.8</x:v>
      </x:c>
      <x:c r="H1847" s="13" t="n">
        <x:v>352</x:v>
      </x:c>
      <x:c r="I1847" s="13" t="n">
        <x:f>YEAR(B1847)</x:f>
        <x:v>2023</x:v>
      </x:c>
      <x:c r="J1847" s="13" t="n">
        <x:f>MONTH(B1847)</x:f>
        <x:v>5</x:v>
      </x:c>
      <x:c r="K1847" s="14" t="n">
        <x:f>ROUND(E1847*F1847-G1847,10)</x:f>
        <x:v>0</x:v>
      </x:c>
      <x:c r="L1847" s="2"/>
      <x:c r="M1847" s="2"/>
      <x:c r="N1847" s="2"/>
      <x:c r="O1847" s="2"/>
      <x:c r="P1847" s="2"/>
      <x:c r="Q1847" s="2"/>
      <x:c r="R1847" s="2"/>
    </x:row>
    <x:row r="1848" ht="22" customHeight="1">
      <x:c r="A1848" s="2" t="n">
        <x:v>101842</x:v>
      </x:c>
      <x:c r="B1848" s="10" t="n">
        <x:v>44942</x:v>
      </x:c>
      <x:c r="C1848" s="2" t="str">
        <x:v>Chile</x:v>
      </x:c>
      <x:c r="D1848" s="2" t="str">
        <x:v>Moda Masculina</x:v>
      </x:c>
      <x:c r="E1848" s="11" t="n">
        <x:v>21</x:v>
      </x:c>
      <x:c r="F1848" s="12" t="n">
        <x:v>177.28</x:v>
      </x:c>
      <x:c r="G1848" s="12" t="n">
        <x:v>3722.88</x:v>
      </x:c>
      <x:c r="H1848" s="13" t="n">
        <x:v>144</x:v>
      </x:c>
      <x:c r="I1848" s="13" t="n">
        <x:f>YEAR(B1848)</x:f>
        <x:v>2023</x:v>
      </x:c>
      <x:c r="J1848" s="13" t="n">
        <x:f>MONTH(B1848)</x:f>
        <x:v>1</x:v>
      </x:c>
      <x:c r="K1848" s="14" t="n">
        <x:f>ROUND(E1848*F1848-G1848,10)</x:f>
        <x:v>0</x:v>
      </x:c>
      <x:c r="L1848" s="2"/>
      <x:c r="M1848" s="2"/>
      <x:c r="N1848" s="2"/>
      <x:c r="O1848" s="2"/>
      <x:c r="P1848" s="2"/>
      <x:c r="Q1848" s="2"/>
      <x:c r="R1848" s="2"/>
    </x:row>
    <x:row r="1849" ht="22" customHeight="1">
      <x:c r="A1849" s="2" t="n">
        <x:v>101843</x:v>
      </x:c>
      <x:c r="B1849" s="10" t="n">
        <x:v>45313</x:v>
      </x:c>
      <x:c r="C1849" s="2" t="str">
        <x:v>Chile</x:v>
      </x:c>
      <x:c r="D1849" s="2" t="str">
        <x:v>Moda Masculina</x:v>
      </x:c>
      <x:c r="E1849" s="11" t="n">
        <x:v>25</x:v>
      </x:c>
      <x:c r="F1849" s="12" t="n">
        <x:v>110.33</x:v>
      </x:c>
      <x:c r="G1849" s="12" t="n">
        <x:v>2758.25</x:v>
      </x:c>
      <x:c r="H1849" s="13" t="n">
        <x:v>84</x:v>
      </x:c>
      <x:c r="I1849" s="13" t="n">
        <x:f>YEAR(B1849)</x:f>
        <x:v>2024</x:v>
      </x:c>
      <x:c r="J1849" s="13" t="n">
        <x:f>MONTH(B1849)</x:f>
        <x:v>1</x:v>
      </x:c>
      <x:c r="K1849" s="14" t="n">
        <x:f>ROUND(E1849*F1849-G1849,10)</x:f>
        <x:v>0</x:v>
      </x:c>
      <x:c r="L1849" s="2"/>
      <x:c r="M1849" s="2"/>
      <x:c r="N1849" s="2"/>
      <x:c r="O1849" s="2"/>
      <x:c r="P1849" s="2"/>
      <x:c r="Q1849" s="2"/>
      <x:c r="R1849" s="2"/>
    </x:row>
    <x:row r="1850" ht="22" customHeight="1">
      <x:c r="A1850" s="2" t="n">
        <x:v>101844</x:v>
      </x:c>
      <x:c r="B1850" s="10" t="n">
        <x:v>44963</x:v>
      </x:c>
      <x:c r="C1850" s="2" t="str">
        <x:v>Brasil</x:v>
      </x:c>
      <x:c r="D1850" s="2" t="str">
        <x:v>Moda Infantil</x:v>
      </x:c>
      <x:c r="E1850" s="11" t="n">
        <x:v>41</x:v>
      </x:c>
      <x:c r="F1850" s="12" t="n">
        <x:v>98.78</x:v>
      </x:c>
      <x:c r="G1850" s="12" t="n">
        <x:v>4049.98</x:v>
      </x:c>
      <x:c r="H1850" s="13" t="n">
        <x:v>242</x:v>
      </x:c>
      <x:c r="I1850" s="13" t="n">
        <x:f>YEAR(B1850)</x:f>
        <x:v>2023</x:v>
      </x:c>
      <x:c r="J1850" s="13" t="n">
        <x:f>MONTH(B1850)</x:f>
        <x:v>2</x:v>
      </x:c>
      <x:c r="K1850" s="14" t="n">
        <x:f>ROUND(E1850*F1850-G1850,10)</x:f>
        <x:v>0</x:v>
      </x:c>
      <x:c r="L1850" s="2"/>
      <x:c r="M1850" s="2"/>
      <x:c r="N1850" s="2"/>
      <x:c r="O1850" s="2"/>
      <x:c r="P1850" s="2"/>
      <x:c r="Q1850" s="2"/>
      <x:c r="R1850" s="2"/>
    </x:row>
    <x:row r="1851" ht="22" customHeight="1">
      <x:c r="A1851" s="2" t="n">
        <x:v>101845</x:v>
      </x:c>
      <x:c r="B1851" s="10" t="n">
        <x:v>45123</x:v>
      </x:c>
      <x:c r="C1851" s="2" t="str">
        <x:v>Peru</x:v>
      </x:c>
      <x:c r="D1851" s="2" t="str">
        <x:v>Moda Masculina</x:v>
      </x:c>
      <x:c r="E1851" s="11" t="n">
        <x:v>1</x:v>
      </x:c>
      <x:c r="F1851" s="12" t="n">
        <x:v>81.14</x:v>
      </x:c>
      <x:c r="G1851" s="12" t="n">
        <x:v>81.14</x:v>
      </x:c>
      <x:c r="H1851" s="13" t="n">
        <x:v>125</x:v>
      </x:c>
      <x:c r="I1851" s="13" t="n">
        <x:f>YEAR(B1851)</x:f>
        <x:v>2023</x:v>
      </x:c>
      <x:c r="J1851" s="13" t="n">
        <x:f>MONTH(B1851)</x:f>
        <x:v>7</x:v>
      </x:c>
      <x:c r="K1851" s="14" t="n">
        <x:f>ROUND(E1851*F1851-G1851,10)</x:f>
        <x:v>0</x:v>
      </x:c>
      <x:c r="L1851" s="2"/>
      <x:c r="M1851" s="2"/>
      <x:c r="N1851" s="2"/>
      <x:c r="O1851" s="2"/>
      <x:c r="P1851" s="2"/>
      <x:c r="Q1851" s="2"/>
      <x:c r="R1851" s="2"/>
    </x:row>
    <x:row r="1852" ht="22" customHeight="1">
      <x:c r="A1852" s="2" t="n">
        <x:v>101846</x:v>
      </x:c>
      <x:c r="B1852" s="10" t="n">
        <x:v>45496</x:v>
      </x:c>
      <x:c r="C1852" s="2" t="str">
        <x:v>Colômbia</x:v>
      </x:c>
      <x:c r="D1852" s="2" t="str">
        <x:v>Moda Feminina</x:v>
      </x:c>
      <x:c r="E1852" s="11" t="n">
        <x:v>6</x:v>
      </x:c>
      <x:c r="F1852" s="12" t="n">
        <x:v>149.42</x:v>
      </x:c>
      <x:c r="G1852" s="12" t="n">
        <x:v>896.52</x:v>
      </x:c>
      <x:c r="H1852" s="13" t="n">
        <x:v>428</x:v>
      </x:c>
      <x:c r="I1852" s="13" t="n">
        <x:f>YEAR(B1852)</x:f>
        <x:v>2024</x:v>
      </x:c>
      <x:c r="J1852" s="13" t="n">
        <x:f>MONTH(B1852)</x:f>
        <x:v>7</x:v>
      </x:c>
      <x:c r="K1852" s="14" t="n">
        <x:f>ROUND(E1852*F1852-G1852,10)</x:f>
        <x:v>0</x:v>
      </x:c>
      <x:c r="L1852" s="2"/>
      <x:c r="M1852" s="2"/>
      <x:c r="N1852" s="2"/>
      <x:c r="O1852" s="2"/>
      <x:c r="P1852" s="2"/>
      <x:c r="Q1852" s="2"/>
      <x:c r="R1852" s="2"/>
    </x:row>
    <x:row r="1853" ht="22" customHeight="1">
      <x:c r="A1853" s="2" t="n">
        <x:v>101847</x:v>
      </x:c>
      <x:c r="B1853" s="10" t="n">
        <x:v>45568</x:v>
      </x:c>
      <x:c r="C1853" s="2" t="str">
        <x:v>Colômbia</x:v>
      </x:c>
      <x:c r="D1853" s="2" t="str">
        <x:v>Moda Feminina</x:v>
      </x:c>
      <x:c r="E1853" s="11" t="n">
        <x:v>23</x:v>
      </x:c>
      <x:c r="F1853" s="12" t="n">
        <x:v>71.66</x:v>
      </x:c>
      <x:c r="G1853" s="12" t="n">
        <x:v>1648.18</x:v>
      </x:c>
      <x:c r="H1853" s="13" t="n">
        <x:v>298</x:v>
      </x:c>
      <x:c r="I1853" s="13" t="n">
        <x:f>YEAR(B1853)</x:f>
        <x:v>2024</x:v>
      </x:c>
      <x:c r="J1853" s="13" t="n">
        <x:f>MONTH(B1853)</x:f>
        <x:v>10</x:v>
      </x:c>
      <x:c r="K1853" s="14" t="n">
        <x:f>ROUND(E1853*F1853-G1853,10)</x:f>
        <x:v>0</x:v>
      </x:c>
      <x:c r="L1853" s="2"/>
      <x:c r="M1853" s="2"/>
      <x:c r="N1853" s="2"/>
      <x:c r="O1853" s="2"/>
      <x:c r="P1853" s="2"/>
      <x:c r="Q1853" s="2"/>
      <x:c r="R1853" s="2"/>
    </x:row>
    <x:row r="1854" ht="22" customHeight="1">
      <x:c r="A1854" s="2" t="n">
        <x:v>101848</x:v>
      </x:c>
      <x:c r="B1854" s="10" t="n">
        <x:v>45072</x:v>
      </x:c>
      <x:c r="C1854" s="2" t="str">
        <x:v>México</x:v>
      </x:c>
      <x:c r="D1854" s="2" t="str">
        <x:v>Moda Infantil</x:v>
      </x:c>
      <x:c r="E1854" s="11" t="n">
        <x:v>23</x:v>
      </x:c>
      <x:c r="F1854" s="12" t="n">
        <x:v>64.98</x:v>
      </x:c>
      <x:c r="G1854" s="12" t="n">
        <x:v>1494.54</x:v>
      </x:c>
      <x:c r="H1854" s="13" t="n">
        <x:v>132</x:v>
      </x:c>
      <x:c r="I1854" s="13" t="n">
        <x:f>YEAR(B1854)</x:f>
        <x:v>2023</x:v>
      </x:c>
      <x:c r="J1854" s="13" t="n">
        <x:f>MONTH(B1854)</x:f>
        <x:v>5</x:v>
      </x:c>
      <x:c r="K1854" s="14" t="n">
        <x:f>ROUND(E1854*F1854-G1854,10)</x:f>
        <x:v>0</x:v>
      </x:c>
      <x:c r="L1854" s="2"/>
      <x:c r="M1854" s="2"/>
      <x:c r="N1854" s="2"/>
      <x:c r="O1854" s="2"/>
      <x:c r="P1854" s="2"/>
      <x:c r="Q1854" s="2"/>
      <x:c r="R1854" s="2"/>
    </x:row>
    <x:row r="1855" ht="22" customHeight="1">
      <x:c r="A1855" s="2" t="n">
        <x:v>101849</x:v>
      </x:c>
      <x:c r="B1855" s="10" t="n">
        <x:v>45152</x:v>
      </x:c>
      <x:c r="C1855" s="2" t="str">
        <x:v>México</x:v>
      </x:c>
      <x:c r="D1855" s="2" t="str">
        <x:v>Moda Masculina</x:v>
      </x:c>
      <x:c r="E1855" s="11" t="n">
        <x:v>43</x:v>
      </x:c>
      <x:c r="F1855" s="12" t="n">
        <x:v>84.12</x:v>
      </x:c>
      <x:c r="G1855" s="12" t="n">
        <x:v>3617.16</x:v>
      </x:c>
      <x:c r="H1855" s="13" t="n">
        <x:v>74</x:v>
      </x:c>
      <x:c r="I1855" s="13" t="n">
        <x:f>YEAR(B1855)</x:f>
        <x:v>2023</x:v>
      </x:c>
      <x:c r="J1855" s="13" t="n">
        <x:f>MONTH(B1855)</x:f>
        <x:v>8</x:v>
      </x:c>
      <x:c r="K1855" s="14" t="n">
        <x:f>ROUND(E1855*F1855-G1855,10)</x:f>
        <x:v>0</x:v>
      </x:c>
      <x:c r="L1855" s="2"/>
      <x:c r="M1855" s="2"/>
      <x:c r="N1855" s="2"/>
      <x:c r="O1855" s="2"/>
      <x:c r="P1855" s="2"/>
      <x:c r="Q1855" s="2"/>
      <x:c r="R1855" s="2"/>
    </x:row>
    <x:row r="1856" ht="22" customHeight="1">
      <x:c r="A1856" s="2" t="n">
        <x:v>101850</x:v>
      </x:c>
      <x:c r="B1856" s="10" t="n">
        <x:v>45478</x:v>
      </x:c>
      <x:c r="C1856" s="2" t="str">
        <x:v>México</x:v>
      </x:c>
      <x:c r="D1856" s="2" t="str">
        <x:v>Moda Feminina</x:v>
      </x:c>
      <x:c r="E1856" s="11" t="n">
        <x:v>43</x:v>
      </x:c>
      <x:c r="F1856" s="12" t="n">
        <x:v>51.9</x:v>
      </x:c>
      <x:c r="G1856" s="12" t="n">
        <x:v>2231.7</x:v>
      </x:c>
      <x:c r="H1856" s="13" t="n">
        <x:v>106</x:v>
      </x:c>
      <x:c r="I1856" s="13" t="n">
        <x:f>YEAR(B1856)</x:f>
        <x:v>2024</x:v>
      </x:c>
      <x:c r="J1856" s="13" t="n">
        <x:f>MONTH(B1856)</x:f>
        <x:v>7</x:v>
      </x:c>
      <x:c r="K1856" s="14" t="n">
        <x:f>ROUND(E1856*F1856-G1856,10)</x:f>
        <x:v>0</x:v>
      </x:c>
      <x:c r="L1856" s="2"/>
      <x:c r="M1856" s="2"/>
      <x:c r="N1856" s="2"/>
      <x:c r="O1856" s="2"/>
      <x:c r="P1856" s="2"/>
      <x:c r="Q1856" s="2"/>
      <x:c r="R1856" s="2"/>
    </x:row>
    <x:row r="1857" ht="22" customHeight="1">
      <x:c r="A1857" s="2" t="n">
        <x:v>101851</x:v>
      </x:c>
      <x:c r="B1857" s="10" t="n">
        <x:v>45190</x:v>
      </x:c>
      <x:c r="C1857" s="2" t="str">
        <x:v>Chile</x:v>
      </x:c>
      <x:c r="D1857" s="2" t="str">
        <x:v>Moda Feminina</x:v>
      </x:c>
      <x:c r="E1857" s="11" t="n">
        <x:v>23</x:v>
      </x:c>
      <x:c r="F1857" s="12" t="n">
        <x:v>145.12</x:v>
      </x:c>
      <x:c r="G1857" s="12" t="n">
        <x:v>3337.76</x:v>
      </x:c>
      <x:c r="H1857" s="13" t="n">
        <x:v>81</x:v>
      </x:c>
      <x:c r="I1857" s="13" t="n">
        <x:f>YEAR(B1857)</x:f>
        <x:v>2023</x:v>
      </x:c>
      <x:c r="J1857" s="13" t="n">
        <x:f>MONTH(B1857)</x:f>
        <x:v>9</x:v>
      </x:c>
      <x:c r="K1857" s="14" t="n">
        <x:f>ROUND(E1857*F1857-G1857,10)</x:f>
        <x:v>0</x:v>
      </x:c>
      <x:c r="L1857" s="2"/>
      <x:c r="M1857" s="2"/>
      <x:c r="N1857" s="2"/>
      <x:c r="O1857" s="2"/>
      <x:c r="P1857" s="2"/>
      <x:c r="Q1857" s="2"/>
      <x:c r="R1857" s="2"/>
    </x:row>
    <x:row r="1858" ht="22" customHeight="1">
      <x:c r="A1858" s="2" t="n">
        <x:v>101852</x:v>
      </x:c>
      <x:c r="B1858" s="10" t="n">
        <x:v>45532</x:v>
      </x:c>
      <x:c r="C1858" s="2" t="str">
        <x:v>Colômbia</x:v>
      </x:c>
      <x:c r="D1858" s="2" t="str">
        <x:v>Acessórios</x:v>
      </x:c>
      <x:c r="E1858" s="11" t="n">
        <x:v>32</x:v>
      </x:c>
      <x:c r="F1858" s="12" t="n">
        <x:v>130.92</x:v>
      </x:c>
      <x:c r="G1858" s="12" t="n">
        <x:v>4189.44</x:v>
      </x:c>
      <x:c r="H1858" s="13" t="n">
        <x:v>368</x:v>
      </x:c>
      <x:c r="I1858" s="13" t="n">
        <x:f>YEAR(B1858)</x:f>
        <x:v>2024</x:v>
      </x:c>
      <x:c r="J1858" s="13" t="n">
        <x:f>MONTH(B1858)</x:f>
        <x:v>8</x:v>
      </x:c>
      <x:c r="K1858" s="14" t="n">
        <x:f>ROUND(E1858*F1858-G1858,10)</x:f>
        <x:v>0</x:v>
      </x:c>
      <x:c r="L1858" s="2"/>
      <x:c r="M1858" s="2"/>
      <x:c r="N1858" s="2"/>
      <x:c r="O1858" s="2"/>
      <x:c r="P1858" s="2"/>
      <x:c r="Q1858" s="2"/>
      <x:c r="R1858" s="2"/>
    </x:row>
    <x:row r="1859" ht="22" customHeight="1">
      <x:c r="A1859" s="2" t="n">
        <x:v>101853</x:v>
      </x:c>
      <x:c r="B1859" s="10" t="n">
        <x:v>45370</x:v>
      </x:c>
      <x:c r="C1859" s="2" t="str">
        <x:v>Peru</x:v>
      </x:c>
      <x:c r="D1859" s="2" t="str">
        <x:v>Acessórios</x:v>
      </x:c>
      <x:c r="E1859" s="11" t="n">
        <x:v>30</x:v>
      </x:c>
      <x:c r="F1859" s="12" t="n">
        <x:v>106.92</x:v>
      </x:c>
      <x:c r="G1859" s="12" t="n">
        <x:v>3207.6</x:v>
      </x:c>
      <x:c r="H1859" s="13" t="n">
        <x:v>61</x:v>
      </x:c>
      <x:c r="I1859" s="13" t="n">
        <x:f>YEAR(B1859)</x:f>
        <x:v>2024</x:v>
      </x:c>
      <x:c r="J1859" s="13" t="n">
        <x:f>MONTH(B1859)</x:f>
        <x:v>3</x:v>
      </x:c>
      <x:c r="K1859" s="14" t="n">
        <x:f>ROUND(E1859*F1859-G1859,10)</x:f>
        <x:v>0</x:v>
      </x:c>
      <x:c r="L1859" s="2"/>
      <x:c r="M1859" s="2"/>
      <x:c r="N1859" s="2"/>
      <x:c r="O1859" s="2"/>
      <x:c r="P1859" s="2"/>
      <x:c r="Q1859" s="2"/>
      <x:c r="R1859" s="2"/>
    </x:row>
    <x:row r="1860" ht="22" customHeight="1">
      <x:c r="A1860" s="2" t="n">
        <x:v>101854</x:v>
      </x:c>
      <x:c r="B1860" s="10" t="n">
        <x:v>45195</x:v>
      </x:c>
      <x:c r="C1860" s="2" t="str">
        <x:v>Chile</x:v>
      </x:c>
      <x:c r="D1860" s="2" t="str">
        <x:v>Moda Feminina</x:v>
      </x:c>
      <x:c r="E1860" s="11" t="n">
        <x:v>13</x:v>
      </x:c>
      <x:c r="F1860" s="12" t="n">
        <x:v>90.26</x:v>
      </x:c>
      <x:c r="G1860" s="12" t="n">
        <x:v>1173.38</x:v>
      </x:c>
      <x:c r="H1860" s="13" t="n">
        <x:v>368</x:v>
      </x:c>
      <x:c r="I1860" s="13" t="n">
        <x:f>YEAR(B1860)</x:f>
        <x:v>2023</x:v>
      </x:c>
      <x:c r="J1860" s="13" t="n">
        <x:f>MONTH(B1860)</x:f>
        <x:v>9</x:v>
      </x:c>
      <x:c r="K1860" s="14" t="n">
        <x:f>ROUND(E1860*F1860-G1860,10)</x:f>
        <x:v>0</x:v>
      </x:c>
      <x:c r="L1860" s="2"/>
      <x:c r="M1860" s="2"/>
      <x:c r="N1860" s="2"/>
      <x:c r="O1860" s="2"/>
      <x:c r="P1860" s="2"/>
      <x:c r="Q1860" s="2"/>
      <x:c r="R1860" s="2"/>
    </x:row>
    <x:row r="1861" ht="22" customHeight="1">
      <x:c r="A1861" s="2" t="n">
        <x:v>101855</x:v>
      </x:c>
      <x:c r="B1861" s="10" t="n">
        <x:v>45618</x:v>
      </x:c>
      <x:c r="C1861" s="2" t="str">
        <x:v>Brasil</x:v>
      </x:c>
      <x:c r="D1861" s="2" t="str">
        <x:v>Moda Infantil</x:v>
      </x:c>
      <x:c r="E1861" s="11" t="n">
        <x:v>43</x:v>
      </x:c>
      <x:c r="F1861" s="12" t="n">
        <x:v>183.63</x:v>
      </x:c>
      <x:c r="G1861" s="12" t="n">
        <x:v>7896.09</x:v>
      </x:c>
      <x:c r="H1861" s="13" t="n">
        <x:v>382</x:v>
      </x:c>
      <x:c r="I1861" s="13" t="n">
        <x:f>YEAR(B1861)</x:f>
        <x:v>2024</x:v>
      </x:c>
      <x:c r="J1861" s="13" t="n">
        <x:f>MONTH(B1861)</x:f>
        <x:v>11</x:v>
      </x:c>
      <x:c r="K1861" s="14" t="n">
        <x:f>ROUND(E1861*F1861-G1861,10)</x:f>
        <x:v>0</x:v>
      </x:c>
      <x:c r="L1861" s="2"/>
      <x:c r="M1861" s="2"/>
      <x:c r="N1861" s="2"/>
      <x:c r="O1861" s="2"/>
      <x:c r="P1861" s="2"/>
      <x:c r="Q1861" s="2"/>
      <x:c r="R1861" s="2"/>
    </x:row>
    <x:row r="1862" ht="22" customHeight="1">
      <x:c r="A1862" s="2" t="n">
        <x:v>101856</x:v>
      </x:c>
      <x:c r="B1862" s="10" t="n">
        <x:v>45465</x:v>
      </x:c>
      <x:c r="C1862" s="2" t="str">
        <x:v>México</x:v>
      </x:c>
      <x:c r="D1862" s="2" t="str">
        <x:v>Calçados</x:v>
      </x:c>
      <x:c r="E1862" s="11" t="n">
        <x:v>18</x:v>
      </x:c>
      <x:c r="F1862" s="12" t="n">
        <x:v>25.24</x:v>
      </x:c>
      <x:c r="G1862" s="12" t="n">
        <x:v>454.32</x:v>
      </x:c>
      <x:c r="H1862" s="13" t="n">
        <x:v>141</x:v>
      </x:c>
      <x:c r="I1862" s="13" t="n">
        <x:f>YEAR(B1862)</x:f>
        <x:v>2024</x:v>
      </x:c>
      <x:c r="J1862" s="13" t="n">
        <x:f>MONTH(B1862)</x:f>
        <x:v>6</x:v>
      </x:c>
      <x:c r="K1862" s="14" t="n">
        <x:f>ROUND(E1862*F1862-G1862,10)</x:f>
        <x:v>0</x:v>
      </x:c>
      <x:c r="L1862" s="2"/>
      <x:c r="M1862" s="2"/>
      <x:c r="N1862" s="2"/>
      <x:c r="O1862" s="2"/>
      <x:c r="P1862" s="2"/>
      <x:c r="Q1862" s="2"/>
      <x:c r="R1862" s="2"/>
    </x:row>
    <x:row r="1863" ht="22" customHeight="1">
      <x:c r="A1863" s="2" t="n">
        <x:v>101857</x:v>
      </x:c>
      <x:c r="B1863" s="10" t="n">
        <x:v>45170</x:v>
      </x:c>
      <x:c r="C1863" s="2" t="str">
        <x:v>Chile</x:v>
      </x:c>
      <x:c r="D1863" s="2" t="str">
        <x:v>Calçados</x:v>
      </x:c>
      <x:c r="E1863" s="11" t="n">
        <x:v>23</x:v>
      </x:c>
      <x:c r="F1863" s="12" t="n">
        <x:v>158.44</x:v>
      </x:c>
      <x:c r="G1863" s="12" t="n">
        <x:v>3644.12</x:v>
      </x:c>
      <x:c r="H1863" s="13" t="n">
        <x:v>50</x:v>
      </x:c>
      <x:c r="I1863" s="13" t="n">
        <x:f>YEAR(B1863)</x:f>
        <x:v>2023</x:v>
      </x:c>
      <x:c r="J1863" s="13" t="n">
        <x:f>MONTH(B1863)</x:f>
        <x:v>9</x:v>
      </x:c>
      <x:c r="K1863" s="14" t="n">
        <x:f>ROUND(E1863*F1863-G1863,10)</x:f>
        <x:v>0</x:v>
      </x:c>
      <x:c r="L1863" s="2"/>
      <x:c r="M1863" s="2"/>
      <x:c r="N1863" s="2"/>
      <x:c r="O1863" s="2"/>
      <x:c r="P1863" s="2"/>
      <x:c r="Q1863" s="2"/>
      <x:c r="R1863" s="2"/>
    </x:row>
    <x:row r="1864" ht="22" customHeight="1">
      <x:c r="A1864" s="2" t="n">
        <x:v>101858</x:v>
      </x:c>
      <x:c r="B1864" s="10" t="n">
        <x:v>45150</x:v>
      </x:c>
      <x:c r="C1864" s="2" t="str">
        <x:v>Chile</x:v>
      </x:c>
      <x:c r="D1864" s="2" t="str">
        <x:v>Moda Feminina</x:v>
      </x:c>
      <x:c r="E1864" s="11" t="n">
        <x:v>15</x:v>
      </x:c>
      <x:c r="F1864" s="12" t="n">
        <x:v>182.34</x:v>
      </x:c>
      <x:c r="G1864" s="12" t="n">
        <x:v>2735.1</x:v>
      </x:c>
      <x:c r="H1864" s="13" t="n">
        <x:v>484</x:v>
      </x:c>
      <x:c r="I1864" s="13" t="n">
        <x:f>YEAR(B1864)</x:f>
        <x:v>2023</x:v>
      </x:c>
      <x:c r="J1864" s="13" t="n">
        <x:f>MONTH(B1864)</x:f>
        <x:v>8</x:v>
      </x:c>
      <x:c r="K1864" s="14" t="n">
        <x:f>ROUND(E1864*F1864-G1864,10)</x:f>
        <x:v>0</x:v>
      </x:c>
      <x:c r="L1864" s="2"/>
      <x:c r="M1864" s="2"/>
      <x:c r="N1864" s="2"/>
      <x:c r="O1864" s="2"/>
      <x:c r="P1864" s="2"/>
      <x:c r="Q1864" s="2"/>
      <x:c r="R1864" s="2"/>
    </x:row>
    <x:row r="1865" ht="22" customHeight="1">
      <x:c r="A1865" s="2" t="n">
        <x:v>101859</x:v>
      </x:c>
      <x:c r="B1865" s="10" t="n">
        <x:v>45047</x:v>
      </x:c>
      <x:c r="C1865" s="2" t="str">
        <x:v>Brasil</x:v>
      </x:c>
      <x:c r="D1865" s="2" t="str">
        <x:v>Moda Feminina</x:v>
      </x:c>
      <x:c r="E1865" s="11" t="n">
        <x:v>33</x:v>
      </x:c>
      <x:c r="F1865" s="12" t="n">
        <x:v>100.34</x:v>
      </x:c>
      <x:c r="G1865" s="12" t="n">
        <x:v>3311.22</x:v>
      </x:c>
      <x:c r="H1865" s="13" t="n">
        <x:v>375</x:v>
      </x:c>
      <x:c r="I1865" s="13" t="n">
        <x:f>YEAR(B1865)</x:f>
        <x:v>2023</x:v>
      </x:c>
      <x:c r="J1865" s="13" t="n">
        <x:f>MONTH(B1865)</x:f>
        <x:v>5</x:v>
      </x:c>
      <x:c r="K1865" s="14" t="n">
        <x:f>ROUND(E1865*F1865-G1865,10)</x:f>
        <x:v>0</x:v>
      </x:c>
      <x:c r="L1865" s="2"/>
      <x:c r="M1865" s="2"/>
      <x:c r="N1865" s="2"/>
      <x:c r="O1865" s="2"/>
      <x:c r="P1865" s="2"/>
      <x:c r="Q1865" s="2"/>
      <x:c r="R1865" s="2"/>
    </x:row>
    <x:row r="1866" ht="22" customHeight="1">
      <x:c r="A1866" s="2" t="n">
        <x:v>101860</x:v>
      </x:c>
      <x:c r="B1866" s="10" t="n">
        <x:v>45334</x:v>
      </x:c>
      <x:c r="C1866" s="2" t="str">
        <x:v>Argentina</x:v>
      </x:c>
      <x:c r="D1866" s="2" t="str">
        <x:v>Moda Feminina</x:v>
      </x:c>
      <x:c r="E1866" s="11" t="n">
        <x:v>21</x:v>
      </x:c>
      <x:c r="F1866" s="12" t="n">
        <x:v>119.12</x:v>
      </x:c>
      <x:c r="G1866" s="12" t="n">
        <x:v>2501.52</x:v>
      </x:c>
      <x:c r="H1866" s="13" t="n">
        <x:v>185</x:v>
      </x:c>
      <x:c r="I1866" s="13" t="n">
        <x:f>YEAR(B1866)</x:f>
        <x:v>2024</x:v>
      </x:c>
      <x:c r="J1866" s="13" t="n">
        <x:f>MONTH(B1866)</x:f>
        <x:v>2</x:v>
      </x:c>
      <x:c r="K1866" s="14" t="n">
        <x:f>ROUND(E1866*F1866-G1866,10)</x:f>
        <x:v>0</x:v>
      </x:c>
      <x:c r="L1866" s="2"/>
      <x:c r="M1866" s="2"/>
      <x:c r="N1866" s="2"/>
      <x:c r="O1866" s="2"/>
      <x:c r="P1866" s="2"/>
      <x:c r="Q1866" s="2"/>
      <x:c r="R1866" s="2"/>
    </x:row>
    <x:row r="1867" ht="22" customHeight="1">
      <x:c r="A1867" s="2" t="n">
        <x:v>101861</x:v>
      </x:c>
      <x:c r="B1867" s="10" t="n">
        <x:v>45400</x:v>
      </x:c>
      <x:c r="C1867" s="2" t="str">
        <x:v>Colômbia</x:v>
      </x:c>
      <x:c r="D1867" s="2" t="str">
        <x:v>Moda Infantil</x:v>
      </x:c>
      <x:c r="E1867" s="11" t="n">
        <x:v>39</x:v>
      </x:c>
      <x:c r="F1867" s="12" t="n">
        <x:v>190</x:v>
      </x:c>
      <x:c r="G1867" s="12" t="n">
        <x:v>7410</x:v>
      </x:c>
      <x:c r="H1867" s="13" t="n">
        <x:v>245</x:v>
      </x:c>
      <x:c r="I1867" s="13" t="n">
        <x:f>YEAR(B1867)</x:f>
        <x:v>2024</x:v>
      </x:c>
      <x:c r="J1867" s="13" t="n">
        <x:f>MONTH(B1867)</x:f>
        <x:v>4</x:v>
      </x:c>
      <x:c r="K1867" s="14" t="n">
        <x:f>ROUND(E1867*F1867-G1867,10)</x:f>
        <x:v>0</x:v>
      </x:c>
      <x:c r="L1867" s="2"/>
      <x:c r="M1867" s="2"/>
      <x:c r="N1867" s="2"/>
      <x:c r="O1867" s="2"/>
      <x:c r="P1867" s="2"/>
      <x:c r="Q1867" s="2"/>
      <x:c r="R1867" s="2"/>
    </x:row>
    <x:row r="1868" ht="22" customHeight="1">
      <x:c r="A1868" s="2" t="n">
        <x:v>101862</x:v>
      </x:c>
      <x:c r="B1868" s="10" t="n">
        <x:v>45518</x:v>
      </x:c>
      <x:c r="C1868" s="2" t="str">
        <x:v>Peru</x:v>
      </x:c>
      <x:c r="D1868" s="2" t="str">
        <x:v>Acessórios</x:v>
      </x:c>
      <x:c r="E1868" s="11" t="n">
        <x:v>23</x:v>
      </x:c>
      <x:c r="F1868" s="12" t="n">
        <x:v>58.21</x:v>
      </x:c>
      <x:c r="G1868" s="12" t="n">
        <x:v>1338.83</x:v>
      </x:c>
      <x:c r="H1868" s="13" t="n">
        <x:v>182</x:v>
      </x:c>
      <x:c r="I1868" s="13" t="n">
        <x:f>YEAR(B1868)</x:f>
        <x:v>2024</x:v>
      </x:c>
      <x:c r="J1868" s="13" t="n">
        <x:f>MONTH(B1868)</x:f>
        <x:v>8</x:v>
      </x:c>
      <x:c r="K1868" s="14" t="n">
        <x:f>ROUND(E1868*F1868-G1868,10)</x:f>
        <x:v>0</x:v>
      </x:c>
      <x:c r="L1868" s="2"/>
      <x:c r="M1868" s="2"/>
      <x:c r="N1868" s="2"/>
      <x:c r="O1868" s="2"/>
      <x:c r="P1868" s="2"/>
      <x:c r="Q1868" s="2"/>
      <x:c r="R1868" s="2"/>
    </x:row>
    <x:row r="1869" ht="22" customHeight="1">
      <x:c r="A1869" s="2" t="n">
        <x:v>101863</x:v>
      </x:c>
      <x:c r="B1869" s="10" t="n">
        <x:v>45583</x:v>
      </x:c>
      <x:c r="C1869" s="2" t="str">
        <x:v>Argentina</x:v>
      </x:c>
      <x:c r="D1869" s="2" t="str">
        <x:v>Moda Feminina</x:v>
      </x:c>
      <x:c r="E1869" s="11" t="n">
        <x:v>27</x:v>
      </x:c>
      <x:c r="F1869" s="12" t="n">
        <x:v>113.62</x:v>
      </x:c>
      <x:c r="G1869" s="12" t="n">
        <x:v>3067.74</x:v>
      </x:c>
      <x:c r="H1869" s="13" t="n">
        <x:v>135</x:v>
      </x:c>
      <x:c r="I1869" s="13" t="n">
        <x:f>YEAR(B1869)</x:f>
        <x:v>2024</x:v>
      </x:c>
      <x:c r="J1869" s="13" t="n">
        <x:f>MONTH(B1869)</x:f>
        <x:v>10</x:v>
      </x:c>
      <x:c r="K1869" s="14" t="n">
        <x:f>ROUND(E1869*F1869-G1869,10)</x:f>
        <x:v>0</x:v>
      </x:c>
      <x:c r="L1869" s="2"/>
      <x:c r="M1869" s="2"/>
      <x:c r="N1869" s="2"/>
      <x:c r="O1869" s="2"/>
      <x:c r="P1869" s="2"/>
      <x:c r="Q1869" s="2"/>
      <x:c r="R1869" s="2"/>
    </x:row>
    <x:row r="1870" ht="22" customHeight="1">
      <x:c r="A1870" s="2" t="n">
        <x:v>101864</x:v>
      </x:c>
      <x:c r="B1870" s="10" t="n">
        <x:v>45347</x:v>
      </x:c>
      <x:c r="C1870" s="2" t="str">
        <x:v>México</x:v>
      </x:c>
      <x:c r="D1870" s="2" t="str">
        <x:v>Moda Feminina</x:v>
      </x:c>
      <x:c r="E1870" s="11" t="n">
        <x:v>45</x:v>
      </x:c>
      <x:c r="F1870" s="12" t="n">
        <x:v>105.45</x:v>
      </x:c>
      <x:c r="G1870" s="12" t="n">
        <x:v>4745.25</x:v>
      </x:c>
      <x:c r="H1870" s="13" t="n">
        <x:v>344</x:v>
      </x:c>
      <x:c r="I1870" s="13" t="n">
        <x:f>YEAR(B1870)</x:f>
        <x:v>2024</x:v>
      </x:c>
      <x:c r="J1870" s="13" t="n">
        <x:f>MONTH(B1870)</x:f>
        <x:v>2</x:v>
      </x:c>
      <x:c r="K1870" s="14" t="n">
        <x:f>ROUND(E1870*F1870-G1870,10)</x:f>
        <x:v>0</x:v>
      </x:c>
      <x:c r="L1870" s="2"/>
      <x:c r="M1870" s="2"/>
      <x:c r="N1870" s="2"/>
      <x:c r="O1870" s="2"/>
      <x:c r="P1870" s="2"/>
      <x:c r="Q1870" s="2"/>
      <x:c r="R1870" s="2"/>
    </x:row>
    <x:row r="1871" ht="22" customHeight="1">
      <x:c r="A1871" s="2" t="n">
        <x:v>101865</x:v>
      </x:c>
      <x:c r="B1871" s="10" t="n">
        <x:v>45159</x:v>
      </x:c>
      <x:c r="C1871" s="2" t="str">
        <x:v>Chile</x:v>
      </x:c>
      <x:c r="D1871" s="2" t="str">
        <x:v>Moda Masculina</x:v>
      </x:c>
      <x:c r="E1871" s="11" t="n">
        <x:v>44</x:v>
      </x:c>
      <x:c r="F1871" s="12" t="n">
        <x:v>66.51</x:v>
      </x:c>
      <x:c r="G1871" s="12" t="n">
        <x:v>2926.44</x:v>
      </x:c>
      <x:c r="H1871" s="13" t="n">
        <x:v>328</x:v>
      </x:c>
      <x:c r="I1871" s="13" t="n">
        <x:f>YEAR(B1871)</x:f>
        <x:v>2023</x:v>
      </x:c>
      <x:c r="J1871" s="13" t="n">
        <x:f>MONTH(B1871)</x:f>
        <x:v>8</x:v>
      </x:c>
      <x:c r="K1871" s="14" t="n">
        <x:f>ROUND(E1871*F1871-G1871,10)</x:f>
        <x:v>0</x:v>
      </x:c>
      <x:c r="L1871" s="2"/>
      <x:c r="M1871" s="2"/>
      <x:c r="N1871" s="2"/>
      <x:c r="O1871" s="2"/>
      <x:c r="P1871" s="2"/>
      <x:c r="Q1871" s="2"/>
      <x:c r="R1871" s="2"/>
    </x:row>
    <x:row r="1872" ht="22" customHeight="1">
      <x:c r="A1872" s="2" t="n">
        <x:v>101866</x:v>
      </x:c>
      <x:c r="B1872" s="10" t="n">
        <x:v>45188</x:v>
      </x:c>
      <x:c r="C1872" s="2" t="str">
        <x:v>Brasil</x:v>
      </x:c>
      <x:c r="D1872" s="2" t="str">
        <x:v>Moda Infantil</x:v>
      </x:c>
      <x:c r="E1872" s="11" t="n">
        <x:v>18</x:v>
      </x:c>
      <x:c r="F1872" s="12" t="n">
        <x:v>167.35</x:v>
      </x:c>
      <x:c r="G1872" s="12" t="n">
        <x:v>3012.3</x:v>
      </x:c>
      <x:c r="H1872" s="13" t="n">
        <x:v>373</x:v>
      </x:c>
      <x:c r="I1872" s="13" t="n">
        <x:f>YEAR(B1872)</x:f>
        <x:v>2023</x:v>
      </x:c>
      <x:c r="J1872" s="13" t="n">
        <x:f>MONTH(B1872)</x:f>
        <x:v>9</x:v>
      </x:c>
      <x:c r="K1872" s="14" t="n">
        <x:f>ROUND(E1872*F1872-G1872,10)</x:f>
        <x:v>0</x:v>
      </x:c>
      <x:c r="L1872" s="2"/>
      <x:c r="M1872" s="2"/>
      <x:c r="N1872" s="2"/>
      <x:c r="O1872" s="2"/>
      <x:c r="P1872" s="2"/>
      <x:c r="Q1872" s="2"/>
      <x:c r="R1872" s="2"/>
    </x:row>
    <x:row r="1873" ht="22" customHeight="1">
      <x:c r="A1873" s="2" t="n">
        <x:v>101867</x:v>
      </x:c>
      <x:c r="B1873" s="10" t="n">
        <x:v>45111</x:v>
      </x:c>
      <x:c r="C1873" s="2" t="str">
        <x:v>Brasil</x:v>
      </x:c>
      <x:c r="D1873" s="2" t="str">
        <x:v>Moda Feminina</x:v>
      </x:c>
      <x:c r="E1873" s="11" t="n">
        <x:v>24</x:v>
      </x:c>
      <x:c r="F1873" s="12" t="n">
        <x:v>181.93</x:v>
      </x:c>
      <x:c r="G1873" s="12" t="n">
        <x:v>4366.32</x:v>
      </x:c>
      <x:c r="H1873" s="13" t="n">
        <x:v>229</x:v>
      </x:c>
      <x:c r="I1873" s="13" t="n">
        <x:f>YEAR(B1873)</x:f>
        <x:v>2023</x:v>
      </x:c>
      <x:c r="J1873" s="13" t="n">
        <x:f>MONTH(B1873)</x:f>
        <x:v>7</x:v>
      </x:c>
      <x:c r="K1873" s="14" t="n">
        <x:f>ROUND(E1873*F1873-G1873,10)</x:f>
        <x:v>0</x:v>
      </x:c>
      <x:c r="L1873" s="2"/>
      <x:c r="M1873" s="2"/>
      <x:c r="N1873" s="2"/>
      <x:c r="O1873" s="2"/>
      <x:c r="P1873" s="2"/>
      <x:c r="Q1873" s="2"/>
      <x:c r="R1873" s="2"/>
    </x:row>
    <x:row r="1874" ht="22" customHeight="1">
      <x:c r="A1874" s="2" t="n">
        <x:v>101868</x:v>
      </x:c>
      <x:c r="B1874" s="10" t="n">
        <x:v>45537</x:v>
      </x:c>
      <x:c r="C1874" s="2" t="str">
        <x:v>Colômbia</x:v>
      </x:c>
      <x:c r="D1874" s="2" t="str">
        <x:v>Moda Masculina</x:v>
      </x:c>
      <x:c r="E1874" s="11" t="n">
        <x:v>47</x:v>
      </x:c>
      <x:c r="F1874" s="12" t="n">
        <x:v>160.75</x:v>
      </x:c>
      <x:c r="G1874" s="12" t="n">
        <x:v>7555.25</x:v>
      </x:c>
      <x:c r="H1874" s="13" t="n">
        <x:v>53</x:v>
      </x:c>
      <x:c r="I1874" s="13" t="n">
        <x:f>YEAR(B1874)</x:f>
        <x:v>2024</x:v>
      </x:c>
      <x:c r="J1874" s="13" t="n">
        <x:f>MONTH(B1874)</x:f>
        <x:v>9</x:v>
      </x:c>
      <x:c r="K1874" s="14" t="n">
        <x:f>ROUND(E1874*F1874-G1874,10)</x:f>
        <x:v>0</x:v>
      </x:c>
      <x:c r="L1874" s="2"/>
      <x:c r="M1874" s="2"/>
      <x:c r="N1874" s="2"/>
      <x:c r="O1874" s="2"/>
      <x:c r="P1874" s="2"/>
      <x:c r="Q1874" s="2"/>
      <x:c r="R1874" s="2"/>
    </x:row>
    <x:row r="1875" ht="22" customHeight="1">
      <x:c r="A1875" s="2" t="n">
        <x:v>101869</x:v>
      </x:c>
      <x:c r="B1875" s="10" t="n">
        <x:v>44930</x:v>
      </x:c>
      <x:c r="C1875" s="2" t="str">
        <x:v>Argentina</x:v>
      </x:c>
      <x:c r="D1875" s="2" t="str">
        <x:v>Calçados</x:v>
      </x:c>
      <x:c r="E1875" s="11" t="n">
        <x:v>40</x:v>
      </x:c>
      <x:c r="F1875" s="12" t="n">
        <x:v>55.16</x:v>
      </x:c>
      <x:c r="G1875" s="12" t="n">
        <x:v>2206.4</x:v>
      </x:c>
      <x:c r="H1875" s="13" t="n">
        <x:v>175</x:v>
      </x:c>
      <x:c r="I1875" s="13" t="n">
        <x:f>YEAR(B1875)</x:f>
        <x:v>2023</x:v>
      </x:c>
      <x:c r="J1875" s="13" t="n">
        <x:f>MONTH(B1875)</x:f>
        <x:v>1</x:v>
      </x:c>
      <x:c r="K1875" s="14" t="n">
        <x:f>ROUND(E1875*F1875-G1875,10)</x:f>
        <x:v>0</x:v>
      </x:c>
      <x:c r="L1875" s="2"/>
      <x:c r="M1875" s="2"/>
      <x:c r="N1875" s="2"/>
      <x:c r="O1875" s="2"/>
      <x:c r="P1875" s="2"/>
      <x:c r="Q1875" s="2"/>
      <x:c r="R1875" s="2"/>
    </x:row>
    <x:row r="1876" ht="22" customHeight="1">
      <x:c r="A1876" s="2" t="n">
        <x:v>101870</x:v>
      </x:c>
      <x:c r="B1876" s="10" t="n">
        <x:v>45239</x:v>
      </x:c>
      <x:c r="C1876" s="2" t="str">
        <x:v>Colômbia</x:v>
      </x:c>
      <x:c r="D1876" s="2" t="str">
        <x:v>Moda Feminina</x:v>
      </x:c>
      <x:c r="E1876" s="11" t="n">
        <x:v>42</x:v>
      </x:c>
      <x:c r="F1876" s="12" t="n">
        <x:v>35.61</x:v>
      </x:c>
      <x:c r="G1876" s="12" t="n">
        <x:v>1495.62</x:v>
      </x:c>
      <x:c r="H1876" s="13" t="n">
        <x:v>224</x:v>
      </x:c>
      <x:c r="I1876" s="13" t="n">
        <x:f>YEAR(B1876)</x:f>
        <x:v>2023</x:v>
      </x:c>
      <x:c r="J1876" s="13" t="n">
        <x:f>MONTH(B1876)</x:f>
        <x:v>11</x:v>
      </x:c>
      <x:c r="K1876" s="14" t="n">
        <x:f>ROUND(E1876*F1876-G1876,10)</x:f>
        <x:v>0</x:v>
      </x:c>
      <x:c r="L1876" s="2"/>
      <x:c r="M1876" s="2"/>
      <x:c r="N1876" s="2"/>
      <x:c r="O1876" s="2"/>
      <x:c r="P1876" s="2"/>
      <x:c r="Q1876" s="2"/>
      <x:c r="R1876" s="2"/>
    </x:row>
    <x:row r="1877" ht="22" customHeight="1">
      <x:c r="A1877" s="2" t="n">
        <x:v>101871</x:v>
      </x:c>
      <x:c r="B1877" s="10" t="n">
        <x:v>45497</x:v>
      </x:c>
      <x:c r="C1877" s="2" t="str">
        <x:v>Chile</x:v>
      </x:c>
      <x:c r="D1877" s="2" t="str">
        <x:v>Moda Feminina</x:v>
      </x:c>
      <x:c r="E1877" s="11" t="n">
        <x:v>7</x:v>
      </x:c>
      <x:c r="F1877" s="12" t="n">
        <x:v>128.98</x:v>
      </x:c>
      <x:c r="G1877" s="12" t="n">
        <x:v>902.8599999999999</x:v>
      </x:c>
      <x:c r="H1877" s="13" t="n">
        <x:v>300</x:v>
      </x:c>
      <x:c r="I1877" s="13" t="n">
        <x:f>YEAR(B1877)</x:f>
        <x:v>2024</x:v>
      </x:c>
      <x:c r="J1877" s="13" t="n">
        <x:f>MONTH(B1877)</x:f>
        <x:v>7</x:v>
      </x:c>
      <x:c r="K1877" s="14" t="n">
        <x:f>ROUND(E1877*F1877-G1877,10)</x:f>
        <x:v>0</x:v>
      </x:c>
      <x:c r="L1877" s="2"/>
      <x:c r="M1877" s="2"/>
      <x:c r="N1877" s="2"/>
      <x:c r="O1877" s="2"/>
      <x:c r="P1877" s="2"/>
      <x:c r="Q1877" s="2"/>
      <x:c r="R1877" s="2"/>
    </x:row>
    <x:row r="1878" ht="22" customHeight="1">
      <x:c r="A1878" s="2" t="n">
        <x:v>101872</x:v>
      </x:c>
      <x:c r="B1878" s="10" t="n">
        <x:v>45151</x:v>
      </x:c>
      <x:c r="C1878" s="2" t="str">
        <x:v>Colômbia</x:v>
      </x:c>
      <x:c r="D1878" s="2" t="str">
        <x:v>Moda Masculina</x:v>
      </x:c>
      <x:c r="E1878" s="11" t="n">
        <x:v>48</x:v>
      </x:c>
      <x:c r="F1878" s="12" t="n">
        <x:v>30.28</x:v>
      </x:c>
      <x:c r="G1878" s="12" t="n">
        <x:v>1453.44</x:v>
      </x:c>
      <x:c r="H1878" s="13" t="n">
        <x:v>70</x:v>
      </x:c>
      <x:c r="I1878" s="13" t="n">
        <x:f>YEAR(B1878)</x:f>
        <x:v>2023</x:v>
      </x:c>
      <x:c r="J1878" s="13" t="n">
        <x:f>MONTH(B1878)</x:f>
        <x:v>8</x:v>
      </x:c>
      <x:c r="K1878" s="14" t="n">
        <x:f>ROUND(E1878*F1878-G1878,10)</x:f>
        <x:v>0</x:v>
      </x:c>
      <x:c r="L1878" s="2"/>
      <x:c r="M1878" s="2"/>
      <x:c r="N1878" s="2"/>
      <x:c r="O1878" s="2"/>
      <x:c r="P1878" s="2"/>
      <x:c r="Q1878" s="2"/>
      <x:c r="R1878" s="2"/>
    </x:row>
    <x:row r="1879" ht="22" customHeight="1">
      <x:c r="A1879" s="2" t="n">
        <x:v>101873</x:v>
      </x:c>
      <x:c r="B1879" s="10" t="n">
        <x:v>45461</x:v>
      </x:c>
      <x:c r="C1879" s="2" t="str">
        <x:v>Peru</x:v>
      </x:c>
      <x:c r="D1879" s="2" t="str">
        <x:v>Moda Infantil</x:v>
      </x:c>
      <x:c r="E1879" s="11" t="n">
        <x:v>20</x:v>
      </x:c>
      <x:c r="F1879" s="12" t="n">
        <x:v>141.11</x:v>
      </x:c>
      <x:c r="G1879" s="12" t="n">
        <x:v>2822.2</x:v>
      </x:c>
      <x:c r="H1879" s="13" t="n">
        <x:v>489</x:v>
      </x:c>
      <x:c r="I1879" s="13" t="n">
        <x:f>YEAR(B1879)</x:f>
        <x:v>2024</x:v>
      </x:c>
      <x:c r="J1879" s="13" t="n">
        <x:f>MONTH(B1879)</x:f>
        <x:v>6</x:v>
      </x:c>
      <x:c r="K1879" s="14" t="n">
        <x:f>ROUND(E1879*F1879-G1879,10)</x:f>
        <x:v>0</x:v>
      </x:c>
      <x:c r="L1879" s="2"/>
      <x:c r="M1879" s="2"/>
      <x:c r="N1879" s="2"/>
      <x:c r="O1879" s="2"/>
      <x:c r="P1879" s="2"/>
      <x:c r="Q1879" s="2"/>
      <x:c r="R1879" s="2"/>
    </x:row>
    <x:row r="1880" ht="22" customHeight="1">
      <x:c r="A1880" s="2" t="n">
        <x:v>101874</x:v>
      </x:c>
      <x:c r="B1880" s="10" t="n">
        <x:v>45196</x:v>
      </x:c>
      <x:c r="C1880" s="2" t="str">
        <x:v>Brasil</x:v>
      </x:c>
      <x:c r="D1880" s="2" t="str">
        <x:v>Moda Feminina</x:v>
      </x:c>
      <x:c r="E1880" s="11" t="n">
        <x:v>27</x:v>
      </x:c>
      <x:c r="F1880" s="12" t="n">
        <x:v>115.48</x:v>
      </x:c>
      <x:c r="G1880" s="12" t="n">
        <x:v>3117.96</x:v>
      </x:c>
      <x:c r="H1880" s="13" t="n">
        <x:v>154</x:v>
      </x:c>
      <x:c r="I1880" s="13" t="n">
        <x:f>YEAR(B1880)</x:f>
        <x:v>2023</x:v>
      </x:c>
      <x:c r="J1880" s="13" t="n">
        <x:f>MONTH(B1880)</x:f>
        <x:v>9</x:v>
      </x:c>
      <x:c r="K1880" s="14" t="n">
        <x:f>ROUND(E1880*F1880-G1880,10)</x:f>
        <x:v>0</x:v>
      </x:c>
      <x:c r="L1880" s="2"/>
      <x:c r="M1880" s="2"/>
      <x:c r="N1880" s="2"/>
      <x:c r="O1880" s="2"/>
      <x:c r="P1880" s="2"/>
      <x:c r="Q1880" s="2"/>
      <x:c r="R1880" s="2"/>
    </x:row>
    <x:row r="1881" ht="22" customHeight="1">
      <x:c r="A1881" s="2" t="n">
        <x:v>101875</x:v>
      </x:c>
      <x:c r="B1881" s="10" t="n">
        <x:v>45113</x:v>
      </x:c>
      <x:c r="C1881" s="2" t="str">
        <x:v>Brasil</x:v>
      </x:c>
      <x:c r="D1881" s="2" t="str">
        <x:v>Calçados</x:v>
      </x:c>
      <x:c r="E1881" s="11" t="n">
        <x:v>6</x:v>
      </x:c>
      <x:c r="F1881" s="12" t="n">
        <x:v>139.3</x:v>
      </x:c>
      <x:c r="G1881" s="12" t="n">
        <x:v>835.8000000000001</x:v>
      </x:c>
      <x:c r="H1881" s="13" t="n">
        <x:v>115</x:v>
      </x:c>
      <x:c r="I1881" s="13" t="n">
        <x:f>YEAR(B1881)</x:f>
        <x:v>2023</x:v>
      </x:c>
      <x:c r="J1881" s="13" t="n">
        <x:f>MONTH(B1881)</x:f>
        <x:v>7</x:v>
      </x:c>
      <x:c r="K1881" s="14" t="n">
        <x:f>ROUND(E1881*F1881-G1881,10)</x:f>
        <x:v>0</x:v>
      </x:c>
      <x:c r="L1881" s="2"/>
      <x:c r="M1881" s="2"/>
      <x:c r="N1881" s="2"/>
      <x:c r="O1881" s="2"/>
      <x:c r="P1881" s="2"/>
      <x:c r="Q1881" s="2"/>
      <x:c r="R1881" s="2"/>
    </x:row>
    <x:row r="1882" ht="22" customHeight="1">
      <x:c r="A1882" s="2" t="n">
        <x:v>101876</x:v>
      </x:c>
      <x:c r="B1882" s="10" t="n">
        <x:v>45404</x:v>
      </x:c>
      <x:c r="C1882" s="2" t="str">
        <x:v>México</x:v>
      </x:c>
      <x:c r="D1882" s="2" t="str">
        <x:v>Moda Feminina</x:v>
      </x:c>
      <x:c r="E1882" s="11" t="n">
        <x:v>27</x:v>
      </x:c>
      <x:c r="F1882" s="12" t="n">
        <x:v>126.23</x:v>
      </x:c>
      <x:c r="G1882" s="12" t="n">
        <x:v>3408.21</x:v>
      </x:c>
      <x:c r="H1882" s="13" t="n">
        <x:v>492</x:v>
      </x:c>
      <x:c r="I1882" s="13" t="n">
        <x:f>YEAR(B1882)</x:f>
        <x:v>2024</x:v>
      </x:c>
      <x:c r="J1882" s="13" t="n">
        <x:f>MONTH(B1882)</x:f>
        <x:v>4</x:v>
      </x:c>
      <x:c r="K1882" s="14" t="n">
        <x:f>ROUND(E1882*F1882-G1882,10)</x:f>
        <x:v>0</x:v>
      </x:c>
      <x:c r="L1882" s="2"/>
      <x:c r="M1882" s="2"/>
      <x:c r="N1882" s="2"/>
      <x:c r="O1882" s="2"/>
      <x:c r="P1882" s="2"/>
      <x:c r="Q1882" s="2"/>
      <x:c r="R1882" s="2"/>
    </x:row>
    <x:row r="1883" ht="22" customHeight="1">
      <x:c r="A1883" s="2" t="n">
        <x:v>101877</x:v>
      </x:c>
      <x:c r="B1883" s="10" t="n">
        <x:v>45489</x:v>
      </x:c>
      <x:c r="C1883" s="2" t="str">
        <x:v>México</x:v>
      </x:c>
      <x:c r="D1883" s="2" t="str">
        <x:v>Calçados</x:v>
      </x:c>
      <x:c r="E1883" s="11" t="n">
        <x:v>9</x:v>
      </x:c>
      <x:c r="F1883" s="12" t="n">
        <x:v>96.09</x:v>
      </x:c>
      <x:c r="G1883" s="12" t="n">
        <x:v>864.8100000000001</x:v>
      </x:c>
      <x:c r="H1883" s="13" t="n">
        <x:v>312</x:v>
      </x:c>
      <x:c r="I1883" s="13" t="n">
        <x:f>YEAR(B1883)</x:f>
        <x:v>2024</x:v>
      </x:c>
      <x:c r="J1883" s="13" t="n">
        <x:f>MONTH(B1883)</x:f>
        <x:v>7</x:v>
      </x:c>
      <x:c r="K1883" s="14" t="n">
        <x:f>ROUND(E1883*F1883-G1883,10)</x:f>
        <x:v>0</x:v>
      </x:c>
      <x:c r="L1883" s="2"/>
      <x:c r="M1883" s="2"/>
      <x:c r="N1883" s="2"/>
      <x:c r="O1883" s="2"/>
      <x:c r="P1883" s="2"/>
      <x:c r="Q1883" s="2"/>
      <x:c r="R1883" s="2"/>
    </x:row>
    <x:row r="1884" ht="22" customHeight="1">
      <x:c r="A1884" s="2" t="n">
        <x:v>101878</x:v>
      </x:c>
      <x:c r="B1884" s="10" t="n">
        <x:v>45056</x:v>
      </x:c>
      <x:c r="C1884" s="2" t="str">
        <x:v>Chile</x:v>
      </x:c>
      <x:c r="D1884" s="2" t="str">
        <x:v>Acessórios</x:v>
      </x:c>
      <x:c r="E1884" s="11" t="n">
        <x:v>45</x:v>
      </x:c>
      <x:c r="F1884" s="12" t="n">
        <x:v>56.16</x:v>
      </x:c>
      <x:c r="G1884" s="12" t="n">
        <x:v>2527.2</x:v>
      </x:c>
      <x:c r="H1884" s="13" t="n">
        <x:v>98</x:v>
      </x:c>
      <x:c r="I1884" s="13" t="n">
        <x:f>YEAR(B1884)</x:f>
        <x:v>2023</x:v>
      </x:c>
      <x:c r="J1884" s="13" t="n">
        <x:f>MONTH(B1884)</x:f>
        <x:v>5</x:v>
      </x:c>
      <x:c r="K1884" s="14" t="n">
        <x:f>ROUND(E1884*F1884-G1884,10)</x:f>
        <x:v>0</x:v>
      </x:c>
      <x:c r="L1884" s="2"/>
      <x:c r="M1884" s="2"/>
      <x:c r="N1884" s="2"/>
      <x:c r="O1884" s="2"/>
      <x:c r="P1884" s="2"/>
      <x:c r="Q1884" s="2"/>
      <x:c r="R1884" s="2"/>
    </x:row>
    <x:row r="1885" ht="22" customHeight="1">
      <x:c r="A1885" s="2" t="n">
        <x:v>101879</x:v>
      </x:c>
      <x:c r="B1885" s="10" t="n">
        <x:v>45080</x:v>
      </x:c>
      <x:c r="C1885" s="2" t="str">
        <x:v>Peru</x:v>
      </x:c>
      <x:c r="D1885" s="2" t="str">
        <x:v>Acessórios</x:v>
      </x:c>
      <x:c r="E1885" s="11" t="n">
        <x:v>31</x:v>
      </x:c>
      <x:c r="F1885" s="12" t="n">
        <x:v>75.03</x:v>
      </x:c>
      <x:c r="G1885" s="12" t="n">
        <x:v>2325.93</x:v>
      </x:c>
      <x:c r="H1885" s="13" t="n">
        <x:v>65</x:v>
      </x:c>
      <x:c r="I1885" s="13" t="n">
        <x:f>YEAR(B1885)</x:f>
        <x:v>2023</x:v>
      </x:c>
      <x:c r="J1885" s="13" t="n">
        <x:f>MONTH(B1885)</x:f>
        <x:v>6</x:v>
      </x:c>
      <x:c r="K1885" s="14" t="n">
        <x:f>ROUND(E1885*F1885-G1885,10)</x:f>
        <x:v>0</x:v>
      </x:c>
      <x:c r="L1885" s="2"/>
      <x:c r="M1885" s="2"/>
      <x:c r="N1885" s="2"/>
      <x:c r="O1885" s="2"/>
      <x:c r="P1885" s="2"/>
      <x:c r="Q1885" s="2"/>
      <x:c r="R1885" s="2"/>
    </x:row>
    <x:row r="1886" ht="22" customHeight="1">
      <x:c r="A1886" s="2" t="n">
        <x:v>101880</x:v>
      </x:c>
      <x:c r="B1886" s="10" t="n">
        <x:v>45217</x:v>
      </x:c>
      <x:c r="C1886" s="2" t="str">
        <x:v>Argentina</x:v>
      </x:c>
      <x:c r="D1886" s="2" t="str">
        <x:v>Calçados</x:v>
      </x:c>
      <x:c r="E1886" s="11" t="n">
        <x:v>21</x:v>
      </x:c>
      <x:c r="F1886" s="12" t="n">
        <x:v>114.41</x:v>
      </x:c>
      <x:c r="G1886" s="12" t="n">
        <x:v>2402.61</x:v>
      </x:c>
      <x:c r="H1886" s="13" t="n">
        <x:v>194</x:v>
      </x:c>
      <x:c r="I1886" s="13" t="n">
        <x:f>YEAR(B1886)</x:f>
        <x:v>2023</x:v>
      </x:c>
      <x:c r="J1886" s="13" t="n">
        <x:f>MONTH(B1886)</x:f>
        <x:v>10</x:v>
      </x:c>
      <x:c r="K1886" s="14" t="n">
        <x:f>ROUND(E1886*F1886-G1886,10)</x:f>
        <x:v>0</x:v>
      </x:c>
      <x:c r="L1886" s="2"/>
      <x:c r="M1886" s="2"/>
      <x:c r="N1886" s="2"/>
      <x:c r="O1886" s="2"/>
      <x:c r="P1886" s="2"/>
      <x:c r="Q1886" s="2"/>
      <x:c r="R1886" s="2"/>
    </x:row>
    <x:row r="1887" ht="22" customHeight="1">
      <x:c r="A1887" s="2" t="n">
        <x:v>101881</x:v>
      </x:c>
      <x:c r="B1887" s="10" t="n">
        <x:v>45117</x:v>
      </x:c>
      <x:c r="C1887" s="2" t="str">
        <x:v>Colômbia</x:v>
      </x:c>
      <x:c r="D1887" s="2" t="str">
        <x:v>Moda Infantil</x:v>
      </x:c>
      <x:c r="E1887" s="11" t="n">
        <x:v>26</x:v>
      </x:c>
      <x:c r="F1887" s="12" t="n">
        <x:v>137.34</x:v>
      </x:c>
      <x:c r="G1887" s="12" t="n">
        <x:v>3570.84</x:v>
      </x:c>
      <x:c r="H1887" s="13" t="n">
        <x:v>389</x:v>
      </x:c>
      <x:c r="I1887" s="13" t="n">
        <x:f>YEAR(B1887)</x:f>
        <x:v>2023</x:v>
      </x:c>
      <x:c r="J1887" s="13" t="n">
        <x:f>MONTH(B1887)</x:f>
        <x:v>7</x:v>
      </x:c>
      <x:c r="K1887" s="14" t="n">
        <x:f>ROUND(E1887*F1887-G1887,10)</x:f>
        <x:v>0</x:v>
      </x:c>
      <x:c r="L1887" s="2"/>
      <x:c r="M1887" s="2"/>
      <x:c r="N1887" s="2"/>
      <x:c r="O1887" s="2"/>
      <x:c r="P1887" s="2"/>
      <x:c r="Q1887" s="2"/>
      <x:c r="R1887" s="2"/>
    </x:row>
    <x:row r="1888" ht="22" customHeight="1">
      <x:c r="A1888" s="2" t="n">
        <x:v>101882</x:v>
      </x:c>
      <x:c r="B1888" s="10" t="n">
        <x:v>45022</x:v>
      </x:c>
      <x:c r="C1888" s="2" t="str">
        <x:v>Chile</x:v>
      </x:c>
      <x:c r="D1888" s="2" t="str">
        <x:v>Moda Feminina</x:v>
      </x:c>
      <x:c r="E1888" s="11" t="n">
        <x:v>40</x:v>
      </x:c>
      <x:c r="F1888" s="12" t="n">
        <x:v>160.31</x:v>
      </x:c>
      <x:c r="G1888" s="12" t="n">
        <x:v>6412.4</x:v>
      </x:c>
      <x:c r="H1888" s="13" t="n">
        <x:v>299</x:v>
      </x:c>
      <x:c r="I1888" s="13" t="n">
        <x:f>YEAR(B1888)</x:f>
        <x:v>2023</x:v>
      </x:c>
      <x:c r="J1888" s="13" t="n">
        <x:f>MONTH(B1888)</x:f>
        <x:v>4</x:v>
      </x:c>
      <x:c r="K1888" s="14" t="n">
        <x:f>ROUND(E1888*F1888-G1888,10)</x:f>
        <x:v>0</x:v>
      </x:c>
      <x:c r="L1888" s="2"/>
      <x:c r="M1888" s="2"/>
      <x:c r="N1888" s="2"/>
      <x:c r="O1888" s="2"/>
      <x:c r="P1888" s="2"/>
      <x:c r="Q1888" s="2"/>
      <x:c r="R1888" s="2"/>
    </x:row>
    <x:row r="1889" ht="22" customHeight="1">
      <x:c r="A1889" s="2" t="n">
        <x:v>101883</x:v>
      </x:c>
      <x:c r="B1889" s="10" t="n">
        <x:v>45359</x:v>
      </x:c>
      <x:c r="C1889" s="2" t="str">
        <x:v>México</x:v>
      </x:c>
      <x:c r="D1889" s="2" t="str">
        <x:v>Moda Feminina</x:v>
      </x:c>
      <x:c r="E1889" s="11" t="n">
        <x:v>48</x:v>
      </x:c>
      <x:c r="F1889" s="12" t="n">
        <x:v>158.09</x:v>
      </x:c>
      <x:c r="G1889" s="12" t="n">
        <x:v>7588.32</x:v>
      </x:c>
      <x:c r="H1889" s="13" t="n">
        <x:v>392</x:v>
      </x:c>
      <x:c r="I1889" s="13" t="n">
        <x:f>YEAR(B1889)</x:f>
        <x:v>2024</x:v>
      </x:c>
      <x:c r="J1889" s="13" t="n">
        <x:f>MONTH(B1889)</x:f>
        <x:v>3</x:v>
      </x:c>
      <x:c r="K1889" s="14" t="n">
        <x:f>ROUND(E1889*F1889-G1889,10)</x:f>
        <x:v>0</x:v>
      </x:c>
      <x:c r="L1889" s="2"/>
      <x:c r="M1889" s="2"/>
      <x:c r="N1889" s="2"/>
      <x:c r="O1889" s="2"/>
      <x:c r="P1889" s="2"/>
      <x:c r="Q1889" s="2"/>
      <x:c r="R1889" s="2"/>
    </x:row>
    <x:row r="1890" ht="22" customHeight="1">
      <x:c r="A1890" s="2" t="n">
        <x:v>101884</x:v>
      </x:c>
      <x:c r="B1890" s="10" t="n">
        <x:v>45354</x:v>
      </x:c>
      <x:c r="C1890" s="2" t="str">
        <x:v>Colômbia</x:v>
      </x:c>
      <x:c r="D1890" s="2" t="str">
        <x:v>Acessórios</x:v>
      </x:c>
      <x:c r="E1890" s="11" t="n">
        <x:v>45</x:v>
      </x:c>
      <x:c r="F1890" s="12" t="n">
        <x:v>195.08</x:v>
      </x:c>
      <x:c r="G1890" s="12" t="n">
        <x:v>8778.6</x:v>
      </x:c>
      <x:c r="H1890" s="13" t="n">
        <x:v>403</x:v>
      </x:c>
      <x:c r="I1890" s="13" t="n">
        <x:f>YEAR(B1890)</x:f>
        <x:v>2024</x:v>
      </x:c>
      <x:c r="J1890" s="13" t="n">
        <x:f>MONTH(B1890)</x:f>
        <x:v>3</x:v>
      </x:c>
      <x:c r="K1890" s="14" t="n">
        <x:f>ROUND(E1890*F1890-G1890,10)</x:f>
        <x:v>0</x:v>
      </x:c>
      <x:c r="L1890" s="2"/>
      <x:c r="M1890" s="2"/>
      <x:c r="N1890" s="2"/>
      <x:c r="O1890" s="2"/>
      <x:c r="P1890" s="2"/>
      <x:c r="Q1890" s="2"/>
      <x:c r="R1890" s="2"/>
    </x:row>
    <x:row r="1891" ht="22" customHeight="1">
      <x:c r="A1891" s="2" t="n">
        <x:v>101885</x:v>
      </x:c>
      <x:c r="B1891" s="10" t="n">
        <x:v>45387</x:v>
      </x:c>
      <x:c r="C1891" s="2" t="str">
        <x:v>México</x:v>
      </x:c>
      <x:c r="D1891" s="2" t="str">
        <x:v>Calçados</x:v>
      </x:c>
      <x:c r="E1891" s="11" t="n">
        <x:v>13</x:v>
      </x:c>
      <x:c r="F1891" s="12" t="n">
        <x:v>71.45</x:v>
      </x:c>
      <x:c r="G1891" s="12" t="n">
        <x:v>928.85</x:v>
      </x:c>
      <x:c r="H1891" s="13" t="n">
        <x:v>124</x:v>
      </x:c>
      <x:c r="I1891" s="13" t="n">
        <x:f>YEAR(B1891)</x:f>
        <x:v>2024</x:v>
      </x:c>
      <x:c r="J1891" s="13" t="n">
        <x:f>MONTH(B1891)</x:f>
        <x:v>4</x:v>
      </x:c>
      <x:c r="K1891" s="14" t="n">
        <x:f>ROUND(E1891*F1891-G1891,10)</x:f>
        <x:v>0</x:v>
      </x:c>
      <x:c r="L1891" s="2"/>
      <x:c r="M1891" s="2"/>
      <x:c r="N1891" s="2"/>
      <x:c r="O1891" s="2"/>
      <x:c r="P1891" s="2"/>
      <x:c r="Q1891" s="2"/>
      <x:c r="R1891" s="2"/>
    </x:row>
    <x:row r="1892" ht="22" customHeight="1">
      <x:c r="A1892" s="2" t="n">
        <x:v>101886</x:v>
      </x:c>
      <x:c r="B1892" s="10" t="n">
        <x:v>45636</x:v>
      </x:c>
      <x:c r="C1892" s="2" t="str">
        <x:v>Colômbia</x:v>
      </x:c>
      <x:c r="D1892" s="2" t="str">
        <x:v>Moda Feminina</x:v>
      </x:c>
      <x:c r="E1892" s="11" t="n">
        <x:v>49</x:v>
      </x:c>
      <x:c r="F1892" s="12" t="n">
        <x:v>32.8</x:v>
      </x:c>
      <x:c r="G1892" s="12" t="n">
        <x:v>1607.2</x:v>
      </x:c>
      <x:c r="H1892" s="13" t="n">
        <x:v>339</x:v>
      </x:c>
      <x:c r="I1892" s="13" t="n">
        <x:f>YEAR(B1892)</x:f>
        <x:v>2024</x:v>
      </x:c>
      <x:c r="J1892" s="13" t="n">
        <x:f>MONTH(B1892)</x:f>
        <x:v>12</x:v>
      </x:c>
      <x:c r="K1892" s="14" t="n">
        <x:f>ROUND(E1892*F1892-G1892,10)</x:f>
        <x:v>0</x:v>
      </x:c>
      <x:c r="L1892" s="2"/>
      <x:c r="M1892" s="2"/>
      <x:c r="N1892" s="2"/>
      <x:c r="O1892" s="2"/>
      <x:c r="P1892" s="2"/>
      <x:c r="Q1892" s="2"/>
      <x:c r="R1892" s="2"/>
    </x:row>
    <x:row r="1893" ht="22" customHeight="1">
      <x:c r="A1893" s="2" t="n">
        <x:v>101887</x:v>
      </x:c>
      <x:c r="B1893" s="10" t="n">
        <x:v>45089</x:v>
      </x:c>
      <x:c r="C1893" s="2" t="str">
        <x:v>Argentina</x:v>
      </x:c>
      <x:c r="D1893" s="2" t="str">
        <x:v>Moda Feminina</x:v>
      </x:c>
      <x:c r="E1893" s="11" t="n">
        <x:v>23</x:v>
      </x:c>
      <x:c r="F1893" s="12" t="n">
        <x:v>82.22</x:v>
      </x:c>
      <x:c r="G1893" s="12" t="n">
        <x:v>1891.06</x:v>
      </x:c>
      <x:c r="H1893" s="13" t="n">
        <x:v>466</x:v>
      </x:c>
      <x:c r="I1893" s="13" t="n">
        <x:f>YEAR(B1893)</x:f>
        <x:v>2023</x:v>
      </x:c>
      <x:c r="J1893" s="13" t="n">
        <x:f>MONTH(B1893)</x:f>
        <x:v>6</x:v>
      </x:c>
      <x:c r="K1893" s="14" t="n">
        <x:f>ROUND(E1893*F1893-G1893,10)</x:f>
        <x:v>0</x:v>
      </x:c>
      <x:c r="L1893" s="2"/>
      <x:c r="M1893" s="2"/>
      <x:c r="N1893" s="2"/>
      <x:c r="O1893" s="2"/>
      <x:c r="P1893" s="2"/>
      <x:c r="Q1893" s="2"/>
      <x:c r="R1893" s="2"/>
    </x:row>
    <x:row r="1894" ht="22" customHeight="1">
      <x:c r="A1894" s="2" t="n">
        <x:v>101888</x:v>
      </x:c>
      <x:c r="B1894" s="10" t="n">
        <x:v>45147</x:v>
      </x:c>
      <x:c r="C1894" s="2" t="str">
        <x:v>Chile</x:v>
      </x:c>
      <x:c r="D1894" s="2" t="str">
        <x:v>Moda Infantil</x:v>
      </x:c>
      <x:c r="E1894" s="11" t="n">
        <x:v>20</x:v>
      </x:c>
      <x:c r="F1894" s="12" t="n">
        <x:v>153.79</x:v>
      </x:c>
      <x:c r="G1894" s="12" t="n">
        <x:v>3075.8</x:v>
      </x:c>
      <x:c r="H1894" s="13" t="n">
        <x:v>331</x:v>
      </x:c>
      <x:c r="I1894" s="13" t="n">
        <x:f>YEAR(B1894)</x:f>
        <x:v>2023</x:v>
      </x:c>
      <x:c r="J1894" s="13" t="n">
        <x:f>MONTH(B1894)</x:f>
        <x:v>8</x:v>
      </x:c>
      <x:c r="K1894" s="14" t="n">
        <x:f>ROUND(E1894*F1894-G1894,10)</x:f>
        <x:v>0</x:v>
      </x:c>
      <x:c r="L1894" s="2"/>
      <x:c r="M1894" s="2"/>
      <x:c r="N1894" s="2"/>
      <x:c r="O1894" s="2"/>
      <x:c r="P1894" s="2"/>
      <x:c r="Q1894" s="2"/>
      <x:c r="R1894" s="2"/>
    </x:row>
    <x:row r="1895" ht="22" customHeight="1">
      <x:c r="A1895" s="2" t="n">
        <x:v>101889</x:v>
      </x:c>
      <x:c r="B1895" s="10" t="n">
        <x:v>45599</x:v>
      </x:c>
      <x:c r="C1895" s="2" t="str">
        <x:v>Colômbia</x:v>
      </x:c>
      <x:c r="D1895" s="2" t="str">
        <x:v>Moda Masculina</x:v>
      </x:c>
      <x:c r="E1895" s="11" t="n">
        <x:v>37</x:v>
      </x:c>
      <x:c r="F1895" s="12" t="n">
        <x:v>98.86</x:v>
      </x:c>
      <x:c r="G1895" s="12" t="n">
        <x:v>3657.82</x:v>
      </x:c>
      <x:c r="H1895" s="13" t="n">
        <x:v>115</x:v>
      </x:c>
      <x:c r="I1895" s="13" t="n">
        <x:f>YEAR(B1895)</x:f>
        <x:v>2024</x:v>
      </x:c>
      <x:c r="J1895" s="13" t="n">
        <x:f>MONTH(B1895)</x:f>
        <x:v>11</x:v>
      </x:c>
      <x:c r="K1895" s="14" t="n">
        <x:f>ROUND(E1895*F1895-G1895,10)</x:f>
        <x:v>0</x:v>
      </x:c>
      <x:c r="L1895" s="2"/>
      <x:c r="M1895" s="2"/>
      <x:c r="N1895" s="2"/>
      <x:c r="O1895" s="2"/>
      <x:c r="P1895" s="2"/>
      <x:c r="Q1895" s="2"/>
      <x:c r="R1895" s="2"/>
    </x:row>
    <x:row r="1896" ht="22" customHeight="1">
      <x:c r="A1896" s="2" t="n">
        <x:v>101890</x:v>
      </x:c>
      <x:c r="B1896" s="10" t="n">
        <x:v>44951</x:v>
      </x:c>
      <x:c r="C1896" s="2" t="str">
        <x:v>Peru</x:v>
      </x:c>
      <x:c r="D1896" s="2" t="str">
        <x:v>Acessórios</x:v>
      </x:c>
      <x:c r="E1896" s="11" t="n">
        <x:v>28</x:v>
      </x:c>
      <x:c r="F1896" s="12" t="n">
        <x:v>167.2</x:v>
      </x:c>
      <x:c r="G1896" s="12" t="n">
        <x:v>4681.599999999999</x:v>
      </x:c>
      <x:c r="H1896" s="13" t="n">
        <x:v>174</x:v>
      </x:c>
      <x:c r="I1896" s="13" t="n">
        <x:f>YEAR(B1896)</x:f>
        <x:v>2023</x:v>
      </x:c>
      <x:c r="J1896" s="13" t="n">
        <x:f>MONTH(B1896)</x:f>
        <x:v>1</x:v>
      </x:c>
      <x:c r="K1896" s="14" t="n">
        <x:f>ROUND(E1896*F1896-G1896,10)</x:f>
        <x:v>0</x:v>
      </x:c>
      <x:c r="L1896" s="2"/>
      <x:c r="M1896" s="2"/>
      <x:c r="N1896" s="2"/>
      <x:c r="O1896" s="2"/>
      <x:c r="P1896" s="2"/>
      <x:c r="Q1896" s="2"/>
      <x:c r="R1896" s="2"/>
    </x:row>
    <x:row r="1897" ht="22" customHeight="1">
      <x:c r="A1897" s="2" t="n">
        <x:v>101891</x:v>
      </x:c>
      <x:c r="B1897" s="10" t="n">
        <x:v>45275</x:v>
      </x:c>
      <x:c r="C1897" s="2" t="str">
        <x:v>Brasil</x:v>
      </x:c>
      <x:c r="D1897" s="2" t="str">
        <x:v>Acessórios</x:v>
      </x:c>
      <x:c r="E1897" s="11" t="n">
        <x:v>17</x:v>
      </x:c>
      <x:c r="F1897" s="12" t="n">
        <x:v>118.88</x:v>
      </x:c>
      <x:c r="G1897" s="12" t="n">
        <x:v>2020.96</x:v>
      </x:c>
      <x:c r="H1897" s="13" t="n">
        <x:v>368</x:v>
      </x:c>
      <x:c r="I1897" s="13" t="n">
        <x:f>YEAR(B1897)</x:f>
        <x:v>2023</x:v>
      </x:c>
      <x:c r="J1897" s="13" t="n">
        <x:f>MONTH(B1897)</x:f>
        <x:v>12</x:v>
      </x:c>
      <x:c r="K1897" s="14" t="n">
        <x:f>ROUND(E1897*F1897-G1897,10)</x:f>
        <x:v>0</x:v>
      </x:c>
      <x:c r="L1897" s="2"/>
      <x:c r="M1897" s="2"/>
      <x:c r="N1897" s="2"/>
      <x:c r="O1897" s="2"/>
      <x:c r="P1897" s="2"/>
      <x:c r="Q1897" s="2"/>
      <x:c r="R1897" s="2"/>
    </x:row>
    <x:row r="1898" ht="22" customHeight="1">
      <x:c r="A1898" s="2" t="n">
        <x:v>101892</x:v>
      </x:c>
      <x:c r="B1898" s="10" t="n">
        <x:v>45329</x:v>
      </x:c>
      <x:c r="C1898" s="2" t="str">
        <x:v>Peru</x:v>
      </x:c>
      <x:c r="D1898" s="2" t="str">
        <x:v>Moda Masculina</x:v>
      </x:c>
      <x:c r="E1898" s="11" t="n">
        <x:v>28</x:v>
      </x:c>
      <x:c r="F1898" s="12" t="n">
        <x:v>187.36</x:v>
      </x:c>
      <x:c r="G1898" s="12" t="n">
        <x:v>5246.08</x:v>
      </x:c>
      <x:c r="H1898" s="13" t="n">
        <x:v>136</x:v>
      </x:c>
      <x:c r="I1898" s="13" t="n">
        <x:f>YEAR(B1898)</x:f>
        <x:v>2024</x:v>
      </x:c>
      <x:c r="J1898" s="13" t="n">
        <x:f>MONTH(B1898)</x:f>
        <x:v>2</x:v>
      </x:c>
      <x:c r="K1898" s="14" t="n">
        <x:f>ROUND(E1898*F1898-G1898,10)</x:f>
        <x:v>0</x:v>
      </x:c>
      <x:c r="L1898" s="2"/>
      <x:c r="M1898" s="2"/>
      <x:c r="N1898" s="2"/>
      <x:c r="O1898" s="2"/>
      <x:c r="P1898" s="2"/>
      <x:c r="Q1898" s="2"/>
      <x:c r="R1898" s="2"/>
    </x:row>
    <x:row r="1899" ht="22" customHeight="1">
      <x:c r="A1899" s="2" t="n">
        <x:v>101893</x:v>
      </x:c>
      <x:c r="B1899" s="10" t="n">
        <x:v>45619</x:v>
      </x:c>
      <x:c r="C1899" s="2" t="str">
        <x:v>Peru</x:v>
      </x:c>
      <x:c r="D1899" s="2" t="str">
        <x:v>Moda Feminina</x:v>
      </x:c>
      <x:c r="E1899" s="11" t="n">
        <x:v>41</x:v>
      </x:c>
      <x:c r="F1899" s="12" t="n">
        <x:v>190.62</x:v>
      </x:c>
      <x:c r="G1899" s="12" t="n">
        <x:v>7815.42</x:v>
      </x:c>
      <x:c r="H1899" s="13" t="n">
        <x:v>90</x:v>
      </x:c>
      <x:c r="I1899" s="13" t="n">
        <x:f>YEAR(B1899)</x:f>
        <x:v>2024</x:v>
      </x:c>
      <x:c r="J1899" s="13" t="n">
        <x:f>MONTH(B1899)</x:f>
        <x:v>11</x:v>
      </x:c>
      <x:c r="K1899" s="14" t="n">
        <x:f>ROUND(E1899*F1899-G1899,10)</x:f>
        <x:v>0</x:v>
      </x:c>
      <x:c r="L1899" s="2"/>
      <x:c r="M1899" s="2"/>
      <x:c r="N1899" s="2"/>
      <x:c r="O1899" s="2"/>
      <x:c r="P1899" s="2"/>
      <x:c r="Q1899" s="2"/>
      <x:c r="R1899" s="2"/>
    </x:row>
    <x:row r="1900" ht="22" customHeight="1">
      <x:c r="A1900" s="2" t="n">
        <x:v>101894</x:v>
      </x:c>
      <x:c r="B1900" s="10" t="n">
        <x:v>45275</x:v>
      </x:c>
      <x:c r="C1900" s="2" t="str">
        <x:v>Brasil</x:v>
      </x:c>
      <x:c r="D1900" s="2" t="str">
        <x:v>Moda Infantil</x:v>
      </x:c>
      <x:c r="E1900" s="11" t="n">
        <x:v>2</x:v>
      </x:c>
      <x:c r="F1900" s="12" t="n">
        <x:v>32.47</x:v>
      </x:c>
      <x:c r="G1900" s="12" t="n">
        <x:v>64.94</x:v>
      </x:c>
      <x:c r="H1900" s="13" t="n">
        <x:v>235</x:v>
      </x:c>
      <x:c r="I1900" s="13" t="n">
        <x:f>YEAR(B1900)</x:f>
        <x:v>2023</x:v>
      </x:c>
      <x:c r="J1900" s="13" t="n">
        <x:f>MONTH(B1900)</x:f>
        <x:v>12</x:v>
      </x:c>
      <x:c r="K1900" s="14" t="n">
        <x:f>ROUND(E1900*F1900-G1900,10)</x:f>
        <x:v>0</x:v>
      </x:c>
      <x:c r="L1900" s="2"/>
      <x:c r="M1900" s="2"/>
      <x:c r="N1900" s="2"/>
      <x:c r="O1900" s="2"/>
      <x:c r="P1900" s="2"/>
      <x:c r="Q1900" s="2"/>
      <x:c r="R1900" s="2"/>
    </x:row>
    <x:row r="1901" ht="22" customHeight="1">
      <x:c r="A1901" s="2" t="n">
        <x:v>101895</x:v>
      </x:c>
      <x:c r="B1901" s="10" t="n">
        <x:v>45482</x:v>
      </x:c>
      <x:c r="C1901" s="2" t="str">
        <x:v>Peru</x:v>
      </x:c>
      <x:c r="D1901" s="2" t="str">
        <x:v>Moda Infantil</x:v>
      </x:c>
      <x:c r="E1901" s="11" t="n">
        <x:v>25</x:v>
      </x:c>
      <x:c r="F1901" s="12" t="n">
        <x:v>102.15</x:v>
      </x:c>
      <x:c r="G1901" s="12" t="n">
        <x:v>2553.75</x:v>
      </x:c>
      <x:c r="H1901" s="13" t="n">
        <x:v>403</x:v>
      </x:c>
      <x:c r="I1901" s="13" t="n">
        <x:f>YEAR(B1901)</x:f>
        <x:v>2024</x:v>
      </x:c>
      <x:c r="J1901" s="13" t="n">
        <x:f>MONTH(B1901)</x:f>
        <x:v>7</x:v>
      </x:c>
      <x:c r="K1901" s="14" t="n">
        <x:f>ROUND(E1901*F1901-G1901,10)</x:f>
        <x:v>0</x:v>
      </x:c>
      <x:c r="L1901" s="2"/>
      <x:c r="M1901" s="2"/>
      <x:c r="N1901" s="2"/>
      <x:c r="O1901" s="2"/>
      <x:c r="P1901" s="2"/>
      <x:c r="Q1901" s="2"/>
      <x:c r="R1901" s="2"/>
    </x:row>
    <x:row r="1902" ht="22" customHeight="1">
      <x:c r="A1902" s="2" t="n">
        <x:v>101896</x:v>
      </x:c>
      <x:c r="B1902" s="10" t="n">
        <x:v>45218</x:v>
      </x:c>
      <x:c r="C1902" s="2" t="str">
        <x:v>Colômbia</x:v>
      </x:c>
      <x:c r="D1902" s="2" t="str">
        <x:v>Acessórios</x:v>
      </x:c>
      <x:c r="E1902" s="11" t="n">
        <x:v>41</x:v>
      </x:c>
      <x:c r="F1902" s="12" t="n">
        <x:v>129.74</x:v>
      </x:c>
      <x:c r="G1902" s="12" t="n">
        <x:v>5319.34</x:v>
      </x:c>
      <x:c r="H1902" s="13" t="n">
        <x:v>429</x:v>
      </x:c>
      <x:c r="I1902" s="13" t="n">
        <x:f>YEAR(B1902)</x:f>
        <x:v>2023</x:v>
      </x:c>
      <x:c r="J1902" s="13" t="n">
        <x:f>MONTH(B1902)</x:f>
        <x:v>10</x:v>
      </x:c>
      <x:c r="K1902" s="14" t="n">
        <x:f>ROUND(E1902*F1902-G1902,10)</x:f>
        <x:v>0</x:v>
      </x:c>
      <x:c r="L1902" s="2"/>
      <x:c r="M1902" s="2"/>
      <x:c r="N1902" s="2"/>
      <x:c r="O1902" s="2"/>
      <x:c r="P1902" s="2"/>
      <x:c r="Q1902" s="2"/>
      <x:c r="R1902" s="2"/>
    </x:row>
    <x:row r="1903" ht="22" customHeight="1">
      <x:c r="A1903" s="2" t="n">
        <x:v>101897</x:v>
      </x:c>
      <x:c r="B1903" s="10" t="n">
        <x:v>45130</x:v>
      </x:c>
      <x:c r="C1903" s="2" t="str">
        <x:v>Colômbia</x:v>
      </x:c>
      <x:c r="D1903" s="2" t="str">
        <x:v>Moda Infantil</x:v>
      </x:c>
      <x:c r="E1903" s="11" t="n">
        <x:v>6</x:v>
      </x:c>
      <x:c r="F1903" s="12" t="n">
        <x:v>66.06</x:v>
      </x:c>
      <x:c r="G1903" s="12" t="n">
        <x:v>396.36</x:v>
      </x:c>
      <x:c r="H1903" s="13" t="n">
        <x:v>384</x:v>
      </x:c>
      <x:c r="I1903" s="13" t="n">
        <x:f>YEAR(B1903)</x:f>
        <x:v>2023</x:v>
      </x:c>
      <x:c r="J1903" s="13" t="n">
        <x:f>MONTH(B1903)</x:f>
        <x:v>7</x:v>
      </x:c>
      <x:c r="K1903" s="14" t="n">
        <x:f>ROUND(E1903*F1903-G1903,10)</x:f>
        <x:v>0</x:v>
      </x:c>
      <x:c r="L1903" s="2"/>
      <x:c r="M1903" s="2"/>
      <x:c r="N1903" s="2"/>
      <x:c r="O1903" s="2"/>
      <x:c r="P1903" s="2"/>
      <x:c r="Q1903" s="2"/>
      <x:c r="R1903" s="2"/>
    </x:row>
    <x:row r="1904" ht="22" customHeight="1">
      <x:c r="A1904" s="2" t="n">
        <x:v>101898</x:v>
      </x:c>
      <x:c r="B1904" s="10" t="n">
        <x:v>45648</x:v>
      </x:c>
      <x:c r="C1904" s="2" t="str">
        <x:v>Colômbia</x:v>
      </x:c>
      <x:c r="D1904" s="2" t="str">
        <x:v>Moda Masculina</x:v>
      </x:c>
      <x:c r="E1904" s="11" t="n">
        <x:v>11</x:v>
      </x:c>
      <x:c r="F1904" s="12" t="n">
        <x:v>93.27</x:v>
      </x:c>
      <x:c r="G1904" s="12" t="n">
        <x:v>1025.97</x:v>
      </x:c>
      <x:c r="H1904" s="13" t="n">
        <x:v>315</x:v>
      </x:c>
      <x:c r="I1904" s="13" t="n">
        <x:f>YEAR(B1904)</x:f>
        <x:v>2024</x:v>
      </x:c>
      <x:c r="J1904" s="13" t="n">
        <x:f>MONTH(B1904)</x:f>
        <x:v>12</x:v>
      </x:c>
      <x:c r="K1904" s="14" t="n">
        <x:f>ROUND(E1904*F1904-G1904,10)</x:f>
        <x:v>0</x:v>
      </x:c>
      <x:c r="L1904" s="2"/>
      <x:c r="M1904" s="2"/>
      <x:c r="N1904" s="2"/>
      <x:c r="O1904" s="2"/>
      <x:c r="P1904" s="2"/>
      <x:c r="Q1904" s="2"/>
      <x:c r="R1904" s="2"/>
    </x:row>
    <x:row r="1905" ht="22" customHeight="1">
      <x:c r="A1905" s="2" t="n">
        <x:v>101899</x:v>
      </x:c>
      <x:c r="B1905" s="10" t="n">
        <x:v>45519</x:v>
      </x:c>
      <x:c r="C1905" s="2" t="str">
        <x:v>Brasil</x:v>
      </x:c>
      <x:c r="D1905" s="2" t="str">
        <x:v>Moda Feminina</x:v>
      </x:c>
      <x:c r="E1905" s="11" t="n">
        <x:v>38</x:v>
      </x:c>
      <x:c r="F1905" s="12" t="n">
        <x:v>141.98</x:v>
      </x:c>
      <x:c r="G1905" s="12" t="n">
        <x:v>5395.24</x:v>
      </x:c>
      <x:c r="H1905" s="13" t="n">
        <x:v>320</x:v>
      </x:c>
      <x:c r="I1905" s="13" t="n">
        <x:f>YEAR(B1905)</x:f>
        <x:v>2024</x:v>
      </x:c>
      <x:c r="J1905" s="13" t="n">
        <x:f>MONTH(B1905)</x:f>
        <x:v>8</x:v>
      </x:c>
      <x:c r="K1905" s="14" t="n">
        <x:f>ROUND(E1905*F1905-G1905,10)</x:f>
        <x:v>0</x:v>
      </x:c>
      <x:c r="L1905" s="2"/>
      <x:c r="M1905" s="2"/>
      <x:c r="N1905" s="2"/>
      <x:c r="O1905" s="2"/>
      <x:c r="P1905" s="2"/>
      <x:c r="Q1905" s="2"/>
      <x:c r="R1905" s="2"/>
    </x:row>
    <x:row r="1906" ht="22" customHeight="1">
      <x:c r="A1906" s="2" t="n">
        <x:v>101900</x:v>
      </x:c>
      <x:c r="B1906" s="10" t="n">
        <x:v>45331</x:v>
      </x:c>
      <x:c r="C1906" s="2" t="str">
        <x:v>Peru</x:v>
      </x:c>
      <x:c r="D1906" s="2" t="str">
        <x:v>Moda Masculina</x:v>
      </x:c>
      <x:c r="E1906" s="11" t="n">
        <x:v>6</x:v>
      </x:c>
      <x:c r="F1906" s="12" t="n">
        <x:v>60.81</x:v>
      </x:c>
      <x:c r="G1906" s="12" t="n">
        <x:v>364.86</x:v>
      </x:c>
      <x:c r="H1906" s="13" t="n">
        <x:v>91</x:v>
      </x:c>
      <x:c r="I1906" s="13" t="n">
        <x:f>YEAR(B1906)</x:f>
        <x:v>2024</x:v>
      </x:c>
      <x:c r="J1906" s="13" t="n">
        <x:f>MONTH(B1906)</x:f>
        <x:v>2</x:v>
      </x:c>
      <x:c r="K1906" s="14" t="n">
        <x:f>ROUND(E1906*F1906-G1906,10)</x:f>
        <x:v>0</x:v>
      </x:c>
      <x:c r="L1906" s="2"/>
      <x:c r="M1906" s="2"/>
      <x:c r="N1906" s="2"/>
      <x:c r="O1906" s="2"/>
      <x:c r="P1906" s="2"/>
      <x:c r="Q1906" s="2"/>
      <x:c r="R1906" s="2"/>
    </x:row>
    <x:row r="1907" ht="22" customHeight="1">
      <x:c r="A1907" s="2" t="n">
        <x:v>101901</x:v>
      </x:c>
      <x:c r="B1907" s="10" t="n">
        <x:v>45151</x:v>
      </x:c>
      <x:c r="C1907" s="2" t="str">
        <x:v>Brasil</x:v>
      </x:c>
      <x:c r="D1907" s="2" t="str">
        <x:v>Calçados</x:v>
      </x:c>
      <x:c r="E1907" s="11" t="n">
        <x:v>45</x:v>
      </x:c>
      <x:c r="F1907" s="12" t="n">
        <x:v>128.36</x:v>
      </x:c>
      <x:c r="G1907" s="12" t="n">
        <x:v>5776.200000000001</x:v>
      </x:c>
      <x:c r="H1907" s="13" t="n">
        <x:v>142</x:v>
      </x:c>
      <x:c r="I1907" s="13" t="n">
        <x:f>YEAR(B1907)</x:f>
        <x:v>2023</x:v>
      </x:c>
      <x:c r="J1907" s="13" t="n">
        <x:f>MONTH(B1907)</x:f>
        <x:v>8</x:v>
      </x:c>
      <x:c r="K1907" s="14" t="n">
        <x:f>ROUND(E1907*F1907-G1907,10)</x:f>
        <x:v>0</x:v>
      </x:c>
      <x:c r="L1907" s="2"/>
      <x:c r="M1907" s="2"/>
      <x:c r="N1907" s="2"/>
      <x:c r="O1907" s="2"/>
      <x:c r="P1907" s="2"/>
      <x:c r="Q1907" s="2"/>
      <x:c r="R1907" s="2"/>
    </x:row>
    <x:row r="1908" ht="22" customHeight="1">
      <x:c r="A1908" s="2" t="n">
        <x:v>101902</x:v>
      </x:c>
      <x:c r="B1908" s="10" t="n">
        <x:v>45087</x:v>
      </x:c>
      <x:c r="C1908" s="2" t="str">
        <x:v>Colômbia</x:v>
      </x:c>
      <x:c r="D1908" s="2" t="str">
        <x:v>Acessórios</x:v>
      </x:c>
      <x:c r="E1908" s="11" t="n">
        <x:v>11</x:v>
      </x:c>
      <x:c r="F1908" s="12" t="n">
        <x:v>145.54</x:v>
      </x:c>
      <x:c r="G1908" s="12" t="n">
        <x:v>1600.94</x:v>
      </x:c>
      <x:c r="H1908" s="13" t="n">
        <x:v>234</x:v>
      </x:c>
      <x:c r="I1908" s="13" t="n">
        <x:f>YEAR(B1908)</x:f>
        <x:v>2023</x:v>
      </x:c>
      <x:c r="J1908" s="13" t="n">
        <x:f>MONTH(B1908)</x:f>
        <x:v>6</x:v>
      </x:c>
      <x:c r="K1908" s="14" t="n">
        <x:f>ROUND(E1908*F1908-G1908,10)</x:f>
        <x:v>0</x:v>
      </x:c>
      <x:c r="L1908" s="2"/>
      <x:c r="M1908" s="2"/>
      <x:c r="N1908" s="2"/>
      <x:c r="O1908" s="2"/>
      <x:c r="P1908" s="2"/>
      <x:c r="Q1908" s="2"/>
      <x:c r="R1908" s="2"/>
    </x:row>
    <x:row r="1909" ht="22" customHeight="1">
      <x:c r="A1909" s="2" t="n">
        <x:v>101903</x:v>
      </x:c>
      <x:c r="B1909" s="10" t="n">
        <x:v>45429</x:v>
      </x:c>
      <x:c r="C1909" s="2" t="str">
        <x:v>Peru</x:v>
      </x:c>
      <x:c r="D1909" s="2" t="str">
        <x:v>Moda Infantil</x:v>
      </x:c>
      <x:c r="E1909" s="11" t="n">
        <x:v>14</x:v>
      </x:c>
      <x:c r="F1909" s="12" t="n">
        <x:v>36.29</x:v>
      </x:c>
      <x:c r="G1909" s="12" t="n">
        <x:v>508.06</x:v>
      </x:c>
      <x:c r="H1909" s="13" t="n">
        <x:v>264</x:v>
      </x:c>
      <x:c r="I1909" s="13" t="n">
        <x:f>YEAR(B1909)</x:f>
        <x:v>2024</x:v>
      </x:c>
      <x:c r="J1909" s="13" t="n">
        <x:f>MONTH(B1909)</x:f>
        <x:v>5</x:v>
      </x:c>
      <x:c r="K1909" s="14" t="n">
        <x:f>ROUND(E1909*F1909-G1909,10)</x:f>
        <x:v>0</x:v>
      </x:c>
      <x:c r="L1909" s="2"/>
      <x:c r="M1909" s="2"/>
      <x:c r="N1909" s="2"/>
      <x:c r="O1909" s="2"/>
      <x:c r="P1909" s="2"/>
      <x:c r="Q1909" s="2"/>
      <x:c r="R1909" s="2"/>
    </x:row>
    <x:row r="1910" ht="22" customHeight="1">
      <x:c r="A1910" s="2" t="n">
        <x:v>101904</x:v>
      </x:c>
      <x:c r="B1910" s="10" t="n">
        <x:v>45597</x:v>
      </x:c>
      <x:c r="C1910" s="2" t="str">
        <x:v>Peru</x:v>
      </x:c>
      <x:c r="D1910" s="2" t="str">
        <x:v>Calçados</x:v>
      </x:c>
      <x:c r="E1910" s="11" t="n">
        <x:v>2</x:v>
      </x:c>
      <x:c r="F1910" s="12" t="n">
        <x:v>109.56</x:v>
      </x:c>
      <x:c r="G1910" s="12" t="n">
        <x:v>219.12</x:v>
      </x:c>
      <x:c r="H1910" s="13" t="n">
        <x:v>66</x:v>
      </x:c>
      <x:c r="I1910" s="13" t="n">
        <x:f>YEAR(B1910)</x:f>
        <x:v>2024</x:v>
      </x:c>
      <x:c r="J1910" s="13" t="n">
        <x:f>MONTH(B1910)</x:f>
        <x:v>11</x:v>
      </x:c>
      <x:c r="K1910" s="14" t="n">
        <x:f>ROUND(E1910*F1910-G1910,10)</x:f>
        <x:v>0</x:v>
      </x:c>
      <x:c r="L1910" s="2"/>
      <x:c r="M1910" s="2"/>
      <x:c r="N1910" s="2"/>
      <x:c r="O1910" s="2"/>
      <x:c r="P1910" s="2"/>
      <x:c r="Q1910" s="2"/>
      <x:c r="R1910" s="2"/>
    </x:row>
    <x:row r="1911" ht="22" customHeight="1">
      <x:c r="A1911" s="2" t="n">
        <x:v>101905</x:v>
      </x:c>
      <x:c r="B1911" s="10" t="n">
        <x:v>45619</x:v>
      </x:c>
      <x:c r="C1911" s="2" t="str">
        <x:v>México</x:v>
      </x:c>
      <x:c r="D1911" s="2" t="str">
        <x:v>Moda Infantil</x:v>
      </x:c>
      <x:c r="E1911" s="11" t="n">
        <x:v>40</x:v>
      </x:c>
      <x:c r="F1911" s="12" t="n">
        <x:v>67.35</x:v>
      </x:c>
      <x:c r="G1911" s="12" t="n">
        <x:v>2694</x:v>
      </x:c>
      <x:c r="H1911" s="13" t="n">
        <x:v>493</x:v>
      </x:c>
      <x:c r="I1911" s="13" t="n">
        <x:f>YEAR(B1911)</x:f>
        <x:v>2024</x:v>
      </x:c>
      <x:c r="J1911" s="13" t="n">
        <x:f>MONTH(B1911)</x:f>
        <x:v>11</x:v>
      </x:c>
      <x:c r="K1911" s="14" t="n">
        <x:f>ROUND(E1911*F1911-G1911,10)</x:f>
        <x:v>0</x:v>
      </x:c>
      <x:c r="L1911" s="2"/>
      <x:c r="M1911" s="2"/>
      <x:c r="N1911" s="2"/>
      <x:c r="O1911" s="2"/>
      <x:c r="P1911" s="2"/>
      <x:c r="Q1911" s="2"/>
      <x:c r="R1911" s="2"/>
    </x:row>
    <x:row r="1912" ht="22" customHeight="1">
      <x:c r="A1912" s="2" t="n">
        <x:v>101906</x:v>
      </x:c>
      <x:c r="B1912" s="10" t="n">
        <x:v>44987</x:v>
      </x:c>
      <x:c r="C1912" s="2" t="str">
        <x:v>México</x:v>
      </x:c>
      <x:c r="D1912" s="2" t="str">
        <x:v>Moda Feminina</x:v>
      </x:c>
      <x:c r="E1912" s="11" t="n">
        <x:v>3</x:v>
      </x:c>
      <x:c r="F1912" s="12" t="n">
        <x:v>150.39</x:v>
      </x:c>
      <x:c r="G1912" s="12" t="n">
        <x:v>451.17</x:v>
      </x:c>
      <x:c r="H1912" s="13" t="n">
        <x:v>314</x:v>
      </x:c>
      <x:c r="I1912" s="13" t="n">
        <x:f>YEAR(B1912)</x:f>
        <x:v>2023</x:v>
      </x:c>
      <x:c r="J1912" s="13" t="n">
        <x:f>MONTH(B1912)</x:f>
        <x:v>3</x:v>
      </x:c>
      <x:c r="K1912" s="14" t="n">
        <x:f>ROUND(E1912*F1912-G1912,10)</x:f>
        <x:v>0</x:v>
      </x:c>
      <x:c r="L1912" s="2"/>
      <x:c r="M1912" s="2"/>
      <x:c r="N1912" s="2"/>
      <x:c r="O1912" s="2"/>
      <x:c r="P1912" s="2"/>
      <x:c r="Q1912" s="2"/>
      <x:c r="R1912" s="2"/>
    </x:row>
    <x:row r="1913" ht="22" customHeight="1">
      <x:c r="A1913" s="2" t="n">
        <x:v>101907</x:v>
      </x:c>
      <x:c r="B1913" s="10" t="n">
        <x:v>45053</x:v>
      </x:c>
      <x:c r="C1913" s="2" t="str">
        <x:v>Argentina</x:v>
      </x:c>
      <x:c r="D1913" s="2" t="str">
        <x:v>Moda Feminina</x:v>
      </x:c>
      <x:c r="E1913" s="11" t="n">
        <x:v>35</x:v>
      </x:c>
      <x:c r="F1913" s="12" t="n">
        <x:v>54.12</x:v>
      </x:c>
      <x:c r="G1913" s="12" t="n">
        <x:v>1894.2</x:v>
      </x:c>
      <x:c r="H1913" s="13" t="n">
        <x:v>163</x:v>
      </x:c>
      <x:c r="I1913" s="13" t="n">
        <x:f>YEAR(B1913)</x:f>
        <x:v>2023</x:v>
      </x:c>
      <x:c r="J1913" s="13" t="n">
        <x:f>MONTH(B1913)</x:f>
        <x:v>5</x:v>
      </x:c>
      <x:c r="K1913" s="14" t="n">
        <x:f>ROUND(E1913*F1913-G1913,10)</x:f>
        <x:v>0</x:v>
      </x:c>
      <x:c r="L1913" s="2"/>
      <x:c r="M1913" s="2"/>
      <x:c r="N1913" s="2"/>
      <x:c r="O1913" s="2"/>
      <x:c r="P1913" s="2"/>
      <x:c r="Q1913" s="2"/>
      <x:c r="R1913" s="2"/>
    </x:row>
    <x:row r="1914" ht="22" customHeight="1">
      <x:c r="A1914" s="2" t="n">
        <x:v>101908</x:v>
      </x:c>
      <x:c r="B1914" s="10" t="n">
        <x:v>45562</x:v>
      </x:c>
      <x:c r="C1914" s="2" t="str">
        <x:v>Chile</x:v>
      </x:c>
      <x:c r="D1914" s="2" t="str">
        <x:v>Moda Feminina</x:v>
      </x:c>
      <x:c r="E1914" s="11" t="n">
        <x:v>33</x:v>
      </x:c>
      <x:c r="F1914" s="12" t="n">
        <x:v>180.6</x:v>
      </x:c>
      <x:c r="G1914" s="12" t="n">
        <x:v>5959.8</x:v>
      </x:c>
      <x:c r="H1914" s="13" t="n">
        <x:v>341</x:v>
      </x:c>
      <x:c r="I1914" s="13" t="n">
        <x:f>YEAR(B1914)</x:f>
        <x:v>2024</x:v>
      </x:c>
      <x:c r="J1914" s="13" t="n">
        <x:f>MONTH(B1914)</x:f>
        <x:v>9</x:v>
      </x:c>
      <x:c r="K1914" s="14" t="n">
        <x:f>ROUND(E1914*F1914-G1914,10)</x:f>
        <x:v>0</x:v>
      </x:c>
      <x:c r="L1914" s="2"/>
      <x:c r="M1914" s="2"/>
      <x:c r="N1914" s="2"/>
      <x:c r="O1914" s="2"/>
      <x:c r="P1914" s="2"/>
      <x:c r="Q1914" s="2"/>
      <x:c r="R1914" s="2"/>
    </x:row>
    <x:row r="1915" ht="22" customHeight="1">
      <x:c r="A1915" s="2" t="n">
        <x:v>101909</x:v>
      </x:c>
      <x:c r="B1915" s="10" t="n">
        <x:v>44968</x:v>
      </x:c>
      <x:c r="C1915" s="2" t="str">
        <x:v>México</x:v>
      </x:c>
      <x:c r="D1915" s="2" t="str">
        <x:v>Moda Infantil</x:v>
      </x:c>
      <x:c r="E1915" s="11" t="n">
        <x:v>24</x:v>
      </x:c>
      <x:c r="F1915" s="12" t="n">
        <x:v>97.57</x:v>
      </x:c>
      <x:c r="G1915" s="12" t="n">
        <x:v>2341.68</x:v>
      </x:c>
      <x:c r="H1915" s="13" t="n">
        <x:v>341</x:v>
      </x:c>
      <x:c r="I1915" s="13" t="n">
        <x:f>YEAR(B1915)</x:f>
        <x:v>2023</x:v>
      </x:c>
      <x:c r="J1915" s="13" t="n">
        <x:f>MONTH(B1915)</x:f>
        <x:v>2</x:v>
      </x:c>
      <x:c r="K1915" s="14" t="n">
        <x:f>ROUND(E1915*F1915-G1915,10)</x:f>
        <x:v>0</x:v>
      </x:c>
      <x:c r="L1915" s="2"/>
      <x:c r="M1915" s="2"/>
      <x:c r="N1915" s="2"/>
      <x:c r="O1915" s="2"/>
      <x:c r="P1915" s="2"/>
      <x:c r="Q1915" s="2"/>
      <x:c r="R1915" s="2"/>
    </x:row>
    <x:row r="1916" ht="22" customHeight="1">
      <x:c r="A1916" s="2" t="n">
        <x:v>101910</x:v>
      </x:c>
      <x:c r="B1916" s="10" t="n">
        <x:v>45589</x:v>
      </x:c>
      <x:c r="C1916" s="2" t="str">
        <x:v>Brasil</x:v>
      </x:c>
      <x:c r="D1916" s="2" t="str">
        <x:v>Calçados</x:v>
      </x:c>
      <x:c r="E1916" s="11" t="n">
        <x:v>19</x:v>
      </x:c>
      <x:c r="F1916" s="12" t="n">
        <x:v>55.64</x:v>
      </x:c>
      <x:c r="G1916" s="12" t="n">
        <x:v>1057.16</x:v>
      </x:c>
      <x:c r="H1916" s="13" t="n">
        <x:v>97</x:v>
      </x:c>
      <x:c r="I1916" s="13" t="n">
        <x:f>YEAR(B1916)</x:f>
        <x:v>2024</x:v>
      </x:c>
      <x:c r="J1916" s="13" t="n">
        <x:f>MONTH(B1916)</x:f>
        <x:v>10</x:v>
      </x:c>
      <x:c r="K1916" s="14" t="n">
        <x:f>ROUND(E1916*F1916-G1916,10)</x:f>
        <x:v>0</x:v>
      </x:c>
      <x:c r="L1916" s="2"/>
      <x:c r="M1916" s="2"/>
      <x:c r="N1916" s="2"/>
      <x:c r="O1916" s="2"/>
      <x:c r="P1916" s="2"/>
      <x:c r="Q1916" s="2"/>
      <x:c r="R1916" s="2"/>
    </x:row>
    <x:row r="1917" ht="22" customHeight="1">
      <x:c r="A1917" s="2" t="n">
        <x:v>101911</x:v>
      </x:c>
      <x:c r="B1917" s="10" t="n">
        <x:v>45615</x:v>
      </x:c>
      <x:c r="C1917" s="2" t="str">
        <x:v>México</x:v>
      </x:c>
      <x:c r="D1917" s="2" t="str">
        <x:v>Moda Feminina</x:v>
      </x:c>
      <x:c r="E1917" s="11" t="n">
        <x:v>18</x:v>
      </x:c>
      <x:c r="F1917" s="12" t="n">
        <x:v>98.84</x:v>
      </x:c>
      <x:c r="G1917" s="12" t="n">
        <x:v>1779.12</x:v>
      </x:c>
      <x:c r="H1917" s="13" t="n">
        <x:v>356</x:v>
      </x:c>
      <x:c r="I1917" s="13" t="n">
        <x:f>YEAR(B1917)</x:f>
        <x:v>2024</x:v>
      </x:c>
      <x:c r="J1917" s="13" t="n">
        <x:f>MONTH(B1917)</x:f>
        <x:v>11</x:v>
      </x:c>
      <x:c r="K1917" s="14" t="n">
        <x:f>ROUND(E1917*F1917-G1917,10)</x:f>
        <x:v>0</x:v>
      </x:c>
      <x:c r="L1917" s="2"/>
      <x:c r="M1917" s="2"/>
      <x:c r="N1917" s="2"/>
      <x:c r="O1917" s="2"/>
      <x:c r="P1917" s="2"/>
      <x:c r="Q1917" s="2"/>
      <x:c r="R1917" s="2"/>
    </x:row>
    <x:row r="1918" ht="22" customHeight="1">
      <x:c r="A1918" s="2" t="n">
        <x:v>101912</x:v>
      </x:c>
      <x:c r="B1918" s="10" t="n">
        <x:v>45056</x:v>
      </x:c>
      <x:c r="C1918" s="2" t="str">
        <x:v>Argentina</x:v>
      </x:c>
      <x:c r="D1918" s="2" t="str">
        <x:v>Calçados</x:v>
      </x:c>
      <x:c r="E1918" s="11" t="n">
        <x:v>49</x:v>
      </x:c>
      <x:c r="F1918" s="12" t="n">
        <x:v>93.57</x:v>
      </x:c>
      <x:c r="G1918" s="12" t="n">
        <x:v>4584.929999999999</x:v>
      </x:c>
      <x:c r="H1918" s="13" t="n">
        <x:v>146</x:v>
      </x:c>
      <x:c r="I1918" s="13" t="n">
        <x:f>YEAR(B1918)</x:f>
        <x:v>2023</x:v>
      </x:c>
      <x:c r="J1918" s="13" t="n">
        <x:f>MONTH(B1918)</x:f>
        <x:v>5</x:v>
      </x:c>
      <x:c r="K1918" s="14" t="n">
        <x:f>ROUND(E1918*F1918-G1918,10)</x:f>
        <x:v>0</x:v>
      </x:c>
      <x:c r="L1918" s="2"/>
      <x:c r="M1918" s="2"/>
      <x:c r="N1918" s="2"/>
      <x:c r="O1918" s="2"/>
      <x:c r="P1918" s="2"/>
      <x:c r="Q1918" s="2"/>
      <x:c r="R1918" s="2"/>
    </x:row>
    <x:row r="1919" ht="22" customHeight="1">
      <x:c r="A1919" s="2" t="n">
        <x:v>101913</x:v>
      </x:c>
      <x:c r="B1919" s="10" t="n">
        <x:v>45215</x:v>
      </x:c>
      <x:c r="C1919" s="2" t="str">
        <x:v>Peru</x:v>
      </x:c>
      <x:c r="D1919" s="2" t="str">
        <x:v>Moda Infantil</x:v>
      </x:c>
      <x:c r="E1919" s="11" t="n">
        <x:v>24</x:v>
      </x:c>
      <x:c r="F1919" s="12" t="n">
        <x:v>97.21</x:v>
      </x:c>
      <x:c r="G1919" s="12" t="n">
        <x:v>2333.04</x:v>
      </x:c>
      <x:c r="H1919" s="13" t="n">
        <x:v>424</x:v>
      </x:c>
      <x:c r="I1919" s="13" t="n">
        <x:f>YEAR(B1919)</x:f>
        <x:v>2023</x:v>
      </x:c>
      <x:c r="J1919" s="13" t="n">
        <x:f>MONTH(B1919)</x:f>
        <x:v>10</x:v>
      </x:c>
      <x:c r="K1919" s="14" t="n">
        <x:f>ROUND(E1919*F1919-G1919,10)</x:f>
        <x:v>0</x:v>
      </x:c>
      <x:c r="L1919" s="2"/>
      <x:c r="M1919" s="2"/>
      <x:c r="N1919" s="2"/>
      <x:c r="O1919" s="2"/>
      <x:c r="P1919" s="2"/>
      <x:c r="Q1919" s="2"/>
      <x:c r="R1919" s="2"/>
    </x:row>
    <x:row r="1920" ht="22" customHeight="1">
      <x:c r="A1920" s="2" t="n">
        <x:v>101914</x:v>
      </x:c>
      <x:c r="B1920" s="10" t="n">
        <x:v>45481</x:v>
      </x:c>
      <x:c r="C1920" s="2" t="str">
        <x:v>Argentina</x:v>
      </x:c>
      <x:c r="D1920" s="2" t="str">
        <x:v>Calçados</x:v>
      </x:c>
      <x:c r="E1920" s="11" t="n">
        <x:v>45</x:v>
      </x:c>
      <x:c r="F1920" s="12" t="n">
        <x:v>125.4</x:v>
      </x:c>
      <x:c r="G1920" s="12" t="n">
        <x:v>5643</x:v>
      </x:c>
      <x:c r="H1920" s="13" t="n">
        <x:v>144</x:v>
      </x:c>
      <x:c r="I1920" s="13" t="n">
        <x:f>YEAR(B1920)</x:f>
        <x:v>2024</x:v>
      </x:c>
      <x:c r="J1920" s="13" t="n">
        <x:f>MONTH(B1920)</x:f>
        <x:v>7</x:v>
      </x:c>
      <x:c r="K1920" s="14" t="n">
        <x:f>ROUND(E1920*F1920-G1920,10)</x:f>
        <x:v>0</x:v>
      </x:c>
      <x:c r="L1920" s="2"/>
      <x:c r="M1920" s="2"/>
      <x:c r="N1920" s="2"/>
      <x:c r="O1920" s="2"/>
      <x:c r="P1920" s="2"/>
      <x:c r="Q1920" s="2"/>
      <x:c r="R1920" s="2"/>
    </x:row>
    <x:row r="1921" ht="22" customHeight="1">
      <x:c r="A1921" s="2" t="n">
        <x:v>101915</x:v>
      </x:c>
      <x:c r="B1921" s="10" t="n">
        <x:v>45001</x:v>
      </x:c>
      <x:c r="C1921" s="2" t="str">
        <x:v>Peru</x:v>
      </x:c>
      <x:c r="D1921" s="2" t="str">
        <x:v>Moda Infantil</x:v>
      </x:c>
      <x:c r="E1921" s="11" t="n">
        <x:v>35</x:v>
      </x:c>
      <x:c r="F1921" s="12" t="n">
        <x:v>113.81</x:v>
      </x:c>
      <x:c r="G1921" s="12" t="n">
        <x:v>3983.35</x:v>
      </x:c>
      <x:c r="H1921" s="13" t="n">
        <x:v>375</x:v>
      </x:c>
      <x:c r="I1921" s="13" t="n">
        <x:f>YEAR(B1921)</x:f>
        <x:v>2023</x:v>
      </x:c>
      <x:c r="J1921" s="13" t="n">
        <x:f>MONTH(B1921)</x:f>
        <x:v>3</x:v>
      </x:c>
      <x:c r="K1921" s="14" t="n">
        <x:f>ROUND(E1921*F1921-G1921,10)</x:f>
        <x:v>0</x:v>
      </x:c>
      <x:c r="L1921" s="2"/>
      <x:c r="M1921" s="2"/>
      <x:c r="N1921" s="2"/>
      <x:c r="O1921" s="2"/>
      <x:c r="P1921" s="2"/>
      <x:c r="Q1921" s="2"/>
      <x:c r="R1921" s="2"/>
    </x:row>
    <x:row r="1922" ht="22" customHeight="1">
      <x:c r="A1922" s="2" t="n">
        <x:v>101916</x:v>
      </x:c>
      <x:c r="B1922" s="10" t="n">
        <x:v>45492</x:v>
      </x:c>
      <x:c r="C1922" s="2" t="str">
        <x:v>Peru</x:v>
      </x:c>
      <x:c r="D1922" s="2" t="str">
        <x:v>Moda Infantil</x:v>
      </x:c>
      <x:c r="E1922" s="11" t="n">
        <x:v>1</x:v>
      </x:c>
      <x:c r="F1922" s="12" t="n">
        <x:v>46.96</x:v>
      </x:c>
      <x:c r="G1922" s="12" t="n">
        <x:v>46.96</x:v>
      </x:c>
      <x:c r="H1922" s="13" t="n">
        <x:v>123</x:v>
      </x:c>
      <x:c r="I1922" s="13" t="n">
        <x:f>YEAR(B1922)</x:f>
        <x:v>2024</x:v>
      </x:c>
      <x:c r="J1922" s="13" t="n">
        <x:f>MONTH(B1922)</x:f>
        <x:v>7</x:v>
      </x:c>
      <x:c r="K1922" s="14" t="n">
        <x:f>ROUND(E1922*F1922-G1922,10)</x:f>
        <x:v>0</x:v>
      </x:c>
      <x:c r="L1922" s="2"/>
      <x:c r="M1922" s="2"/>
      <x:c r="N1922" s="2"/>
      <x:c r="O1922" s="2"/>
      <x:c r="P1922" s="2"/>
      <x:c r="Q1922" s="2"/>
      <x:c r="R1922" s="2"/>
    </x:row>
    <x:row r="1923" ht="22" customHeight="1">
      <x:c r="A1923" s="2" t="n">
        <x:v>101917</x:v>
      </x:c>
      <x:c r="B1923" s="10" t="n">
        <x:v>45278</x:v>
      </x:c>
      <x:c r="C1923" s="2" t="str">
        <x:v>Chile</x:v>
      </x:c>
      <x:c r="D1923" s="2" t="str">
        <x:v>Acessórios</x:v>
      </x:c>
      <x:c r="E1923" s="11" t="n">
        <x:v>36</x:v>
      </x:c>
      <x:c r="F1923" s="12" t="n">
        <x:v>31.8</x:v>
      </x:c>
      <x:c r="G1923" s="12" t="n">
        <x:v>1144.8</x:v>
      </x:c>
      <x:c r="H1923" s="13" t="n">
        <x:v>385</x:v>
      </x:c>
      <x:c r="I1923" s="13" t="n">
        <x:f>YEAR(B1923)</x:f>
        <x:v>2023</x:v>
      </x:c>
      <x:c r="J1923" s="13" t="n">
        <x:f>MONTH(B1923)</x:f>
        <x:v>12</x:v>
      </x:c>
      <x:c r="K1923" s="14" t="n">
        <x:f>ROUND(E1923*F1923-G1923,10)</x:f>
        <x:v>0</x:v>
      </x:c>
      <x:c r="L1923" s="2"/>
      <x:c r="M1923" s="2"/>
      <x:c r="N1923" s="2"/>
      <x:c r="O1923" s="2"/>
      <x:c r="P1923" s="2"/>
      <x:c r="Q1923" s="2"/>
      <x:c r="R1923" s="2"/>
    </x:row>
    <x:row r="1924" ht="22" customHeight="1">
      <x:c r="A1924" s="2" t="n">
        <x:v>101918</x:v>
      </x:c>
      <x:c r="B1924" s="10" t="n">
        <x:v>45104</x:v>
      </x:c>
      <x:c r="C1924" s="2" t="str">
        <x:v>México</x:v>
      </x:c>
      <x:c r="D1924" s="2" t="str">
        <x:v>Moda Infantil</x:v>
      </x:c>
      <x:c r="E1924" s="11" t="n">
        <x:v>25</x:v>
      </x:c>
      <x:c r="F1924" s="12" t="n">
        <x:v>151.29</x:v>
      </x:c>
      <x:c r="G1924" s="12" t="n">
        <x:v>3782.25</x:v>
      </x:c>
      <x:c r="H1924" s="13" t="n">
        <x:v>117</x:v>
      </x:c>
      <x:c r="I1924" s="13" t="n">
        <x:f>YEAR(B1924)</x:f>
        <x:v>2023</x:v>
      </x:c>
      <x:c r="J1924" s="13" t="n">
        <x:f>MONTH(B1924)</x:f>
        <x:v>6</x:v>
      </x:c>
      <x:c r="K1924" s="14" t="n">
        <x:f>ROUND(E1924*F1924-G1924,10)</x:f>
        <x:v>0</x:v>
      </x:c>
      <x:c r="L1924" s="2"/>
      <x:c r="M1924" s="2"/>
      <x:c r="N1924" s="2"/>
      <x:c r="O1924" s="2"/>
      <x:c r="P1924" s="2"/>
      <x:c r="Q1924" s="2"/>
      <x:c r="R1924" s="2"/>
    </x:row>
    <x:row r="1925" ht="22" customHeight="1">
      <x:c r="A1925" s="2" t="n">
        <x:v>101919</x:v>
      </x:c>
      <x:c r="B1925" s="10" t="n">
        <x:v>45424</x:v>
      </x:c>
      <x:c r="C1925" s="2" t="str">
        <x:v>Brasil</x:v>
      </x:c>
      <x:c r="D1925" s="2" t="str">
        <x:v>Moda Infantil</x:v>
      </x:c>
      <x:c r="E1925" s="11" t="n">
        <x:v>45</x:v>
      </x:c>
      <x:c r="F1925" s="12" t="n">
        <x:v>120.75</x:v>
      </x:c>
      <x:c r="G1925" s="12" t="n">
        <x:v>5433.75</x:v>
      </x:c>
      <x:c r="H1925" s="13" t="n">
        <x:v>295</x:v>
      </x:c>
      <x:c r="I1925" s="13" t="n">
        <x:f>YEAR(B1925)</x:f>
        <x:v>2024</x:v>
      </x:c>
      <x:c r="J1925" s="13" t="n">
        <x:f>MONTH(B1925)</x:f>
        <x:v>5</x:v>
      </x:c>
      <x:c r="K1925" s="14" t="n">
        <x:f>ROUND(E1925*F1925-G1925,10)</x:f>
        <x:v>0</x:v>
      </x:c>
      <x:c r="L1925" s="2"/>
      <x:c r="M1925" s="2"/>
      <x:c r="N1925" s="2"/>
      <x:c r="O1925" s="2"/>
      <x:c r="P1925" s="2"/>
      <x:c r="Q1925" s="2"/>
      <x:c r="R1925" s="2"/>
    </x:row>
    <x:row r="1926" ht="22" customHeight="1">
      <x:c r="A1926" s="2" t="n">
        <x:v>101920</x:v>
      </x:c>
      <x:c r="B1926" s="10" t="n">
        <x:v>45206</x:v>
      </x:c>
      <x:c r="C1926" s="2" t="str">
        <x:v>Brasil</x:v>
      </x:c>
      <x:c r="D1926" s="2" t="str">
        <x:v>Moda Masculina</x:v>
      </x:c>
      <x:c r="E1926" s="11" t="n">
        <x:v>49</x:v>
      </x:c>
      <x:c r="F1926" s="12" t="n">
        <x:v>84.62</x:v>
      </x:c>
      <x:c r="G1926" s="12" t="n">
        <x:v>4146.38</x:v>
      </x:c>
      <x:c r="H1926" s="13" t="n">
        <x:v>455</x:v>
      </x:c>
      <x:c r="I1926" s="13" t="n">
        <x:f>YEAR(B1926)</x:f>
        <x:v>2023</x:v>
      </x:c>
      <x:c r="J1926" s="13" t="n">
        <x:f>MONTH(B1926)</x:f>
        <x:v>10</x:v>
      </x:c>
      <x:c r="K1926" s="14" t="n">
        <x:f>ROUND(E1926*F1926-G1926,10)</x:f>
        <x:v>0</x:v>
      </x:c>
      <x:c r="L1926" s="2"/>
      <x:c r="M1926" s="2"/>
      <x:c r="N1926" s="2"/>
      <x:c r="O1926" s="2"/>
      <x:c r="P1926" s="2"/>
      <x:c r="Q1926" s="2"/>
      <x:c r="R1926" s="2"/>
    </x:row>
    <x:row r="1927" ht="22" customHeight="1">
      <x:c r="A1927" s="2" t="n">
        <x:v>101921</x:v>
      </x:c>
      <x:c r="B1927" s="10" t="n">
        <x:v>45029</x:v>
      </x:c>
      <x:c r="C1927" s="2" t="str">
        <x:v>Colômbia</x:v>
      </x:c>
      <x:c r="D1927" s="2" t="str">
        <x:v>Moda Feminina</x:v>
      </x:c>
      <x:c r="E1927" s="11" t="n">
        <x:v>43</x:v>
      </x:c>
      <x:c r="F1927" s="12" t="n">
        <x:v>165.5</x:v>
      </x:c>
      <x:c r="G1927" s="12" t="n">
        <x:v>7116.5</x:v>
      </x:c>
      <x:c r="H1927" s="13" t="n">
        <x:v>126</x:v>
      </x:c>
      <x:c r="I1927" s="13" t="n">
        <x:f>YEAR(B1927)</x:f>
        <x:v>2023</x:v>
      </x:c>
      <x:c r="J1927" s="13" t="n">
        <x:f>MONTH(B1927)</x:f>
        <x:v>4</x:v>
      </x:c>
      <x:c r="K1927" s="14" t="n">
        <x:f>ROUND(E1927*F1927-G1927,10)</x:f>
        <x:v>0</x:v>
      </x:c>
      <x:c r="L1927" s="2"/>
      <x:c r="M1927" s="2"/>
      <x:c r="N1927" s="2"/>
      <x:c r="O1927" s="2"/>
      <x:c r="P1927" s="2"/>
      <x:c r="Q1927" s="2"/>
      <x:c r="R1927" s="2"/>
    </x:row>
    <x:row r="1928" ht="22" customHeight="1">
      <x:c r="A1928" s="2" t="n">
        <x:v>101922</x:v>
      </x:c>
      <x:c r="B1928" s="10" t="n">
        <x:v>45518</x:v>
      </x:c>
      <x:c r="C1928" s="2" t="str">
        <x:v>Peru</x:v>
      </x:c>
      <x:c r="D1928" s="2" t="str">
        <x:v>Acessórios</x:v>
      </x:c>
      <x:c r="E1928" s="11" t="n">
        <x:v>34</x:v>
      </x:c>
      <x:c r="F1928" s="12" t="n">
        <x:v>89.85</x:v>
      </x:c>
      <x:c r="G1928" s="12" t="n">
        <x:v>3054.9</x:v>
      </x:c>
      <x:c r="H1928" s="13" t="n">
        <x:v>257</x:v>
      </x:c>
      <x:c r="I1928" s="13" t="n">
        <x:f>YEAR(B1928)</x:f>
        <x:v>2024</x:v>
      </x:c>
      <x:c r="J1928" s="13" t="n">
        <x:f>MONTH(B1928)</x:f>
        <x:v>8</x:v>
      </x:c>
      <x:c r="K1928" s="14" t="n">
        <x:f>ROUND(E1928*F1928-G1928,10)</x:f>
        <x:v>0</x:v>
      </x:c>
      <x:c r="L1928" s="2"/>
      <x:c r="M1928" s="2"/>
      <x:c r="N1928" s="2"/>
      <x:c r="O1928" s="2"/>
      <x:c r="P1928" s="2"/>
      <x:c r="Q1928" s="2"/>
      <x:c r="R1928" s="2"/>
    </x:row>
    <x:row r="1929" ht="22" customHeight="1">
      <x:c r="A1929" s="2" t="n">
        <x:v>101923</x:v>
      </x:c>
      <x:c r="B1929" s="10" t="n">
        <x:v>45544</x:v>
      </x:c>
      <x:c r="C1929" s="2" t="str">
        <x:v>Brasil</x:v>
      </x:c>
      <x:c r="D1929" s="2" t="str">
        <x:v>Acessórios</x:v>
      </x:c>
      <x:c r="E1929" s="11" t="n">
        <x:v>25</x:v>
      </x:c>
      <x:c r="F1929" s="12" t="n">
        <x:v>163.27</x:v>
      </x:c>
      <x:c r="G1929" s="12" t="n">
        <x:v>4081.75</x:v>
      </x:c>
      <x:c r="H1929" s="13" t="n">
        <x:v>421</x:v>
      </x:c>
      <x:c r="I1929" s="13" t="n">
        <x:f>YEAR(B1929)</x:f>
        <x:v>2024</x:v>
      </x:c>
      <x:c r="J1929" s="13" t="n">
        <x:f>MONTH(B1929)</x:f>
        <x:v>9</x:v>
      </x:c>
      <x:c r="K1929" s="14" t="n">
        <x:f>ROUND(E1929*F1929-G1929,10)</x:f>
        <x:v>0</x:v>
      </x:c>
      <x:c r="L1929" s="2"/>
      <x:c r="M1929" s="2"/>
      <x:c r="N1929" s="2"/>
      <x:c r="O1929" s="2"/>
      <x:c r="P1929" s="2"/>
      <x:c r="Q1929" s="2"/>
      <x:c r="R1929" s="2"/>
    </x:row>
    <x:row r="1930" ht="22" customHeight="1">
      <x:c r="A1930" s="2" t="n">
        <x:v>101924</x:v>
      </x:c>
      <x:c r="B1930" s="10" t="n">
        <x:v>45484</x:v>
      </x:c>
      <x:c r="C1930" s="2" t="str">
        <x:v>Chile</x:v>
      </x:c>
      <x:c r="D1930" s="2" t="str">
        <x:v>Acessórios</x:v>
      </x:c>
      <x:c r="E1930" s="11" t="n">
        <x:v>16</x:v>
      </x:c>
      <x:c r="F1930" s="12" t="n">
        <x:v>75.04</x:v>
      </x:c>
      <x:c r="G1930" s="12" t="n">
        <x:v>1200.64</x:v>
      </x:c>
      <x:c r="H1930" s="13" t="n">
        <x:v>303</x:v>
      </x:c>
      <x:c r="I1930" s="13" t="n">
        <x:f>YEAR(B1930)</x:f>
        <x:v>2024</x:v>
      </x:c>
      <x:c r="J1930" s="13" t="n">
        <x:f>MONTH(B1930)</x:f>
        <x:v>7</x:v>
      </x:c>
      <x:c r="K1930" s="14" t="n">
        <x:f>ROUND(E1930*F1930-G1930,10)</x:f>
        <x:v>0</x:v>
      </x:c>
      <x:c r="L1930" s="2"/>
      <x:c r="M1930" s="2"/>
      <x:c r="N1930" s="2"/>
      <x:c r="O1930" s="2"/>
      <x:c r="P1930" s="2"/>
      <x:c r="Q1930" s="2"/>
      <x:c r="R1930" s="2"/>
    </x:row>
    <x:row r="1931" ht="22" customHeight="1">
      <x:c r="A1931" s="2" t="n">
        <x:v>101925</x:v>
      </x:c>
      <x:c r="B1931" s="10" t="n">
        <x:v>45298</x:v>
      </x:c>
      <x:c r="C1931" s="2" t="str">
        <x:v>Peru</x:v>
      </x:c>
      <x:c r="D1931" s="2" t="str">
        <x:v>Moda Masculina</x:v>
      </x:c>
      <x:c r="E1931" s="11" t="n">
        <x:v>34</x:v>
      </x:c>
      <x:c r="F1931" s="12" t="n">
        <x:v>33.11</x:v>
      </x:c>
      <x:c r="G1931" s="12" t="n">
        <x:v>1125.74</x:v>
      </x:c>
      <x:c r="H1931" s="13" t="n">
        <x:v>270</x:v>
      </x:c>
      <x:c r="I1931" s="13" t="n">
        <x:f>YEAR(B1931)</x:f>
        <x:v>2024</x:v>
      </x:c>
      <x:c r="J1931" s="13" t="n">
        <x:f>MONTH(B1931)</x:f>
        <x:v>1</x:v>
      </x:c>
      <x:c r="K1931" s="14" t="n">
        <x:f>ROUND(E1931*F1931-G1931,10)</x:f>
        <x:v>0</x:v>
      </x:c>
      <x:c r="L1931" s="2"/>
      <x:c r="M1931" s="2"/>
      <x:c r="N1931" s="2"/>
      <x:c r="O1931" s="2"/>
      <x:c r="P1931" s="2"/>
      <x:c r="Q1931" s="2"/>
      <x:c r="R1931" s="2"/>
    </x:row>
    <x:row r="1932" ht="22" customHeight="1">
      <x:c r="A1932" s="2" t="n">
        <x:v>101926</x:v>
      </x:c>
      <x:c r="B1932" s="10" t="n">
        <x:v>45326</x:v>
      </x:c>
      <x:c r="C1932" s="2" t="str">
        <x:v>Chile</x:v>
      </x:c>
      <x:c r="D1932" s="2" t="str">
        <x:v>Moda Infantil</x:v>
      </x:c>
      <x:c r="E1932" s="11" t="n">
        <x:v>29</x:v>
      </x:c>
      <x:c r="F1932" s="12" t="n">
        <x:v>187.88</x:v>
      </x:c>
      <x:c r="G1932" s="12" t="n">
        <x:v>5448.52</x:v>
      </x:c>
      <x:c r="H1932" s="13" t="n">
        <x:v>311</x:v>
      </x:c>
      <x:c r="I1932" s="13" t="n">
        <x:f>YEAR(B1932)</x:f>
        <x:v>2024</x:v>
      </x:c>
      <x:c r="J1932" s="13" t="n">
        <x:f>MONTH(B1932)</x:f>
        <x:v>2</x:v>
      </x:c>
      <x:c r="K1932" s="14" t="n">
        <x:f>ROUND(E1932*F1932-G1932,10)</x:f>
        <x:v>0</x:v>
      </x:c>
      <x:c r="L1932" s="2"/>
      <x:c r="M1932" s="2"/>
      <x:c r="N1932" s="2"/>
      <x:c r="O1932" s="2"/>
      <x:c r="P1932" s="2"/>
      <x:c r="Q1932" s="2"/>
      <x:c r="R1932" s="2"/>
    </x:row>
    <x:row r="1933" ht="22" customHeight="1">
      <x:c r="A1933" s="2" t="n">
        <x:v>101927</x:v>
      </x:c>
      <x:c r="B1933" s="10" t="n">
        <x:v>45114</x:v>
      </x:c>
      <x:c r="C1933" s="2" t="str">
        <x:v>Brasil</x:v>
      </x:c>
      <x:c r="D1933" s="2" t="str">
        <x:v>Moda Feminina</x:v>
      </x:c>
      <x:c r="E1933" s="11" t="n">
        <x:v>19</x:v>
      </x:c>
      <x:c r="F1933" s="12" t="n">
        <x:v>91.02</x:v>
      </x:c>
      <x:c r="G1933" s="12" t="n">
        <x:v>1729.38</x:v>
      </x:c>
      <x:c r="H1933" s="13" t="n">
        <x:v>459</x:v>
      </x:c>
      <x:c r="I1933" s="13" t="n">
        <x:f>YEAR(B1933)</x:f>
        <x:v>2023</x:v>
      </x:c>
      <x:c r="J1933" s="13" t="n">
        <x:f>MONTH(B1933)</x:f>
        <x:v>7</x:v>
      </x:c>
      <x:c r="K1933" s="14" t="n">
        <x:f>ROUND(E1933*F1933-G1933,10)</x:f>
        <x:v>0</x:v>
      </x:c>
      <x:c r="L1933" s="2"/>
      <x:c r="M1933" s="2"/>
      <x:c r="N1933" s="2"/>
      <x:c r="O1933" s="2"/>
      <x:c r="P1933" s="2"/>
      <x:c r="Q1933" s="2"/>
      <x:c r="R1933" s="2"/>
    </x:row>
    <x:row r="1934" ht="22" customHeight="1">
      <x:c r="A1934" s="2" t="n">
        <x:v>101928</x:v>
      </x:c>
      <x:c r="B1934" s="10" t="n">
        <x:v>45149</x:v>
      </x:c>
      <x:c r="C1934" s="2" t="str">
        <x:v>Brasil</x:v>
      </x:c>
      <x:c r="D1934" s="2" t="str">
        <x:v>Calçados</x:v>
      </x:c>
      <x:c r="E1934" s="11" t="n">
        <x:v>23</x:v>
      </x:c>
      <x:c r="F1934" s="12" t="n">
        <x:v>162.68</x:v>
      </x:c>
      <x:c r="G1934" s="12" t="n">
        <x:v>3741.64</x:v>
      </x:c>
      <x:c r="H1934" s="13" t="n">
        <x:v>380</x:v>
      </x:c>
      <x:c r="I1934" s="13" t="n">
        <x:f>YEAR(B1934)</x:f>
        <x:v>2023</x:v>
      </x:c>
      <x:c r="J1934" s="13" t="n">
        <x:f>MONTH(B1934)</x:f>
        <x:v>8</x:v>
      </x:c>
      <x:c r="K1934" s="14" t="n">
        <x:f>ROUND(E1934*F1934-G1934,10)</x:f>
        <x:v>0</x:v>
      </x:c>
      <x:c r="L1934" s="2"/>
      <x:c r="M1934" s="2"/>
      <x:c r="N1934" s="2"/>
      <x:c r="O1934" s="2"/>
      <x:c r="P1934" s="2"/>
      <x:c r="Q1934" s="2"/>
      <x:c r="R1934" s="2"/>
    </x:row>
    <x:row r="1935" ht="22" customHeight="1">
      <x:c r="A1935" s="2" t="n">
        <x:v>101929</x:v>
      </x:c>
      <x:c r="B1935" s="10" t="n">
        <x:v>45427</x:v>
      </x:c>
      <x:c r="C1935" s="2" t="str">
        <x:v>Colômbia</x:v>
      </x:c>
      <x:c r="D1935" s="2" t="str">
        <x:v>Moda Infantil</x:v>
      </x:c>
      <x:c r="E1935" s="11" t="n">
        <x:v>19</x:v>
      </x:c>
      <x:c r="F1935" s="12" t="n">
        <x:v>70.25</x:v>
      </x:c>
      <x:c r="G1935" s="12" t="n">
        <x:v>1334.75</x:v>
      </x:c>
      <x:c r="H1935" s="13" t="n">
        <x:v>393</x:v>
      </x:c>
      <x:c r="I1935" s="13" t="n">
        <x:f>YEAR(B1935)</x:f>
        <x:v>2024</x:v>
      </x:c>
      <x:c r="J1935" s="13" t="n">
        <x:f>MONTH(B1935)</x:f>
        <x:v>5</x:v>
      </x:c>
      <x:c r="K1935" s="14" t="n">
        <x:f>ROUND(E1935*F1935-G1935,10)</x:f>
        <x:v>0</x:v>
      </x:c>
      <x:c r="L1935" s="2"/>
      <x:c r="M1935" s="2"/>
      <x:c r="N1935" s="2"/>
      <x:c r="O1935" s="2"/>
      <x:c r="P1935" s="2"/>
      <x:c r="Q1935" s="2"/>
      <x:c r="R1935" s="2"/>
    </x:row>
    <x:row r="1936" ht="22" customHeight="1">
      <x:c r="A1936" s="2" t="n">
        <x:v>101930</x:v>
      </x:c>
      <x:c r="B1936" s="10" t="n">
        <x:v>45466</x:v>
      </x:c>
      <x:c r="C1936" s="2" t="str">
        <x:v>Brasil</x:v>
      </x:c>
      <x:c r="D1936" s="2" t="str">
        <x:v>Moda Masculina</x:v>
      </x:c>
      <x:c r="E1936" s="11" t="n">
        <x:v>25</x:v>
      </x:c>
      <x:c r="F1936" s="12" t="n">
        <x:v>136.35</x:v>
      </x:c>
      <x:c r="G1936" s="12" t="n">
        <x:v>3408.75</x:v>
      </x:c>
      <x:c r="H1936" s="13" t="n">
        <x:v>308</x:v>
      </x:c>
      <x:c r="I1936" s="13" t="n">
        <x:f>YEAR(B1936)</x:f>
        <x:v>2024</x:v>
      </x:c>
      <x:c r="J1936" s="13" t="n">
        <x:f>MONTH(B1936)</x:f>
        <x:v>6</x:v>
      </x:c>
      <x:c r="K1936" s="14" t="n">
        <x:f>ROUND(E1936*F1936-G1936,10)</x:f>
        <x:v>0</x:v>
      </x:c>
      <x:c r="L1936" s="2"/>
      <x:c r="M1936" s="2"/>
      <x:c r="N1936" s="2"/>
      <x:c r="O1936" s="2"/>
      <x:c r="P1936" s="2"/>
      <x:c r="Q1936" s="2"/>
      <x:c r="R1936" s="2"/>
    </x:row>
    <x:row r="1937" ht="22" customHeight="1">
      <x:c r="A1937" s="2" t="n">
        <x:v>101931</x:v>
      </x:c>
      <x:c r="B1937" s="10" t="n">
        <x:v>45065</x:v>
      </x:c>
      <x:c r="C1937" s="2" t="str">
        <x:v>Peru</x:v>
      </x:c>
      <x:c r="D1937" s="2" t="str">
        <x:v>Moda Infantil</x:v>
      </x:c>
      <x:c r="E1937" s="11" t="n">
        <x:v>16</x:v>
      </x:c>
      <x:c r="F1937" s="12" t="n">
        <x:v>177.2</x:v>
      </x:c>
      <x:c r="G1937" s="12" t="n">
        <x:v>2835.2</x:v>
      </x:c>
      <x:c r="H1937" s="13" t="n">
        <x:v>357</x:v>
      </x:c>
      <x:c r="I1937" s="13" t="n">
        <x:f>YEAR(B1937)</x:f>
        <x:v>2023</x:v>
      </x:c>
      <x:c r="J1937" s="13" t="n">
        <x:f>MONTH(B1937)</x:f>
        <x:v>5</x:v>
      </x:c>
      <x:c r="K1937" s="14" t="n">
        <x:f>ROUND(E1937*F1937-G1937,10)</x:f>
        <x:v>0</x:v>
      </x:c>
      <x:c r="L1937" s="2"/>
      <x:c r="M1937" s="2"/>
      <x:c r="N1937" s="2"/>
      <x:c r="O1937" s="2"/>
      <x:c r="P1937" s="2"/>
      <x:c r="Q1937" s="2"/>
      <x:c r="R1937" s="2"/>
    </x:row>
    <x:row r="1938" ht="22" customHeight="1">
      <x:c r="A1938" s="2" t="n">
        <x:v>101932</x:v>
      </x:c>
      <x:c r="B1938" s="10" t="n">
        <x:v>45130</x:v>
      </x:c>
      <x:c r="C1938" s="2" t="str">
        <x:v>Peru</x:v>
      </x:c>
      <x:c r="D1938" s="2" t="str">
        <x:v>Moda Infantil</x:v>
      </x:c>
      <x:c r="E1938" s="11" t="n">
        <x:v>9</x:v>
      </x:c>
      <x:c r="F1938" s="12" t="n">
        <x:v>27.5</x:v>
      </x:c>
      <x:c r="G1938" s="12" t="n">
        <x:v>247.5</x:v>
      </x:c>
      <x:c r="H1938" s="13" t="n">
        <x:v>123</x:v>
      </x:c>
      <x:c r="I1938" s="13" t="n">
        <x:f>YEAR(B1938)</x:f>
        <x:v>2023</x:v>
      </x:c>
      <x:c r="J1938" s="13" t="n">
        <x:f>MONTH(B1938)</x:f>
        <x:v>7</x:v>
      </x:c>
      <x:c r="K1938" s="14" t="n">
        <x:f>ROUND(E1938*F1938-G1938,10)</x:f>
        <x:v>0</x:v>
      </x:c>
      <x:c r="L1938" s="2"/>
      <x:c r="M1938" s="2"/>
      <x:c r="N1938" s="2"/>
      <x:c r="O1938" s="2"/>
      <x:c r="P1938" s="2"/>
      <x:c r="Q1938" s="2"/>
      <x:c r="R1938" s="2"/>
    </x:row>
    <x:row r="1939" ht="22" customHeight="1">
      <x:c r="A1939" s="2" t="n">
        <x:v>101933</x:v>
      </x:c>
      <x:c r="B1939" s="10" t="n">
        <x:v>45544</x:v>
      </x:c>
      <x:c r="C1939" s="2" t="str">
        <x:v>Peru</x:v>
      </x:c>
      <x:c r="D1939" s="2" t="str">
        <x:v>Moda Masculina</x:v>
      </x:c>
      <x:c r="E1939" s="11" t="n">
        <x:v>1</x:v>
      </x:c>
      <x:c r="F1939" s="12" t="n">
        <x:v>169.51</x:v>
      </x:c>
      <x:c r="G1939" s="12" t="n">
        <x:v>169.51</x:v>
      </x:c>
      <x:c r="H1939" s="13" t="n">
        <x:v>174</x:v>
      </x:c>
      <x:c r="I1939" s="13" t="n">
        <x:f>YEAR(B1939)</x:f>
        <x:v>2024</x:v>
      </x:c>
      <x:c r="J1939" s="13" t="n">
        <x:f>MONTH(B1939)</x:f>
        <x:v>9</x:v>
      </x:c>
      <x:c r="K1939" s="14" t="n">
        <x:f>ROUND(E1939*F1939-G1939,10)</x:f>
        <x:v>0</x:v>
      </x:c>
      <x:c r="L1939" s="2"/>
      <x:c r="M1939" s="2"/>
      <x:c r="N1939" s="2"/>
      <x:c r="O1939" s="2"/>
      <x:c r="P1939" s="2"/>
      <x:c r="Q1939" s="2"/>
      <x:c r="R1939" s="2"/>
    </x:row>
    <x:row r="1940" ht="22" customHeight="1">
      <x:c r="A1940" s="2" t="n">
        <x:v>101934</x:v>
      </x:c>
      <x:c r="B1940" s="10" t="n">
        <x:v>45249</x:v>
      </x:c>
      <x:c r="C1940" s="2" t="str">
        <x:v>Colômbia</x:v>
      </x:c>
      <x:c r="D1940" s="2" t="str">
        <x:v>Acessórios</x:v>
      </x:c>
      <x:c r="E1940" s="11" t="n">
        <x:v>42</x:v>
      </x:c>
      <x:c r="F1940" s="12" t="n">
        <x:v>122.84</x:v>
      </x:c>
      <x:c r="G1940" s="12" t="n">
        <x:v>5159.28</x:v>
      </x:c>
      <x:c r="H1940" s="13" t="n">
        <x:v>237</x:v>
      </x:c>
      <x:c r="I1940" s="13" t="n">
        <x:f>YEAR(B1940)</x:f>
        <x:v>2023</x:v>
      </x:c>
      <x:c r="J1940" s="13" t="n">
        <x:f>MONTH(B1940)</x:f>
        <x:v>11</x:v>
      </x:c>
      <x:c r="K1940" s="14" t="n">
        <x:f>ROUND(E1940*F1940-G1940,10)</x:f>
        <x:v>0</x:v>
      </x:c>
      <x:c r="L1940" s="2"/>
      <x:c r="M1940" s="2"/>
      <x:c r="N1940" s="2"/>
      <x:c r="O1940" s="2"/>
      <x:c r="P1940" s="2"/>
      <x:c r="Q1940" s="2"/>
      <x:c r="R1940" s="2"/>
    </x:row>
    <x:row r="1941" ht="22" customHeight="1">
      <x:c r="A1941" s="2" t="n">
        <x:v>101935</x:v>
      </x:c>
      <x:c r="B1941" s="10" t="n">
        <x:v>44952</x:v>
      </x:c>
      <x:c r="C1941" s="2" t="str">
        <x:v>Colômbia</x:v>
      </x:c>
      <x:c r="D1941" s="2" t="str">
        <x:v>Acessórios</x:v>
      </x:c>
      <x:c r="E1941" s="11" t="n">
        <x:v>19</x:v>
      </x:c>
      <x:c r="F1941" s="12" t="n">
        <x:v>129.34</x:v>
      </x:c>
      <x:c r="G1941" s="12" t="n">
        <x:v>2457.46</x:v>
      </x:c>
      <x:c r="H1941" s="13" t="n">
        <x:v>303</x:v>
      </x:c>
      <x:c r="I1941" s="13" t="n">
        <x:f>YEAR(B1941)</x:f>
        <x:v>2023</x:v>
      </x:c>
      <x:c r="J1941" s="13" t="n">
        <x:f>MONTH(B1941)</x:f>
        <x:v>1</x:v>
      </x:c>
      <x:c r="K1941" s="14" t="n">
        <x:f>ROUND(E1941*F1941-G1941,10)</x:f>
        <x:v>0</x:v>
      </x:c>
      <x:c r="L1941" s="2"/>
      <x:c r="M1941" s="2"/>
      <x:c r="N1941" s="2"/>
      <x:c r="O1941" s="2"/>
      <x:c r="P1941" s="2"/>
      <x:c r="Q1941" s="2"/>
      <x:c r="R1941" s="2"/>
    </x:row>
    <x:row r="1942" ht="22" customHeight="1">
      <x:c r="A1942" s="2" t="n">
        <x:v>101936</x:v>
      </x:c>
      <x:c r="B1942" s="10" t="n">
        <x:v>45603</x:v>
      </x:c>
      <x:c r="C1942" s="2" t="str">
        <x:v>Brasil</x:v>
      </x:c>
      <x:c r="D1942" s="2" t="str">
        <x:v>Moda Feminina</x:v>
      </x:c>
      <x:c r="E1942" s="11" t="n">
        <x:v>33</x:v>
      </x:c>
      <x:c r="F1942" s="12" t="n">
        <x:v>114.17</x:v>
      </x:c>
      <x:c r="G1942" s="12" t="n">
        <x:v>3767.61</x:v>
      </x:c>
      <x:c r="H1942" s="13" t="n">
        <x:v>496</x:v>
      </x:c>
      <x:c r="I1942" s="13" t="n">
        <x:f>YEAR(B1942)</x:f>
        <x:v>2024</x:v>
      </x:c>
      <x:c r="J1942" s="13" t="n">
        <x:f>MONTH(B1942)</x:f>
        <x:v>11</x:v>
      </x:c>
      <x:c r="K1942" s="14" t="n">
        <x:f>ROUND(E1942*F1942-G1942,10)</x:f>
        <x:v>0</x:v>
      </x:c>
      <x:c r="L1942" s="2"/>
      <x:c r="M1942" s="2"/>
      <x:c r="N1942" s="2"/>
      <x:c r="O1942" s="2"/>
      <x:c r="P1942" s="2"/>
      <x:c r="Q1942" s="2"/>
      <x:c r="R1942" s="2"/>
    </x:row>
    <x:row r="1943" ht="22" customHeight="1">
      <x:c r="A1943" s="2" t="n">
        <x:v>101937</x:v>
      </x:c>
      <x:c r="B1943" s="10" t="n">
        <x:v>45215</x:v>
      </x:c>
      <x:c r="C1943" s="2" t="str">
        <x:v>Argentina</x:v>
      </x:c>
      <x:c r="D1943" s="2" t="str">
        <x:v>Moda Feminina</x:v>
      </x:c>
      <x:c r="E1943" s="11" t="n">
        <x:v>34</x:v>
      </x:c>
      <x:c r="F1943" s="12" t="n">
        <x:v>177.41</x:v>
      </x:c>
      <x:c r="G1943" s="12" t="n">
        <x:v>6031.94</x:v>
      </x:c>
      <x:c r="H1943" s="13" t="n">
        <x:v>370</x:v>
      </x:c>
      <x:c r="I1943" s="13" t="n">
        <x:f>YEAR(B1943)</x:f>
        <x:v>2023</x:v>
      </x:c>
      <x:c r="J1943" s="13" t="n">
        <x:f>MONTH(B1943)</x:f>
        <x:v>10</x:v>
      </x:c>
      <x:c r="K1943" s="14" t="n">
        <x:f>ROUND(E1943*F1943-G1943,10)</x:f>
        <x:v>0</x:v>
      </x:c>
      <x:c r="L1943" s="2"/>
      <x:c r="M1943" s="2"/>
      <x:c r="N1943" s="2"/>
      <x:c r="O1943" s="2"/>
      <x:c r="P1943" s="2"/>
      <x:c r="Q1943" s="2"/>
      <x:c r="R1943" s="2"/>
    </x:row>
    <x:row r="1944" ht="22" customHeight="1">
      <x:c r="A1944" s="2" t="n">
        <x:v>101938</x:v>
      </x:c>
      <x:c r="B1944" s="10" t="n">
        <x:v>45128</x:v>
      </x:c>
      <x:c r="C1944" s="2" t="str">
        <x:v>Argentina</x:v>
      </x:c>
      <x:c r="D1944" s="2" t="str">
        <x:v>Acessórios</x:v>
      </x:c>
      <x:c r="E1944" s="11" t="n">
        <x:v>16</x:v>
      </x:c>
      <x:c r="F1944" s="12" t="n">
        <x:v>27.82</x:v>
      </x:c>
      <x:c r="G1944" s="12" t="n">
        <x:v>445.12</x:v>
      </x:c>
      <x:c r="H1944" s="13" t="n">
        <x:v>357</x:v>
      </x:c>
      <x:c r="I1944" s="13" t="n">
        <x:f>YEAR(B1944)</x:f>
        <x:v>2023</x:v>
      </x:c>
      <x:c r="J1944" s="13" t="n">
        <x:f>MONTH(B1944)</x:f>
        <x:v>7</x:v>
      </x:c>
      <x:c r="K1944" s="14" t="n">
        <x:f>ROUND(E1944*F1944-G1944,10)</x:f>
        <x:v>0</x:v>
      </x:c>
      <x:c r="L1944" s="2"/>
      <x:c r="M1944" s="2"/>
      <x:c r="N1944" s="2"/>
      <x:c r="O1944" s="2"/>
      <x:c r="P1944" s="2"/>
      <x:c r="Q1944" s="2"/>
      <x:c r="R1944" s="2"/>
    </x:row>
    <x:row r="1945" ht="22" customHeight="1">
      <x:c r="A1945" s="2" t="n">
        <x:v>101939</x:v>
      </x:c>
      <x:c r="B1945" s="10" t="n">
        <x:v>45017</x:v>
      </x:c>
      <x:c r="C1945" s="2" t="str">
        <x:v>Colômbia</x:v>
      </x:c>
      <x:c r="D1945" s="2" t="str">
        <x:v>Calçados</x:v>
      </x:c>
      <x:c r="E1945" s="11" t="n">
        <x:v>44</x:v>
      </x:c>
      <x:c r="F1945" s="12" t="n">
        <x:v>66.99</x:v>
      </x:c>
      <x:c r="G1945" s="12" t="n">
        <x:v>2947.56</x:v>
      </x:c>
      <x:c r="H1945" s="13" t="n">
        <x:v>284</x:v>
      </x:c>
      <x:c r="I1945" s="13" t="n">
        <x:f>YEAR(B1945)</x:f>
        <x:v>2023</x:v>
      </x:c>
      <x:c r="J1945" s="13" t="n">
        <x:f>MONTH(B1945)</x:f>
        <x:v>4</x:v>
      </x:c>
      <x:c r="K1945" s="14" t="n">
        <x:f>ROUND(E1945*F1945-G1945,10)</x:f>
        <x:v>0</x:v>
      </x:c>
      <x:c r="L1945" s="2"/>
      <x:c r="M1945" s="2"/>
      <x:c r="N1945" s="2"/>
      <x:c r="O1945" s="2"/>
      <x:c r="P1945" s="2"/>
      <x:c r="Q1945" s="2"/>
      <x:c r="R1945" s="2"/>
    </x:row>
    <x:row r="1946" ht="22" customHeight="1">
      <x:c r="A1946" s="2" t="n">
        <x:v>101940</x:v>
      </x:c>
      <x:c r="B1946" s="10" t="n">
        <x:v>45520</x:v>
      </x:c>
      <x:c r="C1946" s="2" t="str">
        <x:v>Brasil</x:v>
      </x:c>
      <x:c r="D1946" s="2" t="str">
        <x:v>Moda Infantil</x:v>
      </x:c>
      <x:c r="E1946" s="11" t="n">
        <x:v>40</x:v>
      </x:c>
      <x:c r="F1946" s="12" t="n">
        <x:v>177.64</x:v>
      </x:c>
      <x:c r="G1946" s="12" t="n">
        <x:v>7105.599999999999</x:v>
      </x:c>
      <x:c r="H1946" s="13" t="n">
        <x:v>299</x:v>
      </x:c>
      <x:c r="I1946" s="13" t="n">
        <x:f>YEAR(B1946)</x:f>
        <x:v>2024</x:v>
      </x:c>
      <x:c r="J1946" s="13" t="n">
        <x:f>MONTH(B1946)</x:f>
        <x:v>8</x:v>
      </x:c>
      <x:c r="K1946" s="14" t="n">
        <x:f>ROUND(E1946*F1946-G1946,10)</x:f>
        <x:v>0</x:v>
      </x:c>
      <x:c r="L1946" s="2"/>
      <x:c r="M1946" s="2"/>
      <x:c r="N1946" s="2"/>
      <x:c r="O1946" s="2"/>
      <x:c r="P1946" s="2"/>
      <x:c r="Q1946" s="2"/>
      <x:c r="R1946" s="2"/>
    </x:row>
    <x:row r="1947" ht="22" customHeight="1">
      <x:c r="A1947" s="2" t="n">
        <x:v>101941</x:v>
      </x:c>
      <x:c r="B1947" s="10" t="n">
        <x:v>45285</x:v>
      </x:c>
      <x:c r="C1947" s="2" t="str">
        <x:v>Argentina</x:v>
      </x:c>
      <x:c r="D1947" s="2" t="str">
        <x:v>Calçados</x:v>
      </x:c>
      <x:c r="E1947" s="11" t="n">
        <x:v>18</x:v>
      </x:c>
      <x:c r="F1947" s="12" t="n">
        <x:v>155.42</x:v>
      </x:c>
      <x:c r="G1947" s="12" t="n">
        <x:v>2797.56</x:v>
      </x:c>
      <x:c r="H1947" s="13" t="n">
        <x:v>381</x:v>
      </x:c>
      <x:c r="I1947" s="13" t="n">
        <x:f>YEAR(B1947)</x:f>
        <x:v>2023</x:v>
      </x:c>
      <x:c r="J1947" s="13" t="n">
        <x:f>MONTH(B1947)</x:f>
        <x:v>12</x:v>
      </x:c>
      <x:c r="K1947" s="14" t="n">
        <x:f>ROUND(E1947*F1947-G1947,10)</x:f>
        <x:v>0</x:v>
      </x:c>
      <x:c r="L1947" s="2"/>
      <x:c r="M1947" s="2"/>
      <x:c r="N1947" s="2"/>
      <x:c r="O1947" s="2"/>
      <x:c r="P1947" s="2"/>
      <x:c r="Q1947" s="2"/>
      <x:c r="R1947" s="2"/>
    </x:row>
    <x:row r="1948" ht="22" customHeight="1">
      <x:c r="A1948" s="2" t="n">
        <x:v>101942</x:v>
      </x:c>
      <x:c r="B1948" s="10" t="n">
        <x:v>45243</x:v>
      </x:c>
      <x:c r="C1948" s="2" t="str">
        <x:v>Brasil</x:v>
      </x:c>
      <x:c r="D1948" s="2" t="str">
        <x:v>Moda Infantil</x:v>
      </x:c>
      <x:c r="E1948" s="11" t="n">
        <x:v>34</x:v>
      </x:c>
      <x:c r="F1948" s="12" t="n">
        <x:v>23.18</x:v>
      </x:c>
      <x:c r="G1948" s="12" t="n">
        <x:v>788.12</x:v>
      </x:c>
      <x:c r="H1948" s="13" t="n">
        <x:v>447</x:v>
      </x:c>
      <x:c r="I1948" s="13" t="n">
        <x:f>YEAR(B1948)</x:f>
        <x:v>2023</x:v>
      </x:c>
      <x:c r="J1948" s="13" t="n">
        <x:f>MONTH(B1948)</x:f>
        <x:v>11</x:v>
      </x:c>
      <x:c r="K1948" s="14" t="n">
        <x:f>ROUND(E1948*F1948-G1948,10)</x:f>
        <x:v>0</x:v>
      </x:c>
      <x:c r="L1948" s="2"/>
      <x:c r="M1948" s="2"/>
      <x:c r="N1948" s="2"/>
      <x:c r="O1948" s="2"/>
      <x:c r="P1948" s="2"/>
      <x:c r="Q1948" s="2"/>
      <x:c r="R1948" s="2"/>
    </x:row>
    <x:row r="1949" ht="22" customHeight="1">
      <x:c r="A1949" s="2" t="n">
        <x:v>101943</x:v>
      </x:c>
      <x:c r="B1949" s="10" t="n">
        <x:v>45628</x:v>
      </x:c>
      <x:c r="C1949" s="2" t="str">
        <x:v>Brasil</x:v>
      </x:c>
      <x:c r="D1949" s="2" t="str">
        <x:v>Acessórios</x:v>
      </x:c>
      <x:c r="E1949" s="11" t="n">
        <x:v>25</x:v>
      </x:c>
      <x:c r="F1949" s="12" t="n">
        <x:v>113.06</x:v>
      </x:c>
      <x:c r="G1949" s="12" t="n">
        <x:v>2826.5</x:v>
      </x:c>
      <x:c r="H1949" s="13" t="n">
        <x:v>394</x:v>
      </x:c>
      <x:c r="I1949" s="13" t="n">
        <x:f>YEAR(B1949)</x:f>
        <x:v>2024</x:v>
      </x:c>
      <x:c r="J1949" s="13" t="n">
        <x:f>MONTH(B1949)</x:f>
        <x:v>12</x:v>
      </x:c>
      <x:c r="K1949" s="14" t="n">
        <x:f>ROUND(E1949*F1949-G1949,10)</x:f>
        <x:v>0</x:v>
      </x:c>
      <x:c r="L1949" s="2"/>
      <x:c r="M1949" s="2"/>
      <x:c r="N1949" s="2"/>
      <x:c r="O1949" s="2"/>
      <x:c r="P1949" s="2"/>
      <x:c r="Q1949" s="2"/>
      <x:c r="R1949" s="2"/>
    </x:row>
    <x:row r="1950" ht="22" customHeight="1">
      <x:c r="A1950" s="2" t="n">
        <x:v>101944</x:v>
      </x:c>
      <x:c r="B1950" s="10" t="n">
        <x:v>44990</x:v>
      </x:c>
      <x:c r="C1950" s="2" t="str">
        <x:v>Brasil</x:v>
      </x:c>
      <x:c r="D1950" s="2" t="str">
        <x:v>Moda Feminina</x:v>
      </x:c>
      <x:c r="E1950" s="11" t="n">
        <x:v>45</x:v>
      </x:c>
      <x:c r="F1950" s="12" t="n">
        <x:v>115.32</x:v>
      </x:c>
      <x:c r="G1950" s="12" t="n">
        <x:v>5189.4</x:v>
      </x:c>
      <x:c r="H1950" s="13" t="n">
        <x:v>121</x:v>
      </x:c>
      <x:c r="I1950" s="13" t="n">
        <x:f>YEAR(B1950)</x:f>
        <x:v>2023</x:v>
      </x:c>
      <x:c r="J1950" s="13" t="n">
        <x:f>MONTH(B1950)</x:f>
        <x:v>3</x:v>
      </x:c>
      <x:c r="K1950" s="14" t="n">
        <x:f>ROUND(E1950*F1950-G1950,10)</x:f>
        <x:v>0</x:v>
      </x:c>
      <x:c r="L1950" s="2"/>
      <x:c r="M1950" s="2"/>
      <x:c r="N1950" s="2"/>
      <x:c r="O1950" s="2"/>
      <x:c r="P1950" s="2"/>
      <x:c r="Q1950" s="2"/>
      <x:c r="R1950" s="2"/>
    </x:row>
    <x:row r="1951" ht="22" customHeight="1">
      <x:c r="A1951" s="2" t="n">
        <x:v>101945</x:v>
      </x:c>
      <x:c r="B1951" s="10" t="n">
        <x:v>45159</x:v>
      </x:c>
      <x:c r="C1951" s="2" t="str">
        <x:v>México</x:v>
      </x:c>
      <x:c r="D1951" s="2" t="str">
        <x:v>Moda Feminina</x:v>
      </x:c>
      <x:c r="E1951" s="11" t="n">
        <x:v>6</x:v>
      </x:c>
      <x:c r="F1951" s="12" t="n">
        <x:v>92.16</x:v>
      </x:c>
      <x:c r="G1951" s="12" t="n">
        <x:v>552.96</x:v>
      </x:c>
      <x:c r="H1951" s="13" t="n">
        <x:v>284</x:v>
      </x:c>
      <x:c r="I1951" s="13" t="n">
        <x:f>YEAR(B1951)</x:f>
        <x:v>2023</x:v>
      </x:c>
      <x:c r="J1951" s="13" t="n">
        <x:f>MONTH(B1951)</x:f>
        <x:v>8</x:v>
      </x:c>
      <x:c r="K1951" s="14" t="n">
        <x:f>ROUND(E1951*F1951-G1951,10)</x:f>
        <x:v>0</x:v>
      </x:c>
      <x:c r="L1951" s="2"/>
      <x:c r="M1951" s="2"/>
      <x:c r="N1951" s="2"/>
      <x:c r="O1951" s="2"/>
      <x:c r="P1951" s="2"/>
      <x:c r="Q1951" s="2"/>
      <x:c r="R1951" s="2"/>
    </x:row>
    <x:row r="1952" ht="22" customHeight="1">
      <x:c r="A1952" s="2" t="n">
        <x:v>101946</x:v>
      </x:c>
      <x:c r="B1952" s="10" t="n">
        <x:v>45371</x:v>
      </x:c>
      <x:c r="C1952" s="2" t="str">
        <x:v>Peru</x:v>
      </x:c>
      <x:c r="D1952" s="2" t="str">
        <x:v>Calçados</x:v>
      </x:c>
      <x:c r="E1952" s="11" t="n">
        <x:v>21</x:v>
      </x:c>
      <x:c r="F1952" s="12" t="n">
        <x:v>73.53</x:v>
      </x:c>
      <x:c r="G1952" s="12" t="n">
        <x:v>1544.13</x:v>
      </x:c>
      <x:c r="H1952" s="13" t="n">
        <x:v>373</x:v>
      </x:c>
      <x:c r="I1952" s="13" t="n">
        <x:f>YEAR(B1952)</x:f>
        <x:v>2024</x:v>
      </x:c>
      <x:c r="J1952" s="13" t="n">
        <x:f>MONTH(B1952)</x:f>
        <x:v>3</x:v>
      </x:c>
      <x:c r="K1952" s="14" t="n">
        <x:f>ROUND(E1952*F1952-G1952,10)</x:f>
        <x:v>0</x:v>
      </x:c>
      <x:c r="L1952" s="2"/>
      <x:c r="M1952" s="2"/>
      <x:c r="N1952" s="2"/>
      <x:c r="O1952" s="2"/>
      <x:c r="P1952" s="2"/>
      <x:c r="Q1952" s="2"/>
      <x:c r="R1952" s="2"/>
    </x:row>
    <x:row r="1953" ht="22" customHeight="1">
      <x:c r="A1953" s="2" t="n">
        <x:v>101947</x:v>
      </x:c>
      <x:c r="B1953" s="10" t="n">
        <x:v>45543</x:v>
      </x:c>
      <x:c r="C1953" s="2" t="str">
        <x:v>Brasil</x:v>
      </x:c>
      <x:c r="D1953" s="2" t="str">
        <x:v>Moda Feminina</x:v>
      </x:c>
      <x:c r="E1953" s="11" t="n">
        <x:v>6</x:v>
      </x:c>
      <x:c r="F1953" s="12" t="n">
        <x:v>142.71</x:v>
      </x:c>
      <x:c r="G1953" s="12" t="n">
        <x:v>856.26</x:v>
      </x:c>
      <x:c r="H1953" s="13" t="n">
        <x:v>205</x:v>
      </x:c>
      <x:c r="I1953" s="13" t="n">
        <x:f>YEAR(B1953)</x:f>
        <x:v>2024</x:v>
      </x:c>
      <x:c r="J1953" s="13" t="n">
        <x:f>MONTH(B1953)</x:f>
        <x:v>9</x:v>
      </x:c>
      <x:c r="K1953" s="14" t="n">
        <x:f>ROUND(E1953*F1953-G1953,10)</x:f>
        <x:v>0</x:v>
      </x:c>
      <x:c r="L1953" s="2"/>
      <x:c r="M1953" s="2"/>
      <x:c r="N1953" s="2"/>
      <x:c r="O1953" s="2"/>
      <x:c r="P1953" s="2"/>
      <x:c r="Q1953" s="2"/>
      <x:c r="R1953" s="2"/>
    </x:row>
    <x:row r="1954" ht="22" customHeight="1">
      <x:c r="A1954" s="2" t="n">
        <x:v>101948</x:v>
      </x:c>
      <x:c r="B1954" s="10" t="n">
        <x:v>44974</x:v>
      </x:c>
      <x:c r="C1954" s="2" t="str">
        <x:v>México</x:v>
      </x:c>
      <x:c r="D1954" s="2" t="str">
        <x:v>Acessórios</x:v>
      </x:c>
      <x:c r="E1954" s="11" t="n">
        <x:v>32</x:v>
      </x:c>
      <x:c r="F1954" s="12" t="n">
        <x:v>57.4</x:v>
      </x:c>
      <x:c r="G1954" s="12" t="n">
        <x:v>1836.8</x:v>
      </x:c>
      <x:c r="H1954" s="13" t="n">
        <x:v>443</x:v>
      </x:c>
      <x:c r="I1954" s="13" t="n">
        <x:f>YEAR(B1954)</x:f>
        <x:v>2023</x:v>
      </x:c>
      <x:c r="J1954" s="13" t="n">
        <x:f>MONTH(B1954)</x:f>
        <x:v>2</x:v>
      </x:c>
      <x:c r="K1954" s="14" t="n">
        <x:f>ROUND(E1954*F1954-G1954,10)</x:f>
        <x:v>0</x:v>
      </x:c>
      <x:c r="L1954" s="2"/>
      <x:c r="M1954" s="2"/>
      <x:c r="N1954" s="2"/>
      <x:c r="O1954" s="2"/>
      <x:c r="P1954" s="2"/>
      <x:c r="Q1954" s="2"/>
      <x:c r="R1954" s="2"/>
    </x:row>
    <x:row r="1955" ht="22" customHeight="1">
      <x:c r="A1955" s="2" t="n">
        <x:v>101949</x:v>
      </x:c>
      <x:c r="B1955" s="10" t="n">
        <x:v>45009</x:v>
      </x:c>
      <x:c r="C1955" s="2" t="str">
        <x:v>Colômbia</x:v>
      </x:c>
      <x:c r="D1955" s="2" t="str">
        <x:v>Calçados</x:v>
      </x:c>
      <x:c r="E1955" s="11" t="n">
        <x:v>41</x:v>
      </x:c>
      <x:c r="F1955" s="12" t="n">
        <x:v>163.81</x:v>
      </x:c>
      <x:c r="G1955" s="12" t="n">
        <x:v>6716.21</x:v>
      </x:c>
      <x:c r="H1955" s="13" t="n">
        <x:v>164</x:v>
      </x:c>
      <x:c r="I1955" s="13" t="n">
        <x:f>YEAR(B1955)</x:f>
        <x:v>2023</x:v>
      </x:c>
      <x:c r="J1955" s="13" t="n">
        <x:f>MONTH(B1955)</x:f>
        <x:v>3</x:v>
      </x:c>
      <x:c r="K1955" s="14" t="n">
        <x:f>ROUND(E1955*F1955-G1955,10)</x:f>
        <x:v>0</x:v>
      </x:c>
      <x:c r="L1955" s="2"/>
      <x:c r="M1955" s="2"/>
      <x:c r="N1955" s="2"/>
      <x:c r="O1955" s="2"/>
      <x:c r="P1955" s="2"/>
      <x:c r="Q1955" s="2"/>
      <x:c r="R1955" s="2"/>
    </x:row>
    <x:row r="1956" ht="22" customHeight="1">
      <x:c r="A1956" s="2" t="n">
        <x:v>101950</x:v>
      </x:c>
      <x:c r="B1956" s="10" t="n">
        <x:v>45422</x:v>
      </x:c>
      <x:c r="C1956" s="2" t="str">
        <x:v>Argentina</x:v>
      </x:c>
      <x:c r="D1956" s="2" t="str">
        <x:v>Moda Infantil</x:v>
      </x:c>
      <x:c r="E1956" s="11" t="n">
        <x:v>48</x:v>
      </x:c>
      <x:c r="F1956" s="12" t="n">
        <x:v>164.55</x:v>
      </x:c>
      <x:c r="G1956" s="12" t="n">
        <x:v>7898.400000000001</x:v>
      </x:c>
      <x:c r="H1956" s="13" t="n">
        <x:v>362</x:v>
      </x:c>
      <x:c r="I1956" s="13" t="n">
        <x:f>YEAR(B1956)</x:f>
        <x:v>2024</x:v>
      </x:c>
      <x:c r="J1956" s="13" t="n">
        <x:f>MONTH(B1956)</x:f>
        <x:v>5</x:v>
      </x:c>
      <x:c r="K1956" s="14" t="n">
        <x:f>ROUND(E1956*F1956-G1956,10)</x:f>
        <x:v>0</x:v>
      </x:c>
      <x:c r="L1956" s="2"/>
      <x:c r="M1956" s="2"/>
      <x:c r="N1956" s="2"/>
      <x:c r="O1956" s="2"/>
      <x:c r="P1956" s="2"/>
      <x:c r="Q1956" s="2"/>
      <x:c r="R1956" s="2"/>
    </x:row>
    <x:row r="1957" ht="22" customHeight="1">
      <x:c r="A1957" s="2" t="n">
        <x:v>101951</x:v>
      </x:c>
      <x:c r="B1957" s="10" t="n">
        <x:v>45426</x:v>
      </x:c>
      <x:c r="C1957" s="2" t="str">
        <x:v>Peru</x:v>
      </x:c>
      <x:c r="D1957" s="2" t="str">
        <x:v>Moda Feminina</x:v>
      </x:c>
      <x:c r="E1957" s="11" t="n">
        <x:v>43</x:v>
      </x:c>
      <x:c r="F1957" s="12" t="n">
        <x:v>94.75</x:v>
      </x:c>
      <x:c r="G1957" s="12" t="n">
        <x:v>4074.25</x:v>
      </x:c>
      <x:c r="H1957" s="13" t="n">
        <x:v>277</x:v>
      </x:c>
      <x:c r="I1957" s="13" t="n">
        <x:f>YEAR(B1957)</x:f>
        <x:v>2024</x:v>
      </x:c>
      <x:c r="J1957" s="13" t="n">
        <x:f>MONTH(B1957)</x:f>
        <x:v>5</x:v>
      </x:c>
      <x:c r="K1957" s="14" t="n">
        <x:f>ROUND(E1957*F1957-G1957,10)</x:f>
        <x:v>0</x:v>
      </x:c>
      <x:c r="L1957" s="2"/>
      <x:c r="M1957" s="2"/>
      <x:c r="N1957" s="2"/>
      <x:c r="O1957" s="2"/>
      <x:c r="P1957" s="2"/>
      <x:c r="Q1957" s="2"/>
      <x:c r="R1957" s="2"/>
    </x:row>
    <x:row r="1958" ht="22" customHeight="1">
      <x:c r="A1958" s="2" t="n">
        <x:v>101952</x:v>
      </x:c>
      <x:c r="B1958" s="10" t="n">
        <x:v>45311</x:v>
      </x:c>
      <x:c r="C1958" s="2" t="str">
        <x:v>Argentina</x:v>
      </x:c>
      <x:c r="D1958" s="2" t="str">
        <x:v>Moda Masculina</x:v>
      </x:c>
      <x:c r="E1958" s="11" t="n">
        <x:v>39</x:v>
      </x:c>
      <x:c r="F1958" s="12" t="n">
        <x:v>71.04</x:v>
      </x:c>
      <x:c r="G1958" s="12" t="n">
        <x:v>2770.56</x:v>
      </x:c>
      <x:c r="H1958" s="13" t="n">
        <x:v>371</x:v>
      </x:c>
      <x:c r="I1958" s="13" t="n">
        <x:f>YEAR(B1958)</x:f>
        <x:v>2024</x:v>
      </x:c>
      <x:c r="J1958" s="13" t="n">
        <x:f>MONTH(B1958)</x:f>
        <x:v>1</x:v>
      </x:c>
      <x:c r="K1958" s="14" t="n">
        <x:f>ROUND(E1958*F1958-G1958,10)</x:f>
        <x:v>0</x:v>
      </x:c>
      <x:c r="L1958" s="2"/>
      <x:c r="M1958" s="2"/>
      <x:c r="N1958" s="2"/>
      <x:c r="O1958" s="2"/>
      <x:c r="P1958" s="2"/>
      <x:c r="Q1958" s="2"/>
      <x:c r="R1958" s="2"/>
    </x:row>
    <x:row r="1959" ht="22" customHeight="1">
      <x:c r="A1959" s="2" t="n">
        <x:v>101953</x:v>
      </x:c>
      <x:c r="B1959" s="10" t="n">
        <x:v>45185</x:v>
      </x:c>
      <x:c r="C1959" s="2" t="str">
        <x:v>Peru</x:v>
      </x:c>
      <x:c r="D1959" s="2" t="str">
        <x:v>Moda Feminina</x:v>
      </x:c>
      <x:c r="E1959" s="11" t="n">
        <x:v>31</x:v>
      </x:c>
      <x:c r="F1959" s="12" t="n">
        <x:v>71.1</x:v>
      </x:c>
      <x:c r="G1959" s="12" t="n">
        <x:v>2204.1</x:v>
      </x:c>
      <x:c r="H1959" s="13" t="n">
        <x:v>395</x:v>
      </x:c>
      <x:c r="I1959" s="13" t="n">
        <x:f>YEAR(B1959)</x:f>
        <x:v>2023</x:v>
      </x:c>
      <x:c r="J1959" s="13" t="n">
        <x:f>MONTH(B1959)</x:f>
        <x:v>9</x:v>
      </x:c>
      <x:c r="K1959" s="14" t="n">
        <x:f>ROUND(E1959*F1959-G1959,10)</x:f>
        <x:v>0</x:v>
      </x:c>
      <x:c r="L1959" s="2"/>
      <x:c r="M1959" s="2"/>
      <x:c r="N1959" s="2"/>
      <x:c r="O1959" s="2"/>
      <x:c r="P1959" s="2"/>
      <x:c r="Q1959" s="2"/>
      <x:c r="R1959" s="2"/>
    </x:row>
    <x:row r="1960" ht="22" customHeight="1">
      <x:c r="A1960" s="2" t="n">
        <x:v>101954</x:v>
      </x:c>
      <x:c r="B1960" s="10" t="n">
        <x:v>45600</x:v>
      </x:c>
      <x:c r="C1960" s="2" t="str">
        <x:v>Argentina</x:v>
      </x:c>
      <x:c r="D1960" s="2" t="str">
        <x:v>Moda Infantil</x:v>
      </x:c>
      <x:c r="E1960" s="11" t="n">
        <x:v>42</x:v>
      </x:c>
      <x:c r="F1960" s="12" t="n">
        <x:v>106.81</x:v>
      </x:c>
      <x:c r="G1960" s="12" t="n">
        <x:v>4486.02</x:v>
      </x:c>
      <x:c r="H1960" s="13" t="n">
        <x:v>294</x:v>
      </x:c>
      <x:c r="I1960" s="13" t="n">
        <x:f>YEAR(B1960)</x:f>
        <x:v>2024</x:v>
      </x:c>
      <x:c r="J1960" s="13" t="n">
        <x:f>MONTH(B1960)</x:f>
        <x:v>11</x:v>
      </x:c>
      <x:c r="K1960" s="14" t="n">
        <x:f>ROUND(E1960*F1960-G1960,10)</x:f>
        <x:v>0</x:v>
      </x:c>
      <x:c r="L1960" s="2"/>
      <x:c r="M1960" s="2"/>
      <x:c r="N1960" s="2"/>
      <x:c r="O1960" s="2"/>
      <x:c r="P1960" s="2"/>
      <x:c r="Q1960" s="2"/>
      <x:c r="R1960" s="2"/>
    </x:row>
    <x:row r="1961" ht="22" customHeight="1">
      <x:c r="A1961" s="2" t="n">
        <x:v>101955</x:v>
      </x:c>
      <x:c r="B1961" s="10" t="n">
        <x:v>45390</x:v>
      </x:c>
      <x:c r="C1961" s="2" t="str">
        <x:v>Peru</x:v>
      </x:c>
      <x:c r="D1961" s="2" t="str">
        <x:v>Calçados</x:v>
      </x:c>
      <x:c r="E1961" s="11" t="n">
        <x:v>10</x:v>
      </x:c>
      <x:c r="F1961" s="12" t="n">
        <x:v>149.52</x:v>
      </x:c>
      <x:c r="G1961" s="12" t="n">
        <x:v>1495.2</x:v>
      </x:c>
      <x:c r="H1961" s="13" t="n">
        <x:v>355</x:v>
      </x:c>
      <x:c r="I1961" s="13" t="n">
        <x:f>YEAR(B1961)</x:f>
        <x:v>2024</x:v>
      </x:c>
      <x:c r="J1961" s="13" t="n">
        <x:f>MONTH(B1961)</x:f>
        <x:v>4</x:v>
      </x:c>
      <x:c r="K1961" s="14" t="n">
        <x:f>ROUND(E1961*F1961-G1961,10)</x:f>
        <x:v>0</x:v>
      </x:c>
      <x:c r="L1961" s="2"/>
      <x:c r="M1961" s="2"/>
      <x:c r="N1961" s="2"/>
      <x:c r="O1961" s="2"/>
      <x:c r="P1961" s="2"/>
      <x:c r="Q1961" s="2"/>
      <x:c r="R1961" s="2"/>
    </x:row>
    <x:row r="1962" ht="22" customHeight="1">
      <x:c r="A1962" s="2" t="n">
        <x:v>101956</x:v>
      </x:c>
      <x:c r="B1962" s="10" t="n">
        <x:v>44970</x:v>
      </x:c>
      <x:c r="C1962" s="2" t="str">
        <x:v>Argentina</x:v>
      </x:c>
      <x:c r="D1962" s="2" t="str">
        <x:v>Moda Infantil</x:v>
      </x:c>
      <x:c r="E1962" s="11" t="n">
        <x:v>30</x:v>
      </x:c>
      <x:c r="F1962" s="12" t="n">
        <x:v>84.6</x:v>
      </x:c>
      <x:c r="G1962" s="12" t="n">
        <x:v>2538</x:v>
      </x:c>
      <x:c r="H1962" s="13" t="n">
        <x:v>63</x:v>
      </x:c>
      <x:c r="I1962" s="13" t="n">
        <x:f>YEAR(B1962)</x:f>
        <x:v>2023</x:v>
      </x:c>
      <x:c r="J1962" s="13" t="n">
        <x:f>MONTH(B1962)</x:f>
        <x:v>2</x:v>
      </x:c>
      <x:c r="K1962" s="14" t="n">
        <x:f>ROUND(E1962*F1962-G1962,10)</x:f>
        <x:v>0</x:v>
      </x:c>
      <x:c r="L1962" s="2"/>
      <x:c r="M1962" s="2"/>
      <x:c r="N1962" s="2"/>
      <x:c r="O1962" s="2"/>
      <x:c r="P1962" s="2"/>
      <x:c r="Q1962" s="2"/>
      <x:c r="R1962" s="2"/>
    </x:row>
    <x:row r="1963" ht="22" customHeight="1">
      <x:c r="A1963" s="2" t="n">
        <x:v>101957</x:v>
      </x:c>
      <x:c r="B1963" s="10" t="n">
        <x:v>45378</x:v>
      </x:c>
      <x:c r="C1963" s="2" t="str">
        <x:v>Argentina</x:v>
      </x:c>
      <x:c r="D1963" s="2" t="str">
        <x:v>Moda Masculina</x:v>
      </x:c>
      <x:c r="E1963" s="11" t="n">
        <x:v>18</x:v>
      </x:c>
      <x:c r="F1963" s="12" t="n">
        <x:v>129.81</x:v>
      </x:c>
      <x:c r="G1963" s="12" t="n">
        <x:v>2336.58</x:v>
      </x:c>
      <x:c r="H1963" s="13" t="n">
        <x:v>65</x:v>
      </x:c>
      <x:c r="I1963" s="13" t="n">
        <x:f>YEAR(B1963)</x:f>
        <x:v>2024</x:v>
      </x:c>
      <x:c r="J1963" s="13" t="n">
        <x:f>MONTH(B1963)</x:f>
        <x:v>3</x:v>
      </x:c>
      <x:c r="K1963" s="14" t="n">
        <x:f>ROUND(E1963*F1963-G1963,10)</x:f>
        <x:v>0</x:v>
      </x:c>
      <x:c r="L1963" s="2"/>
      <x:c r="M1963" s="2"/>
      <x:c r="N1963" s="2"/>
      <x:c r="O1963" s="2"/>
      <x:c r="P1963" s="2"/>
      <x:c r="Q1963" s="2"/>
      <x:c r="R1963" s="2"/>
    </x:row>
    <x:row r="1964" ht="22" customHeight="1">
      <x:c r="A1964" s="2" t="n">
        <x:v>101958</x:v>
      </x:c>
      <x:c r="B1964" s="10" t="n">
        <x:v>45638</x:v>
      </x:c>
      <x:c r="C1964" s="2" t="str">
        <x:v>Argentina</x:v>
      </x:c>
      <x:c r="D1964" s="2" t="str">
        <x:v>Acessórios</x:v>
      </x:c>
      <x:c r="E1964" s="11" t="n">
        <x:v>24</x:v>
      </x:c>
      <x:c r="F1964" s="12" t="n">
        <x:v>88.85</x:v>
      </x:c>
      <x:c r="G1964" s="12" t="n">
        <x:v>2132.4</x:v>
      </x:c>
      <x:c r="H1964" s="13" t="n">
        <x:v>487</x:v>
      </x:c>
      <x:c r="I1964" s="13" t="n">
        <x:f>YEAR(B1964)</x:f>
        <x:v>2024</x:v>
      </x:c>
      <x:c r="J1964" s="13" t="n">
        <x:f>MONTH(B1964)</x:f>
        <x:v>12</x:v>
      </x:c>
      <x:c r="K1964" s="14" t="n">
        <x:f>ROUND(E1964*F1964-G1964,10)</x:f>
        <x:v>0</x:v>
      </x:c>
      <x:c r="L1964" s="2"/>
      <x:c r="M1964" s="2"/>
      <x:c r="N1964" s="2"/>
      <x:c r="O1964" s="2"/>
      <x:c r="P1964" s="2"/>
      <x:c r="Q1964" s="2"/>
      <x:c r="R1964" s="2"/>
    </x:row>
    <x:row r="1965" ht="22" customHeight="1">
      <x:c r="A1965" s="2" t="n">
        <x:v>101959</x:v>
      </x:c>
      <x:c r="B1965" s="10" t="n">
        <x:v>45368</x:v>
      </x:c>
      <x:c r="C1965" s="2" t="str">
        <x:v>Argentina</x:v>
      </x:c>
      <x:c r="D1965" s="2" t="str">
        <x:v>Moda Feminina</x:v>
      </x:c>
      <x:c r="E1965" s="11" t="n">
        <x:v>9</x:v>
      </x:c>
      <x:c r="F1965" s="12" t="n">
        <x:v>74.81</x:v>
      </x:c>
      <x:c r="G1965" s="12" t="n">
        <x:v>673.29</x:v>
      </x:c>
      <x:c r="H1965" s="13" t="n">
        <x:v>476</x:v>
      </x:c>
      <x:c r="I1965" s="13" t="n">
        <x:f>YEAR(B1965)</x:f>
        <x:v>2024</x:v>
      </x:c>
      <x:c r="J1965" s="13" t="n">
        <x:f>MONTH(B1965)</x:f>
        <x:v>3</x:v>
      </x:c>
      <x:c r="K1965" s="14" t="n">
        <x:f>ROUND(E1965*F1965-G1965,10)</x:f>
        <x:v>0</x:v>
      </x:c>
      <x:c r="L1965" s="2"/>
      <x:c r="M1965" s="2"/>
      <x:c r="N1965" s="2"/>
      <x:c r="O1965" s="2"/>
      <x:c r="P1965" s="2"/>
      <x:c r="Q1965" s="2"/>
      <x:c r="R1965" s="2"/>
    </x:row>
    <x:row r="1966" ht="22" customHeight="1">
      <x:c r="A1966" s="2" t="n">
        <x:v>101960</x:v>
      </x:c>
      <x:c r="B1966" s="10" t="n">
        <x:v>44964</x:v>
      </x:c>
      <x:c r="C1966" s="2" t="str">
        <x:v>Colômbia</x:v>
      </x:c>
      <x:c r="D1966" s="2" t="str">
        <x:v>Calçados</x:v>
      </x:c>
      <x:c r="E1966" s="11" t="n">
        <x:v>31</x:v>
      </x:c>
      <x:c r="F1966" s="12" t="n">
        <x:v>24.47</x:v>
      </x:c>
      <x:c r="G1966" s="12" t="n">
        <x:v>758.5699999999999</x:v>
      </x:c>
      <x:c r="H1966" s="13" t="n">
        <x:v>91</x:v>
      </x:c>
      <x:c r="I1966" s="13" t="n">
        <x:f>YEAR(B1966)</x:f>
        <x:v>2023</x:v>
      </x:c>
      <x:c r="J1966" s="13" t="n">
        <x:f>MONTH(B1966)</x:f>
        <x:v>2</x:v>
      </x:c>
      <x:c r="K1966" s="14" t="n">
        <x:f>ROUND(E1966*F1966-G1966,10)</x:f>
        <x:v>0</x:v>
      </x:c>
      <x:c r="L1966" s="2"/>
      <x:c r="M1966" s="2"/>
      <x:c r="N1966" s="2"/>
      <x:c r="O1966" s="2"/>
      <x:c r="P1966" s="2"/>
      <x:c r="Q1966" s="2"/>
      <x:c r="R1966" s="2"/>
    </x:row>
    <x:row r="1967" ht="22" customHeight="1">
      <x:c r="A1967" s="2" t="n">
        <x:v>101961</x:v>
      </x:c>
      <x:c r="B1967" s="10" t="n">
        <x:v>45646</x:v>
      </x:c>
      <x:c r="C1967" s="2" t="str">
        <x:v>Brasil</x:v>
      </x:c>
      <x:c r="D1967" s="2" t="str">
        <x:v>Acessórios</x:v>
      </x:c>
      <x:c r="E1967" s="11" t="n">
        <x:v>15</x:v>
      </x:c>
      <x:c r="F1967" s="12" t="n">
        <x:v>20.7</x:v>
      </x:c>
      <x:c r="G1967" s="12" t="n">
        <x:v>310.5</x:v>
      </x:c>
      <x:c r="H1967" s="13" t="n">
        <x:v>159</x:v>
      </x:c>
      <x:c r="I1967" s="13" t="n">
        <x:f>YEAR(B1967)</x:f>
        <x:v>2024</x:v>
      </x:c>
      <x:c r="J1967" s="13" t="n">
        <x:f>MONTH(B1967)</x:f>
        <x:v>12</x:v>
      </x:c>
      <x:c r="K1967" s="14" t="n">
        <x:f>ROUND(E1967*F1967-G1967,10)</x:f>
        <x:v>0</x:v>
      </x:c>
      <x:c r="L1967" s="2"/>
      <x:c r="M1967" s="2"/>
      <x:c r="N1967" s="2"/>
      <x:c r="O1967" s="2"/>
      <x:c r="P1967" s="2"/>
      <x:c r="Q1967" s="2"/>
      <x:c r="R1967" s="2"/>
    </x:row>
    <x:row r="1968" ht="22" customHeight="1">
      <x:c r="A1968" s="2" t="n">
        <x:v>101962</x:v>
      </x:c>
      <x:c r="B1968" s="10" t="n">
        <x:v>45035</x:v>
      </x:c>
      <x:c r="C1968" s="2" t="str">
        <x:v>Chile</x:v>
      </x:c>
      <x:c r="D1968" s="2" t="str">
        <x:v>Moda Infantil</x:v>
      </x:c>
      <x:c r="E1968" s="11" t="n">
        <x:v>4</x:v>
      </x:c>
      <x:c r="F1968" s="12" t="n">
        <x:v>60.9</x:v>
      </x:c>
      <x:c r="G1968" s="12" t="n">
        <x:v>243.6</x:v>
      </x:c>
      <x:c r="H1968" s="13" t="n">
        <x:v>327</x:v>
      </x:c>
      <x:c r="I1968" s="13" t="n">
        <x:f>YEAR(B1968)</x:f>
        <x:v>2023</x:v>
      </x:c>
      <x:c r="J1968" s="13" t="n">
        <x:f>MONTH(B1968)</x:f>
        <x:v>4</x:v>
      </x:c>
      <x:c r="K1968" s="14" t="n">
        <x:f>ROUND(E1968*F1968-G1968,10)</x:f>
        <x:v>0</x:v>
      </x:c>
      <x:c r="L1968" s="2"/>
      <x:c r="M1968" s="2"/>
      <x:c r="N1968" s="2"/>
      <x:c r="O1968" s="2"/>
      <x:c r="P1968" s="2"/>
      <x:c r="Q1968" s="2"/>
      <x:c r="R1968" s="2"/>
    </x:row>
    <x:row r="1969" ht="22" customHeight="1">
      <x:c r="A1969" s="2" t="n">
        <x:v>101963</x:v>
      </x:c>
      <x:c r="B1969" s="10" t="n">
        <x:v>45250</x:v>
      </x:c>
      <x:c r="C1969" s="2" t="str">
        <x:v>México</x:v>
      </x:c>
      <x:c r="D1969" s="2" t="str">
        <x:v>Calçados</x:v>
      </x:c>
      <x:c r="E1969" s="11" t="n">
        <x:v>40</x:v>
      </x:c>
      <x:c r="F1969" s="12" t="n">
        <x:v>93.15</x:v>
      </x:c>
      <x:c r="G1969" s="12" t="n">
        <x:v>3726</x:v>
      </x:c>
      <x:c r="H1969" s="13" t="n">
        <x:v>373</x:v>
      </x:c>
      <x:c r="I1969" s="13" t="n">
        <x:f>YEAR(B1969)</x:f>
        <x:v>2023</x:v>
      </x:c>
      <x:c r="J1969" s="13" t="n">
        <x:f>MONTH(B1969)</x:f>
        <x:v>11</x:v>
      </x:c>
      <x:c r="K1969" s="14" t="n">
        <x:f>ROUND(E1969*F1969-G1969,10)</x:f>
        <x:v>0</x:v>
      </x:c>
      <x:c r="L1969" s="2"/>
      <x:c r="M1969" s="2"/>
      <x:c r="N1969" s="2"/>
      <x:c r="O1969" s="2"/>
      <x:c r="P1969" s="2"/>
      <x:c r="Q1969" s="2"/>
      <x:c r="R1969" s="2"/>
    </x:row>
    <x:row r="1970" ht="22" customHeight="1">
      <x:c r="A1970" s="2" t="n">
        <x:v>101964</x:v>
      </x:c>
      <x:c r="B1970" s="10" t="n">
        <x:v>45145</x:v>
      </x:c>
      <x:c r="C1970" s="2" t="str">
        <x:v>Chile</x:v>
      </x:c>
      <x:c r="D1970" s="2" t="str">
        <x:v>Acessórios</x:v>
      </x:c>
      <x:c r="E1970" s="11" t="n">
        <x:v>9</x:v>
      </x:c>
      <x:c r="F1970" s="12" t="n">
        <x:v>173.23</x:v>
      </x:c>
      <x:c r="G1970" s="12" t="n">
        <x:v>1559.07</x:v>
      </x:c>
      <x:c r="H1970" s="13" t="n">
        <x:v>68</x:v>
      </x:c>
      <x:c r="I1970" s="13" t="n">
        <x:f>YEAR(B1970)</x:f>
        <x:v>2023</x:v>
      </x:c>
      <x:c r="J1970" s="13" t="n">
        <x:f>MONTH(B1970)</x:f>
        <x:v>8</x:v>
      </x:c>
      <x:c r="K1970" s="14" t="n">
        <x:f>ROUND(E1970*F1970-G1970,10)</x:f>
        <x:v>0</x:v>
      </x:c>
      <x:c r="L1970" s="2"/>
      <x:c r="M1970" s="2"/>
      <x:c r="N1970" s="2"/>
      <x:c r="O1970" s="2"/>
      <x:c r="P1970" s="2"/>
      <x:c r="Q1970" s="2"/>
      <x:c r="R1970" s="2"/>
    </x:row>
    <x:row r="1971" ht="22" customHeight="1">
      <x:c r="A1971" s="2" t="n">
        <x:v>101965</x:v>
      </x:c>
      <x:c r="B1971" s="10" t="n">
        <x:v>45348</x:v>
      </x:c>
      <x:c r="C1971" s="2" t="str">
        <x:v>Chile</x:v>
      </x:c>
      <x:c r="D1971" s="2" t="str">
        <x:v>Calçados</x:v>
      </x:c>
      <x:c r="E1971" s="11" t="n">
        <x:v>45</x:v>
      </x:c>
      <x:c r="F1971" s="12" t="n">
        <x:v>163.73</x:v>
      </x:c>
      <x:c r="G1971" s="12" t="n">
        <x:v>7367.849999999999</x:v>
      </x:c>
      <x:c r="H1971" s="13" t="n">
        <x:v>115</x:v>
      </x:c>
      <x:c r="I1971" s="13" t="n">
        <x:f>YEAR(B1971)</x:f>
        <x:v>2024</x:v>
      </x:c>
      <x:c r="J1971" s="13" t="n">
        <x:f>MONTH(B1971)</x:f>
        <x:v>2</x:v>
      </x:c>
      <x:c r="K1971" s="14" t="n">
        <x:f>ROUND(E1971*F1971-G1971,10)</x:f>
        <x:v>0</x:v>
      </x:c>
      <x:c r="L1971" s="2"/>
      <x:c r="M1971" s="2"/>
      <x:c r="N1971" s="2"/>
      <x:c r="O1971" s="2"/>
      <x:c r="P1971" s="2"/>
      <x:c r="Q1971" s="2"/>
      <x:c r="R1971" s="2"/>
    </x:row>
    <x:row r="1972" ht="22" customHeight="1">
      <x:c r="A1972" s="2" t="n">
        <x:v>101966</x:v>
      </x:c>
      <x:c r="B1972" s="10" t="n">
        <x:v>45551</x:v>
      </x:c>
      <x:c r="C1972" s="2" t="str">
        <x:v>Peru</x:v>
      </x:c>
      <x:c r="D1972" s="2" t="str">
        <x:v>Moda Masculina</x:v>
      </x:c>
      <x:c r="E1972" s="11" t="n">
        <x:v>9</x:v>
      </x:c>
      <x:c r="F1972" s="12" t="n">
        <x:v>68.09</x:v>
      </x:c>
      <x:c r="G1972" s="12" t="n">
        <x:v>612.8100000000001</x:v>
      </x:c>
      <x:c r="H1972" s="13" t="n">
        <x:v>216</x:v>
      </x:c>
      <x:c r="I1972" s="13" t="n">
        <x:f>YEAR(B1972)</x:f>
        <x:v>2024</x:v>
      </x:c>
      <x:c r="J1972" s="13" t="n">
        <x:f>MONTH(B1972)</x:f>
        <x:v>9</x:v>
      </x:c>
      <x:c r="K1972" s="14" t="n">
        <x:f>ROUND(E1972*F1972-G1972,10)</x:f>
        <x:v>0</x:v>
      </x:c>
      <x:c r="L1972" s="2"/>
      <x:c r="M1972" s="2"/>
      <x:c r="N1972" s="2"/>
      <x:c r="O1972" s="2"/>
      <x:c r="P1972" s="2"/>
      <x:c r="Q1972" s="2"/>
      <x:c r="R1972" s="2"/>
    </x:row>
    <x:row r="1973" ht="22" customHeight="1">
      <x:c r="A1973" s="2" t="n">
        <x:v>101967</x:v>
      </x:c>
      <x:c r="B1973" s="10" t="n">
        <x:v>45238</x:v>
      </x:c>
      <x:c r="C1973" s="2" t="str">
        <x:v>Brasil</x:v>
      </x:c>
      <x:c r="D1973" s="2" t="str">
        <x:v>Moda Masculina</x:v>
      </x:c>
      <x:c r="E1973" s="11" t="n">
        <x:v>26</x:v>
      </x:c>
      <x:c r="F1973" s="12" t="n">
        <x:v>64.02</x:v>
      </x:c>
      <x:c r="G1973" s="12" t="n">
        <x:v>1664.52</x:v>
      </x:c>
      <x:c r="H1973" s="13" t="n">
        <x:v>122</x:v>
      </x:c>
      <x:c r="I1973" s="13" t="n">
        <x:f>YEAR(B1973)</x:f>
        <x:v>2023</x:v>
      </x:c>
      <x:c r="J1973" s="13" t="n">
        <x:f>MONTH(B1973)</x:f>
        <x:v>11</x:v>
      </x:c>
      <x:c r="K1973" s="14" t="n">
        <x:f>ROUND(E1973*F1973-G1973,10)</x:f>
        <x:v>0</x:v>
      </x:c>
      <x:c r="L1973" s="2"/>
      <x:c r="M1973" s="2"/>
      <x:c r="N1973" s="2"/>
      <x:c r="O1973" s="2"/>
      <x:c r="P1973" s="2"/>
      <x:c r="Q1973" s="2"/>
      <x:c r="R1973" s="2"/>
    </x:row>
    <x:row r="1974" ht="22" customHeight="1">
      <x:c r="A1974" s="2" t="n">
        <x:v>101968</x:v>
      </x:c>
      <x:c r="B1974" s="10" t="n">
        <x:v>45390</x:v>
      </x:c>
      <x:c r="C1974" s="2" t="str">
        <x:v>Peru</x:v>
      </x:c>
      <x:c r="D1974" s="2" t="str">
        <x:v>Moda Feminina</x:v>
      </x:c>
      <x:c r="E1974" s="11" t="n">
        <x:v>4</x:v>
      </x:c>
      <x:c r="F1974" s="12" t="n">
        <x:v>60.92</x:v>
      </x:c>
      <x:c r="G1974" s="12" t="n">
        <x:v>243.68</x:v>
      </x:c>
      <x:c r="H1974" s="13" t="n">
        <x:v>452</x:v>
      </x:c>
      <x:c r="I1974" s="13" t="n">
        <x:f>YEAR(B1974)</x:f>
        <x:v>2024</x:v>
      </x:c>
      <x:c r="J1974" s="13" t="n">
        <x:f>MONTH(B1974)</x:f>
        <x:v>4</x:v>
      </x:c>
      <x:c r="K1974" s="14" t="n">
        <x:f>ROUND(E1974*F1974-G1974,10)</x:f>
        <x:v>0</x:v>
      </x:c>
      <x:c r="L1974" s="2"/>
      <x:c r="M1974" s="2"/>
      <x:c r="N1974" s="2"/>
      <x:c r="O1974" s="2"/>
      <x:c r="P1974" s="2"/>
      <x:c r="Q1974" s="2"/>
      <x:c r="R1974" s="2"/>
    </x:row>
    <x:row r="1975" ht="22" customHeight="1">
      <x:c r="A1975" s="2" t="n">
        <x:v>101969</x:v>
      </x:c>
      <x:c r="B1975" s="10" t="n">
        <x:v>45204</x:v>
      </x:c>
      <x:c r="C1975" s="2" t="str">
        <x:v>Brasil</x:v>
      </x:c>
      <x:c r="D1975" s="2" t="str">
        <x:v>Moda Feminina</x:v>
      </x:c>
      <x:c r="E1975" s="11" t="n">
        <x:v>17</x:v>
      </x:c>
      <x:c r="F1975" s="12" t="n">
        <x:v>81.06</x:v>
      </x:c>
      <x:c r="G1975" s="12" t="n">
        <x:v>1378.02</x:v>
      </x:c>
      <x:c r="H1975" s="13" t="n">
        <x:v>449</x:v>
      </x:c>
      <x:c r="I1975" s="13" t="n">
        <x:f>YEAR(B1975)</x:f>
        <x:v>2023</x:v>
      </x:c>
      <x:c r="J1975" s="13" t="n">
        <x:f>MONTH(B1975)</x:f>
        <x:v>10</x:v>
      </x:c>
      <x:c r="K1975" s="14" t="n">
        <x:f>ROUND(E1975*F1975-G1975,10)</x:f>
        <x:v>0</x:v>
      </x:c>
      <x:c r="L1975" s="2"/>
      <x:c r="M1975" s="2"/>
      <x:c r="N1975" s="2"/>
      <x:c r="O1975" s="2"/>
      <x:c r="P1975" s="2"/>
      <x:c r="Q1975" s="2"/>
      <x:c r="R1975" s="2"/>
    </x:row>
    <x:row r="1976" ht="22" customHeight="1">
      <x:c r="A1976" s="2" t="n">
        <x:v>101970</x:v>
      </x:c>
      <x:c r="B1976" s="10" t="n">
        <x:v>45621</x:v>
      </x:c>
      <x:c r="C1976" s="2" t="str">
        <x:v>Brasil</x:v>
      </x:c>
      <x:c r="D1976" s="2" t="str">
        <x:v>Moda Masculina</x:v>
      </x:c>
      <x:c r="E1976" s="11" t="n">
        <x:v>16</x:v>
      </x:c>
      <x:c r="F1976" s="12" t="n">
        <x:v>109.68</x:v>
      </x:c>
      <x:c r="G1976" s="12" t="n">
        <x:v>1754.88</x:v>
      </x:c>
      <x:c r="H1976" s="13" t="n">
        <x:v>359</x:v>
      </x:c>
      <x:c r="I1976" s="13" t="n">
        <x:f>YEAR(B1976)</x:f>
        <x:v>2024</x:v>
      </x:c>
      <x:c r="J1976" s="13" t="n">
        <x:f>MONTH(B1976)</x:f>
        <x:v>11</x:v>
      </x:c>
      <x:c r="K1976" s="14" t="n">
        <x:f>ROUND(E1976*F1976-G1976,10)</x:f>
        <x:v>0</x:v>
      </x:c>
      <x:c r="L1976" s="2"/>
      <x:c r="M1976" s="2"/>
      <x:c r="N1976" s="2"/>
      <x:c r="O1976" s="2"/>
      <x:c r="P1976" s="2"/>
      <x:c r="Q1976" s="2"/>
      <x:c r="R1976" s="2"/>
    </x:row>
    <x:row r="1977" ht="22" customHeight="1">
      <x:c r="A1977" s="2" t="n">
        <x:v>101971</x:v>
      </x:c>
      <x:c r="B1977" s="10" t="n">
        <x:v>45527</x:v>
      </x:c>
      <x:c r="C1977" s="2" t="str">
        <x:v>Argentina</x:v>
      </x:c>
      <x:c r="D1977" s="2" t="str">
        <x:v>Calçados</x:v>
      </x:c>
      <x:c r="E1977" s="11" t="n">
        <x:v>15</x:v>
      </x:c>
      <x:c r="F1977" s="12" t="n">
        <x:v>98.96</x:v>
      </x:c>
      <x:c r="G1977" s="12" t="n">
        <x:v>1484.4</x:v>
      </x:c>
      <x:c r="H1977" s="13" t="n">
        <x:v>458</x:v>
      </x:c>
      <x:c r="I1977" s="13" t="n">
        <x:f>YEAR(B1977)</x:f>
        <x:v>2024</x:v>
      </x:c>
      <x:c r="J1977" s="13" t="n">
        <x:f>MONTH(B1977)</x:f>
        <x:v>8</x:v>
      </x:c>
      <x:c r="K1977" s="14" t="n">
        <x:f>ROUND(E1977*F1977-G1977,10)</x:f>
        <x:v>0</x:v>
      </x:c>
      <x:c r="L1977" s="2"/>
      <x:c r="M1977" s="2"/>
      <x:c r="N1977" s="2"/>
      <x:c r="O1977" s="2"/>
      <x:c r="P1977" s="2"/>
      <x:c r="Q1977" s="2"/>
      <x:c r="R1977" s="2"/>
    </x:row>
    <x:row r="1978" ht="22" customHeight="1">
      <x:c r="A1978" s="2" t="n">
        <x:v>101972</x:v>
      </x:c>
      <x:c r="B1978" s="10" t="n">
        <x:v>45455</x:v>
      </x:c>
      <x:c r="C1978" s="2" t="str">
        <x:v>Colômbia</x:v>
      </x:c>
      <x:c r="D1978" s="2" t="str">
        <x:v>Moda Masculina</x:v>
      </x:c>
      <x:c r="E1978" s="11" t="n">
        <x:v>35</x:v>
      </x:c>
      <x:c r="F1978" s="12" t="n">
        <x:v>59.29</x:v>
      </x:c>
      <x:c r="G1978" s="12" t="n">
        <x:v>2075.15</x:v>
      </x:c>
      <x:c r="H1978" s="13" t="n">
        <x:v>161</x:v>
      </x:c>
      <x:c r="I1978" s="13" t="n">
        <x:f>YEAR(B1978)</x:f>
        <x:v>2024</x:v>
      </x:c>
      <x:c r="J1978" s="13" t="n">
        <x:f>MONTH(B1978)</x:f>
        <x:v>6</x:v>
      </x:c>
      <x:c r="K1978" s="14" t="n">
        <x:f>ROUND(E1978*F1978-G1978,10)</x:f>
        <x:v>0</x:v>
      </x:c>
      <x:c r="L1978" s="2"/>
      <x:c r="M1978" s="2"/>
      <x:c r="N1978" s="2"/>
      <x:c r="O1978" s="2"/>
      <x:c r="P1978" s="2"/>
      <x:c r="Q1978" s="2"/>
      <x:c r="R1978" s="2"/>
    </x:row>
    <x:row r="1979" ht="22" customHeight="1">
      <x:c r="A1979" s="2" t="n">
        <x:v>101973</x:v>
      </x:c>
      <x:c r="B1979" s="10" t="n">
        <x:v>45311</x:v>
      </x:c>
      <x:c r="C1979" s="2" t="str">
        <x:v>Argentina</x:v>
      </x:c>
      <x:c r="D1979" s="2" t="str">
        <x:v>Moda Feminina</x:v>
      </x:c>
      <x:c r="E1979" s="11" t="n">
        <x:v>5</x:v>
      </x:c>
      <x:c r="F1979" s="12" t="n">
        <x:v>43.48</x:v>
      </x:c>
      <x:c r="G1979" s="12" t="n">
        <x:v>217.4</x:v>
      </x:c>
      <x:c r="H1979" s="13" t="n">
        <x:v>323</x:v>
      </x:c>
      <x:c r="I1979" s="13" t="n">
        <x:f>YEAR(B1979)</x:f>
        <x:v>2024</x:v>
      </x:c>
      <x:c r="J1979" s="13" t="n">
        <x:f>MONTH(B1979)</x:f>
        <x:v>1</x:v>
      </x:c>
      <x:c r="K1979" s="14" t="n">
        <x:f>ROUND(E1979*F1979-G1979,10)</x:f>
        <x:v>0</x:v>
      </x:c>
      <x:c r="L1979" s="2"/>
      <x:c r="M1979" s="2"/>
      <x:c r="N1979" s="2"/>
      <x:c r="O1979" s="2"/>
      <x:c r="P1979" s="2"/>
      <x:c r="Q1979" s="2"/>
      <x:c r="R1979" s="2"/>
    </x:row>
    <x:row r="1980" ht="22" customHeight="1">
      <x:c r="A1980" s="2" t="n">
        <x:v>101974</x:v>
      </x:c>
      <x:c r="B1980" s="10" t="n">
        <x:v>45053</x:v>
      </x:c>
      <x:c r="C1980" s="2" t="str">
        <x:v>Colômbia</x:v>
      </x:c>
      <x:c r="D1980" s="2" t="str">
        <x:v>Moda Masculina</x:v>
      </x:c>
      <x:c r="E1980" s="11" t="n">
        <x:v>5</x:v>
      </x:c>
      <x:c r="F1980" s="12" t="n">
        <x:v>22.26</x:v>
      </x:c>
      <x:c r="G1980" s="12" t="n">
        <x:v>111.3</x:v>
      </x:c>
      <x:c r="H1980" s="13" t="n">
        <x:v>456</x:v>
      </x:c>
      <x:c r="I1980" s="13" t="n">
        <x:f>YEAR(B1980)</x:f>
        <x:v>2023</x:v>
      </x:c>
      <x:c r="J1980" s="13" t="n">
        <x:f>MONTH(B1980)</x:f>
        <x:v>5</x:v>
      </x:c>
      <x:c r="K1980" s="14" t="n">
        <x:f>ROUND(E1980*F1980-G1980,10)</x:f>
        <x:v>0</x:v>
      </x:c>
      <x:c r="L1980" s="2"/>
      <x:c r="M1980" s="2"/>
      <x:c r="N1980" s="2"/>
      <x:c r="O1980" s="2"/>
      <x:c r="P1980" s="2"/>
      <x:c r="Q1980" s="2"/>
      <x:c r="R1980" s="2"/>
    </x:row>
    <x:row r="1981" ht="22" customHeight="1">
      <x:c r="A1981" s="2" t="n">
        <x:v>101975</x:v>
      </x:c>
      <x:c r="B1981" s="10" t="n">
        <x:v>45387</x:v>
      </x:c>
      <x:c r="C1981" s="2" t="str">
        <x:v>Peru</x:v>
      </x:c>
      <x:c r="D1981" s="2" t="str">
        <x:v>Moda Masculina</x:v>
      </x:c>
      <x:c r="E1981" s="11" t="n">
        <x:v>20</x:v>
      </x:c>
      <x:c r="F1981" s="12" t="n">
        <x:v>47.71</x:v>
      </x:c>
      <x:c r="G1981" s="12" t="n">
        <x:v>954.2</x:v>
      </x:c>
      <x:c r="H1981" s="13" t="n">
        <x:v>422</x:v>
      </x:c>
      <x:c r="I1981" s="13" t="n">
        <x:f>YEAR(B1981)</x:f>
        <x:v>2024</x:v>
      </x:c>
      <x:c r="J1981" s="13" t="n">
        <x:f>MONTH(B1981)</x:f>
        <x:v>4</x:v>
      </x:c>
      <x:c r="K1981" s="14" t="n">
        <x:f>ROUND(E1981*F1981-G1981,10)</x:f>
        <x:v>0</x:v>
      </x:c>
      <x:c r="L1981" s="2"/>
      <x:c r="M1981" s="2"/>
      <x:c r="N1981" s="2"/>
      <x:c r="O1981" s="2"/>
      <x:c r="P1981" s="2"/>
      <x:c r="Q1981" s="2"/>
      <x:c r="R1981" s="2"/>
    </x:row>
    <x:row r="1982" ht="22" customHeight="1">
      <x:c r="A1982" s="2" t="n">
        <x:v>101976</x:v>
      </x:c>
      <x:c r="B1982" s="10" t="n">
        <x:v>44971</x:v>
      </x:c>
      <x:c r="C1982" s="2" t="str">
        <x:v>Colômbia</x:v>
      </x:c>
      <x:c r="D1982" s="2" t="str">
        <x:v>Calçados</x:v>
      </x:c>
      <x:c r="E1982" s="11" t="n">
        <x:v>15</x:v>
      </x:c>
      <x:c r="F1982" s="12" t="n">
        <x:v>146.96</x:v>
      </x:c>
      <x:c r="G1982" s="12" t="n">
        <x:v>2204.4</x:v>
      </x:c>
      <x:c r="H1982" s="13" t="n">
        <x:v>134</x:v>
      </x:c>
      <x:c r="I1982" s="13" t="n">
        <x:f>YEAR(B1982)</x:f>
        <x:v>2023</x:v>
      </x:c>
      <x:c r="J1982" s="13" t="n">
        <x:f>MONTH(B1982)</x:f>
        <x:v>2</x:v>
      </x:c>
      <x:c r="K1982" s="14" t="n">
        <x:f>ROUND(E1982*F1982-G1982,10)</x:f>
        <x:v>0</x:v>
      </x:c>
      <x:c r="L1982" s="2"/>
      <x:c r="M1982" s="2"/>
      <x:c r="N1982" s="2"/>
      <x:c r="O1982" s="2"/>
      <x:c r="P1982" s="2"/>
      <x:c r="Q1982" s="2"/>
      <x:c r="R1982" s="2"/>
    </x:row>
    <x:row r="1983" ht="22" customHeight="1">
      <x:c r="A1983" s="2" t="n">
        <x:v>101977</x:v>
      </x:c>
      <x:c r="B1983" s="10" t="n">
        <x:v>45367</x:v>
      </x:c>
      <x:c r="C1983" s="2" t="str">
        <x:v>Peru</x:v>
      </x:c>
      <x:c r="D1983" s="2" t="str">
        <x:v>Acessórios</x:v>
      </x:c>
      <x:c r="E1983" s="11" t="n">
        <x:v>18</x:v>
      </x:c>
      <x:c r="F1983" s="12" t="n">
        <x:v>63.85</x:v>
      </x:c>
      <x:c r="G1983" s="12" t="n">
        <x:v>1149.3</x:v>
      </x:c>
      <x:c r="H1983" s="13" t="n">
        <x:v>188</x:v>
      </x:c>
      <x:c r="I1983" s="13" t="n">
        <x:f>YEAR(B1983)</x:f>
        <x:v>2024</x:v>
      </x:c>
      <x:c r="J1983" s="13" t="n">
        <x:f>MONTH(B1983)</x:f>
        <x:v>3</x:v>
      </x:c>
      <x:c r="K1983" s="14" t="n">
        <x:f>ROUND(E1983*F1983-G1983,10)</x:f>
        <x:v>0</x:v>
      </x:c>
      <x:c r="L1983" s="2"/>
      <x:c r="M1983" s="2"/>
      <x:c r="N1983" s="2"/>
      <x:c r="O1983" s="2"/>
      <x:c r="P1983" s="2"/>
      <x:c r="Q1983" s="2"/>
      <x:c r="R1983" s="2"/>
    </x:row>
    <x:row r="1984" ht="22" customHeight="1">
      <x:c r="A1984" s="2" t="n">
        <x:v>101978</x:v>
      </x:c>
      <x:c r="B1984" s="10" t="n">
        <x:v>45333</x:v>
      </x:c>
      <x:c r="C1984" s="2" t="str">
        <x:v>Chile</x:v>
      </x:c>
      <x:c r="D1984" s="2" t="str">
        <x:v>Moda Feminina</x:v>
      </x:c>
      <x:c r="E1984" s="11" t="n">
        <x:v>47</x:v>
      </x:c>
      <x:c r="F1984" s="12" t="n">
        <x:v>104.35</x:v>
      </x:c>
      <x:c r="G1984" s="12" t="n">
        <x:v>4904.45</x:v>
      </x:c>
      <x:c r="H1984" s="13" t="n">
        <x:v>88</x:v>
      </x:c>
      <x:c r="I1984" s="13" t="n">
        <x:f>YEAR(B1984)</x:f>
        <x:v>2024</x:v>
      </x:c>
      <x:c r="J1984" s="13" t="n">
        <x:f>MONTH(B1984)</x:f>
        <x:v>2</x:v>
      </x:c>
      <x:c r="K1984" s="14" t="n">
        <x:f>ROUND(E1984*F1984-G1984,10)</x:f>
        <x:v>0</x:v>
      </x:c>
      <x:c r="L1984" s="2"/>
      <x:c r="M1984" s="2"/>
      <x:c r="N1984" s="2"/>
      <x:c r="O1984" s="2"/>
      <x:c r="P1984" s="2"/>
      <x:c r="Q1984" s="2"/>
      <x:c r="R1984" s="2"/>
    </x:row>
    <x:row r="1985" ht="22" customHeight="1">
      <x:c r="A1985" s="2" t="n">
        <x:v>101979</x:v>
      </x:c>
      <x:c r="B1985" s="10" t="n">
        <x:v>45013</x:v>
      </x:c>
      <x:c r="C1985" s="2" t="str">
        <x:v>Chile</x:v>
      </x:c>
      <x:c r="D1985" s="2" t="str">
        <x:v>Calçados</x:v>
      </x:c>
      <x:c r="E1985" s="11" t="n">
        <x:v>2</x:v>
      </x:c>
      <x:c r="F1985" s="12" t="n">
        <x:v>126.43</x:v>
      </x:c>
      <x:c r="G1985" s="12" t="n">
        <x:v>252.86</x:v>
      </x:c>
      <x:c r="H1985" s="13" t="n">
        <x:v>154</x:v>
      </x:c>
      <x:c r="I1985" s="13" t="n">
        <x:f>YEAR(B1985)</x:f>
        <x:v>2023</x:v>
      </x:c>
      <x:c r="J1985" s="13" t="n">
        <x:f>MONTH(B1985)</x:f>
        <x:v>3</x:v>
      </x:c>
      <x:c r="K1985" s="14" t="n">
        <x:f>ROUND(E1985*F1985-G1985,10)</x:f>
        <x:v>0</x:v>
      </x:c>
      <x:c r="L1985" s="2"/>
      <x:c r="M1985" s="2"/>
      <x:c r="N1985" s="2"/>
      <x:c r="O1985" s="2"/>
      <x:c r="P1985" s="2"/>
      <x:c r="Q1985" s="2"/>
      <x:c r="R1985" s="2"/>
    </x:row>
    <x:row r="1986" ht="22" customHeight="1">
      <x:c r="A1986" s="2" t="n">
        <x:v>101980</x:v>
      </x:c>
      <x:c r="B1986" s="10" t="n">
        <x:v>45575</x:v>
      </x:c>
      <x:c r="C1986" s="2" t="str">
        <x:v>Colômbia</x:v>
      </x:c>
      <x:c r="D1986" s="2" t="str">
        <x:v>Moda Masculina</x:v>
      </x:c>
      <x:c r="E1986" s="11" t="n">
        <x:v>29</x:v>
      </x:c>
      <x:c r="F1986" s="12" t="n">
        <x:v>179.63</x:v>
      </x:c>
      <x:c r="G1986" s="12" t="n">
        <x:v>5209.27</x:v>
      </x:c>
      <x:c r="H1986" s="13" t="n">
        <x:v>373</x:v>
      </x:c>
      <x:c r="I1986" s="13" t="n">
        <x:f>YEAR(B1986)</x:f>
        <x:v>2024</x:v>
      </x:c>
      <x:c r="J1986" s="13" t="n">
        <x:f>MONTH(B1986)</x:f>
        <x:v>10</x:v>
      </x:c>
      <x:c r="K1986" s="14" t="n">
        <x:f>ROUND(E1986*F1986-G1986,10)</x:f>
        <x:v>0</x:v>
      </x:c>
      <x:c r="L1986" s="2"/>
      <x:c r="M1986" s="2"/>
      <x:c r="N1986" s="2"/>
      <x:c r="O1986" s="2"/>
      <x:c r="P1986" s="2"/>
      <x:c r="Q1986" s="2"/>
      <x:c r="R1986" s="2"/>
    </x:row>
    <x:row r="1987" ht="22" customHeight="1">
      <x:c r="A1987" s="2" t="n">
        <x:v>101981</x:v>
      </x:c>
      <x:c r="B1987" s="10" t="n">
        <x:v>45544</x:v>
      </x:c>
      <x:c r="C1987" s="2" t="str">
        <x:v>Colômbia</x:v>
      </x:c>
      <x:c r="D1987" s="2" t="str">
        <x:v>Moda Masculina</x:v>
      </x:c>
      <x:c r="E1987" s="11" t="n">
        <x:v>13</x:v>
      </x:c>
      <x:c r="F1987" s="12" t="n">
        <x:v>179.99</x:v>
      </x:c>
      <x:c r="G1987" s="12" t="n">
        <x:v>2339.87</x:v>
      </x:c>
      <x:c r="H1987" s="13" t="n">
        <x:v>330</x:v>
      </x:c>
      <x:c r="I1987" s="13" t="n">
        <x:f>YEAR(B1987)</x:f>
        <x:v>2024</x:v>
      </x:c>
      <x:c r="J1987" s="13" t="n">
        <x:f>MONTH(B1987)</x:f>
        <x:v>9</x:v>
      </x:c>
      <x:c r="K1987" s="14" t="n">
        <x:f>ROUND(E1987*F1987-G1987,10)</x:f>
        <x:v>0</x:v>
      </x:c>
      <x:c r="L1987" s="2"/>
      <x:c r="M1987" s="2"/>
      <x:c r="N1987" s="2"/>
      <x:c r="O1987" s="2"/>
      <x:c r="P1987" s="2"/>
      <x:c r="Q1987" s="2"/>
      <x:c r="R1987" s="2"/>
    </x:row>
    <x:row r="1988" ht="22" customHeight="1">
      <x:c r="A1988" s="2" t="n">
        <x:v>101982</x:v>
      </x:c>
      <x:c r="B1988" s="10" t="n">
        <x:v>45355</x:v>
      </x:c>
      <x:c r="C1988" s="2" t="str">
        <x:v>Peru</x:v>
      </x:c>
      <x:c r="D1988" s="2" t="str">
        <x:v>Acessórios</x:v>
      </x:c>
      <x:c r="E1988" s="11" t="n">
        <x:v>4</x:v>
      </x:c>
      <x:c r="F1988" s="12" t="n">
        <x:v>154.23</x:v>
      </x:c>
      <x:c r="G1988" s="12" t="n">
        <x:v>616.92</x:v>
      </x:c>
      <x:c r="H1988" s="13" t="n">
        <x:v>496</x:v>
      </x:c>
      <x:c r="I1988" s="13" t="n">
        <x:f>YEAR(B1988)</x:f>
        <x:v>2024</x:v>
      </x:c>
      <x:c r="J1988" s="13" t="n">
        <x:f>MONTH(B1988)</x:f>
        <x:v>3</x:v>
      </x:c>
      <x:c r="K1988" s="14" t="n">
        <x:f>ROUND(E1988*F1988-G1988,10)</x:f>
        <x:v>0</x:v>
      </x:c>
      <x:c r="L1988" s="2"/>
      <x:c r="M1988" s="2"/>
      <x:c r="N1988" s="2"/>
      <x:c r="O1988" s="2"/>
      <x:c r="P1988" s="2"/>
      <x:c r="Q1988" s="2"/>
      <x:c r="R1988" s="2"/>
    </x:row>
    <x:row r="1989" ht="22" customHeight="1">
      <x:c r="A1989" s="2" t="n">
        <x:v>101983</x:v>
      </x:c>
      <x:c r="B1989" s="10" t="n">
        <x:v>45460</x:v>
      </x:c>
      <x:c r="C1989" s="2" t="str">
        <x:v>Argentina</x:v>
      </x:c>
      <x:c r="D1989" s="2" t="str">
        <x:v>Moda Feminina</x:v>
      </x:c>
      <x:c r="E1989" s="11" t="n">
        <x:v>42</x:v>
      </x:c>
      <x:c r="F1989" s="12" t="n">
        <x:v>26.33</x:v>
      </x:c>
      <x:c r="G1989" s="12" t="n">
        <x:v>1105.86</x:v>
      </x:c>
      <x:c r="H1989" s="13" t="n">
        <x:v>463</x:v>
      </x:c>
      <x:c r="I1989" s="13" t="n">
        <x:f>YEAR(B1989)</x:f>
        <x:v>2024</x:v>
      </x:c>
      <x:c r="J1989" s="13" t="n">
        <x:f>MONTH(B1989)</x:f>
        <x:v>6</x:v>
      </x:c>
      <x:c r="K1989" s="14" t="n">
        <x:f>ROUND(E1989*F1989-G1989,10)</x:f>
        <x:v>0</x:v>
      </x:c>
      <x:c r="L1989" s="2"/>
      <x:c r="M1989" s="2"/>
      <x:c r="N1989" s="2"/>
      <x:c r="O1989" s="2"/>
      <x:c r="P1989" s="2"/>
      <x:c r="Q1989" s="2"/>
      <x:c r="R1989" s="2"/>
    </x:row>
    <x:row r="1990" ht="22" customHeight="1">
      <x:c r="A1990" s="2" t="n">
        <x:v>101984</x:v>
      </x:c>
      <x:c r="B1990" s="10" t="n">
        <x:v>45357</x:v>
      </x:c>
      <x:c r="C1990" s="2" t="str">
        <x:v>Peru</x:v>
      </x:c>
      <x:c r="D1990" s="2" t="str">
        <x:v>Moda Feminina</x:v>
      </x:c>
      <x:c r="E1990" s="11" t="n">
        <x:v>45</x:v>
      </x:c>
      <x:c r="F1990" s="12" t="n">
        <x:v>123.51</x:v>
      </x:c>
      <x:c r="G1990" s="12" t="n">
        <x:v>5557.95</x:v>
      </x:c>
      <x:c r="H1990" s="13" t="n">
        <x:v>478</x:v>
      </x:c>
      <x:c r="I1990" s="13" t="n">
        <x:f>YEAR(B1990)</x:f>
        <x:v>2024</x:v>
      </x:c>
      <x:c r="J1990" s="13" t="n">
        <x:f>MONTH(B1990)</x:f>
        <x:v>3</x:v>
      </x:c>
      <x:c r="K1990" s="14" t="n">
        <x:f>ROUND(E1990*F1990-G1990,10)</x:f>
        <x:v>0</x:v>
      </x:c>
      <x:c r="L1990" s="2"/>
      <x:c r="M1990" s="2"/>
      <x:c r="N1990" s="2"/>
      <x:c r="O1990" s="2"/>
      <x:c r="P1990" s="2"/>
      <x:c r="Q1990" s="2"/>
      <x:c r="R1990" s="2"/>
    </x:row>
    <x:row r="1991" ht="22" customHeight="1">
      <x:c r="A1991" s="2" t="n">
        <x:v>101985</x:v>
      </x:c>
      <x:c r="B1991" s="10" t="n">
        <x:v>45173</x:v>
      </x:c>
      <x:c r="C1991" s="2" t="str">
        <x:v>Argentina</x:v>
      </x:c>
      <x:c r="D1991" s="2" t="str">
        <x:v>Moda Infantil</x:v>
      </x:c>
      <x:c r="E1991" s="11" t="n">
        <x:v>10</x:v>
      </x:c>
      <x:c r="F1991" s="12" t="n">
        <x:v>161.59</x:v>
      </x:c>
      <x:c r="G1991" s="12" t="n">
        <x:v>1615.9</x:v>
      </x:c>
      <x:c r="H1991" s="13" t="n">
        <x:v>172</x:v>
      </x:c>
      <x:c r="I1991" s="13" t="n">
        <x:f>YEAR(B1991)</x:f>
        <x:v>2023</x:v>
      </x:c>
      <x:c r="J1991" s="13" t="n">
        <x:f>MONTH(B1991)</x:f>
        <x:v>9</x:v>
      </x:c>
      <x:c r="K1991" s="14" t="n">
        <x:f>ROUND(E1991*F1991-G1991,10)</x:f>
        <x:v>0</x:v>
      </x:c>
      <x:c r="L1991" s="2"/>
      <x:c r="M1991" s="2"/>
      <x:c r="N1991" s="2"/>
      <x:c r="O1991" s="2"/>
      <x:c r="P1991" s="2"/>
      <x:c r="Q1991" s="2"/>
      <x:c r="R1991" s="2"/>
    </x:row>
    <x:row r="1992" ht="22" customHeight="1">
      <x:c r="A1992" s="2" t="n">
        <x:v>101986</x:v>
      </x:c>
      <x:c r="B1992" s="10" t="n">
        <x:v>45153</x:v>
      </x:c>
      <x:c r="C1992" s="2" t="str">
        <x:v>Chile</x:v>
      </x:c>
      <x:c r="D1992" s="2" t="str">
        <x:v>Moda Feminina</x:v>
      </x:c>
      <x:c r="E1992" s="11" t="n">
        <x:v>31</x:v>
      </x:c>
      <x:c r="F1992" s="12" t="n">
        <x:v>23.11</x:v>
      </x:c>
      <x:c r="G1992" s="12" t="n">
        <x:v>716.41</x:v>
      </x:c>
      <x:c r="H1992" s="13" t="n">
        <x:v>267</x:v>
      </x:c>
      <x:c r="I1992" s="13" t="n">
        <x:f>YEAR(B1992)</x:f>
        <x:v>2023</x:v>
      </x:c>
      <x:c r="J1992" s="13" t="n">
        <x:f>MONTH(B1992)</x:f>
        <x:v>8</x:v>
      </x:c>
      <x:c r="K1992" s="14" t="n">
        <x:f>ROUND(E1992*F1992-G1992,10)</x:f>
        <x:v>0</x:v>
      </x:c>
      <x:c r="L1992" s="2"/>
      <x:c r="M1992" s="2"/>
      <x:c r="N1992" s="2"/>
      <x:c r="O1992" s="2"/>
      <x:c r="P1992" s="2"/>
      <x:c r="Q1992" s="2"/>
      <x:c r="R1992" s="2"/>
    </x:row>
    <x:row r="1993" ht="22" customHeight="1">
      <x:c r="A1993" s="2" t="n">
        <x:v>101987</x:v>
      </x:c>
      <x:c r="B1993" s="10" t="n">
        <x:v>45208</x:v>
      </x:c>
      <x:c r="C1993" s="2" t="str">
        <x:v>Brasil</x:v>
      </x:c>
      <x:c r="D1993" s="2" t="str">
        <x:v>Acessórios</x:v>
      </x:c>
      <x:c r="E1993" s="11" t="n">
        <x:v>41</x:v>
      </x:c>
      <x:c r="F1993" s="12" t="n">
        <x:v>118.94</x:v>
      </x:c>
      <x:c r="G1993" s="12" t="n">
        <x:v>4876.54</x:v>
      </x:c>
      <x:c r="H1993" s="13" t="n">
        <x:v>426</x:v>
      </x:c>
      <x:c r="I1993" s="13" t="n">
        <x:f>YEAR(B1993)</x:f>
        <x:v>2023</x:v>
      </x:c>
      <x:c r="J1993" s="13" t="n">
        <x:f>MONTH(B1993)</x:f>
        <x:v>10</x:v>
      </x:c>
      <x:c r="K1993" s="14" t="n">
        <x:f>ROUND(E1993*F1993-G1993,10)</x:f>
        <x:v>0</x:v>
      </x:c>
      <x:c r="L1993" s="2"/>
      <x:c r="M1993" s="2"/>
      <x:c r="N1993" s="2"/>
      <x:c r="O1993" s="2"/>
      <x:c r="P1993" s="2"/>
      <x:c r="Q1993" s="2"/>
      <x:c r="R1993" s="2"/>
    </x:row>
    <x:row r="1994" ht="22" customHeight="1">
      <x:c r="A1994" s="2" t="n">
        <x:v>101988</x:v>
      </x:c>
      <x:c r="B1994" s="10" t="n">
        <x:v>44950</x:v>
      </x:c>
      <x:c r="C1994" s="2" t="str">
        <x:v>Colômbia</x:v>
      </x:c>
      <x:c r="D1994" s="2" t="str">
        <x:v>Moda Infantil</x:v>
      </x:c>
      <x:c r="E1994" s="11" t="n">
        <x:v>8</x:v>
      </x:c>
      <x:c r="F1994" s="12" t="n">
        <x:v>174.4</x:v>
      </x:c>
      <x:c r="G1994" s="12" t="n">
        <x:v>1395.2</x:v>
      </x:c>
      <x:c r="H1994" s="13" t="n">
        <x:v>110</x:v>
      </x:c>
      <x:c r="I1994" s="13" t="n">
        <x:f>YEAR(B1994)</x:f>
        <x:v>2023</x:v>
      </x:c>
      <x:c r="J1994" s="13" t="n">
        <x:f>MONTH(B1994)</x:f>
        <x:v>1</x:v>
      </x:c>
      <x:c r="K1994" s="14" t="n">
        <x:f>ROUND(E1994*F1994-G1994,10)</x:f>
        <x:v>0</x:v>
      </x:c>
      <x:c r="L1994" s="2"/>
      <x:c r="M1994" s="2"/>
      <x:c r="N1994" s="2"/>
      <x:c r="O1994" s="2"/>
      <x:c r="P1994" s="2"/>
      <x:c r="Q1994" s="2"/>
      <x:c r="R1994" s="2"/>
    </x:row>
    <x:row r="1995" ht="22" customHeight="1">
      <x:c r="A1995" s="2" t="n">
        <x:v>101989</x:v>
      </x:c>
      <x:c r="B1995" s="10" t="n">
        <x:v>45024</x:v>
      </x:c>
      <x:c r="C1995" s="2" t="str">
        <x:v>Argentina</x:v>
      </x:c>
      <x:c r="D1995" s="2" t="str">
        <x:v>Moda Infantil</x:v>
      </x:c>
      <x:c r="E1995" s="11" t="n">
        <x:v>3</x:v>
      </x:c>
      <x:c r="F1995" s="12" t="n">
        <x:v>105.34</x:v>
      </x:c>
      <x:c r="G1995" s="12" t="n">
        <x:v>316.02</x:v>
      </x:c>
      <x:c r="H1995" s="13" t="n">
        <x:v>149</x:v>
      </x:c>
      <x:c r="I1995" s="13" t="n">
        <x:f>YEAR(B1995)</x:f>
        <x:v>2023</x:v>
      </x:c>
      <x:c r="J1995" s="13" t="n">
        <x:f>MONTH(B1995)</x:f>
        <x:v>4</x:v>
      </x:c>
      <x:c r="K1995" s="14" t="n">
        <x:f>ROUND(E1995*F1995-G1995,10)</x:f>
        <x:v>0</x:v>
      </x:c>
      <x:c r="L1995" s="2"/>
      <x:c r="M1995" s="2"/>
      <x:c r="N1995" s="2"/>
      <x:c r="O1995" s="2"/>
      <x:c r="P1995" s="2"/>
      <x:c r="Q1995" s="2"/>
      <x:c r="R1995" s="2"/>
    </x:row>
    <x:row r="1996" ht="22" customHeight="1">
      <x:c r="A1996" s="2" t="n">
        <x:v>101990</x:v>
      </x:c>
      <x:c r="B1996" s="10" t="n">
        <x:v>45105</x:v>
      </x:c>
      <x:c r="C1996" s="2" t="str">
        <x:v>Peru</x:v>
      </x:c>
      <x:c r="D1996" s="2" t="str">
        <x:v>Moda Masculina</x:v>
      </x:c>
      <x:c r="E1996" s="11" t="n">
        <x:v>48</x:v>
      </x:c>
      <x:c r="F1996" s="12" t="n">
        <x:v>20.74</x:v>
      </x:c>
      <x:c r="G1996" s="12" t="n">
        <x:v>995.52</x:v>
      </x:c>
      <x:c r="H1996" s="13" t="n">
        <x:v>356</x:v>
      </x:c>
      <x:c r="I1996" s="13" t="n">
        <x:f>YEAR(B1996)</x:f>
        <x:v>2023</x:v>
      </x:c>
      <x:c r="J1996" s="13" t="n">
        <x:f>MONTH(B1996)</x:f>
        <x:v>6</x:v>
      </x:c>
      <x:c r="K1996" s="14" t="n">
        <x:f>ROUND(E1996*F1996-G1996,10)</x:f>
        <x:v>0</x:v>
      </x:c>
      <x:c r="L1996" s="2"/>
      <x:c r="M1996" s="2"/>
      <x:c r="N1996" s="2"/>
      <x:c r="O1996" s="2"/>
      <x:c r="P1996" s="2"/>
      <x:c r="Q1996" s="2"/>
      <x:c r="R1996" s="2"/>
    </x:row>
    <x:row r="1997" ht="22" customHeight="1">
      <x:c r="A1997" s="2" t="n">
        <x:v>101991</x:v>
      </x:c>
      <x:c r="B1997" s="10" t="n">
        <x:v>45201</x:v>
      </x:c>
      <x:c r="C1997" s="2" t="str">
        <x:v>Chile</x:v>
      </x:c>
      <x:c r="D1997" s="2" t="str">
        <x:v>Moda Masculina</x:v>
      </x:c>
      <x:c r="E1997" s="11" t="n">
        <x:v>46</x:v>
      </x:c>
      <x:c r="F1997" s="12" t="n">
        <x:v>21.98</x:v>
      </x:c>
      <x:c r="G1997" s="12" t="n">
        <x:v>1011.08</x:v>
      </x:c>
      <x:c r="H1997" s="13" t="n">
        <x:v>403</x:v>
      </x:c>
      <x:c r="I1997" s="13" t="n">
        <x:f>YEAR(B1997)</x:f>
        <x:v>2023</x:v>
      </x:c>
      <x:c r="J1997" s="13" t="n">
        <x:f>MONTH(B1997)</x:f>
        <x:v>10</x:v>
      </x:c>
      <x:c r="K1997" s="14" t="n">
        <x:f>ROUND(E1997*F1997-G1997,10)</x:f>
        <x:v>0</x:v>
      </x:c>
      <x:c r="L1997" s="2"/>
      <x:c r="M1997" s="2"/>
      <x:c r="N1997" s="2"/>
      <x:c r="O1997" s="2"/>
      <x:c r="P1997" s="2"/>
      <x:c r="Q1997" s="2"/>
      <x:c r="R1997" s="2"/>
    </x:row>
    <x:row r="1998" ht="22" customHeight="1">
      <x:c r="A1998" s="2" t="n">
        <x:v>101992</x:v>
      </x:c>
      <x:c r="B1998" s="10" t="n">
        <x:v>45615</x:v>
      </x:c>
      <x:c r="C1998" s="2" t="str">
        <x:v>Argentina</x:v>
      </x:c>
      <x:c r="D1998" s="2" t="str">
        <x:v>Moda Feminina</x:v>
      </x:c>
      <x:c r="E1998" s="11" t="n">
        <x:v>9</x:v>
      </x:c>
      <x:c r="F1998" s="12" t="n">
        <x:v>94.99</x:v>
      </x:c>
      <x:c r="G1998" s="12" t="n">
        <x:v>854.91</x:v>
      </x:c>
      <x:c r="H1998" s="13" t="n">
        <x:v>442</x:v>
      </x:c>
      <x:c r="I1998" s="13" t="n">
        <x:f>YEAR(B1998)</x:f>
        <x:v>2024</x:v>
      </x:c>
      <x:c r="J1998" s="13" t="n">
        <x:f>MONTH(B1998)</x:f>
        <x:v>11</x:v>
      </x:c>
      <x:c r="K1998" s="14" t="n">
        <x:f>ROUND(E1998*F1998-G1998,10)</x:f>
        <x:v>0</x:v>
      </x:c>
      <x:c r="L1998" s="2"/>
      <x:c r="M1998" s="2"/>
      <x:c r="N1998" s="2"/>
      <x:c r="O1998" s="2"/>
      <x:c r="P1998" s="2"/>
      <x:c r="Q1998" s="2"/>
      <x:c r="R1998" s="2"/>
    </x:row>
    <x:row r="1999" ht="22" customHeight="1">
      <x:c r="A1999" s="2" t="n">
        <x:v>101993</x:v>
      </x:c>
      <x:c r="B1999" s="10" t="n">
        <x:v>45257</x:v>
      </x:c>
      <x:c r="C1999" s="2" t="str">
        <x:v>Peru</x:v>
      </x:c>
      <x:c r="D1999" s="2" t="str">
        <x:v>Moda Infantil</x:v>
      </x:c>
      <x:c r="E1999" s="11" t="n">
        <x:v>30</x:v>
      </x:c>
      <x:c r="F1999" s="12" t="n">
        <x:v>47.9</x:v>
      </x:c>
      <x:c r="G1999" s="12" t="n">
        <x:v>1437</x:v>
      </x:c>
      <x:c r="H1999" s="13" t="n">
        <x:v>253</x:v>
      </x:c>
      <x:c r="I1999" s="13" t="n">
        <x:f>YEAR(B1999)</x:f>
        <x:v>2023</x:v>
      </x:c>
      <x:c r="J1999" s="13" t="n">
        <x:f>MONTH(B1999)</x:f>
        <x:v>11</x:v>
      </x:c>
      <x:c r="K1999" s="14" t="n">
        <x:f>ROUND(E1999*F1999-G1999,10)</x:f>
        <x:v>0</x:v>
      </x:c>
      <x:c r="L1999" s="2"/>
      <x:c r="M1999" s="2"/>
      <x:c r="N1999" s="2"/>
      <x:c r="O1999" s="2"/>
      <x:c r="P1999" s="2"/>
      <x:c r="Q1999" s="2"/>
      <x:c r="R1999" s="2"/>
    </x:row>
    <x:row r="2000" ht="22" customHeight="1">
      <x:c r="A2000" s="2" t="n">
        <x:v>101994</x:v>
      </x:c>
      <x:c r="B2000" s="10" t="n">
        <x:v>44964</x:v>
      </x:c>
      <x:c r="C2000" s="2" t="str">
        <x:v>Colômbia</x:v>
      </x:c>
      <x:c r="D2000" s="2" t="str">
        <x:v>Moda Masculina</x:v>
      </x:c>
      <x:c r="E2000" s="11" t="n">
        <x:v>11</x:v>
      </x:c>
      <x:c r="F2000" s="12" t="n">
        <x:v>139.6</x:v>
      </x:c>
      <x:c r="G2000" s="12" t="n">
        <x:v>1535.6</x:v>
      </x:c>
      <x:c r="H2000" s="13" t="n">
        <x:v>307</x:v>
      </x:c>
      <x:c r="I2000" s="13" t="n">
        <x:f>YEAR(B2000)</x:f>
        <x:v>2023</x:v>
      </x:c>
      <x:c r="J2000" s="13" t="n">
        <x:f>MONTH(B2000)</x:f>
        <x:v>2</x:v>
      </x:c>
      <x:c r="K2000" s="14" t="n">
        <x:f>ROUND(E2000*F2000-G2000,10)</x:f>
        <x:v>0</x:v>
      </x:c>
      <x:c r="L2000" s="2"/>
      <x:c r="M2000" s="2"/>
      <x:c r="N2000" s="2"/>
      <x:c r="O2000" s="2"/>
      <x:c r="P2000" s="2"/>
      <x:c r="Q2000" s="2"/>
      <x:c r="R2000" s="2"/>
    </x:row>
    <x:row r="2001" ht="22" customHeight="1">
      <x:c r="A2001" s="2" t="n">
        <x:v>101995</x:v>
      </x:c>
      <x:c r="B2001" s="10" t="n">
        <x:v>45145</x:v>
      </x:c>
      <x:c r="C2001" s="2" t="str">
        <x:v>Colômbia</x:v>
      </x:c>
      <x:c r="D2001" s="2" t="str">
        <x:v>Acessórios</x:v>
      </x:c>
      <x:c r="E2001" s="11" t="n">
        <x:v>35</x:v>
      </x:c>
      <x:c r="F2001" s="12" t="n">
        <x:v>147.58</x:v>
      </x:c>
      <x:c r="G2001" s="12" t="n">
        <x:v>5165.3</x:v>
      </x:c>
      <x:c r="H2001" s="13" t="n">
        <x:v>54</x:v>
      </x:c>
      <x:c r="I2001" s="13" t="n">
        <x:f>YEAR(B2001)</x:f>
        <x:v>2023</x:v>
      </x:c>
      <x:c r="J2001" s="13" t="n">
        <x:f>MONTH(B2001)</x:f>
        <x:v>8</x:v>
      </x:c>
      <x:c r="K2001" s="14" t="n">
        <x:f>ROUND(E2001*F2001-G2001,10)</x:f>
        <x:v>0</x:v>
      </x:c>
      <x:c r="L2001" s="2"/>
      <x:c r="M2001" s="2"/>
      <x:c r="N2001" s="2"/>
      <x:c r="O2001" s="2"/>
      <x:c r="P2001" s="2"/>
      <x:c r="Q2001" s="2"/>
      <x:c r="R2001" s="2"/>
    </x:row>
    <x:row r="2002" ht="22" customHeight="1">
      <x:c r="A2002" s="2" t="n">
        <x:v>101996</x:v>
      </x:c>
      <x:c r="B2002" s="10" t="n">
        <x:v>45452</x:v>
      </x:c>
      <x:c r="C2002" s="2" t="str">
        <x:v>México</x:v>
      </x:c>
      <x:c r="D2002" s="2" t="str">
        <x:v>Moda Masculina</x:v>
      </x:c>
      <x:c r="E2002" s="11" t="n">
        <x:v>37</x:v>
      </x:c>
      <x:c r="F2002" s="12" t="n">
        <x:v>52.02</x:v>
      </x:c>
      <x:c r="G2002" s="12" t="n">
        <x:v>1924.74</x:v>
      </x:c>
      <x:c r="H2002" s="13" t="n">
        <x:v>495</x:v>
      </x:c>
      <x:c r="I2002" s="13" t="n">
        <x:f>YEAR(B2002)</x:f>
        <x:v>2024</x:v>
      </x:c>
      <x:c r="J2002" s="13" t="n">
        <x:f>MONTH(B2002)</x:f>
        <x:v>6</x:v>
      </x:c>
      <x:c r="K2002" s="14" t="n">
        <x:f>ROUND(E2002*F2002-G2002,10)</x:f>
        <x:v>0</x:v>
      </x:c>
      <x:c r="L2002" s="2"/>
      <x:c r="M2002" s="2"/>
      <x:c r="N2002" s="2"/>
      <x:c r="O2002" s="2"/>
      <x:c r="P2002" s="2"/>
      <x:c r="Q2002" s="2"/>
      <x:c r="R2002" s="2"/>
    </x:row>
    <x:row r="2003" ht="22" customHeight="1">
      <x:c r="A2003" s="2" t="n">
        <x:v>101997</x:v>
      </x:c>
      <x:c r="B2003" s="10" t="n">
        <x:v>45011</x:v>
      </x:c>
      <x:c r="C2003" s="2" t="str">
        <x:v>Brasil</x:v>
      </x:c>
      <x:c r="D2003" s="2" t="str">
        <x:v>Moda Masculina</x:v>
      </x:c>
      <x:c r="E2003" s="11" t="n">
        <x:v>42</x:v>
      </x:c>
      <x:c r="F2003" s="12" t="n">
        <x:v>179.94</x:v>
      </x:c>
      <x:c r="G2003" s="12" t="n">
        <x:v>7557.48</x:v>
      </x:c>
      <x:c r="H2003" s="13" t="n">
        <x:v>246</x:v>
      </x:c>
      <x:c r="I2003" s="13" t="n">
        <x:f>YEAR(B2003)</x:f>
        <x:v>2023</x:v>
      </x:c>
      <x:c r="J2003" s="13" t="n">
        <x:f>MONTH(B2003)</x:f>
        <x:v>3</x:v>
      </x:c>
      <x:c r="K2003" s="14" t="n">
        <x:f>ROUND(E2003*F2003-G2003,10)</x:f>
        <x:v>0</x:v>
      </x:c>
      <x:c r="L2003" s="2"/>
      <x:c r="M2003" s="2"/>
      <x:c r="N2003" s="2"/>
      <x:c r="O2003" s="2"/>
      <x:c r="P2003" s="2"/>
      <x:c r="Q2003" s="2"/>
      <x:c r="R2003" s="2"/>
    </x:row>
    <x:row r="2004" ht="22" customHeight="1">
      <x:c r="A2004" s="2" t="n">
        <x:v>101998</x:v>
      </x:c>
      <x:c r="B2004" s="10" t="n">
        <x:v>45618</x:v>
      </x:c>
      <x:c r="C2004" s="2" t="str">
        <x:v>México</x:v>
      </x:c>
      <x:c r="D2004" s="2" t="str">
        <x:v>Moda Infantil</x:v>
      </x:c>
      <x:c r="E2004" s="11" t="n">
        <x:v>13</x:v>
      </x:c>
      <x:c r="F2004" s="12" t="n">
        <x:v>99.54</x:v>
      </x:c>
      <x:c r="G2004" s="12" t="n">
        <x:v>1294.02</x:v>
      </x:c>
      <x:c r="H2004" s="13" t="n">
        <x:v>229</x:v>
      </x:c>
      <x:c r="I2004" s="13" t="n">
        <x:f>YEAR(B2004)</x:f>
        <x:v>2024</x:v>
      </x:c>
      <x:c r="J2004" s="13" t="n">
        <x:f>MONTH(B2004)</x:f>
        <x:v>11</x:v>
      </x:c>
      <x:c r="K2004" s="14" t="n">
        <x:f>ROUND(E2004*F2004-G2004,10)</x:f>
        <x:v>0</x:v>
      </x:c>
      <x:c r="L2004" s="2"/>
      <x:c r="M2004" s="2"/>
      <x:c r="N2004" s="2"/>
      <x:c r="O2004" s="2"/>
      <x:c r="P2004" s="2"/>
      <x:c r="Q2004" s="2"/>
      <x:c r="R2004" s="2"/>
    </x:row>
    <x:row r="2005" ht="22" customHeight="1">
      <x:c r="A2005" s="2" t="n">
        <x:v>101999</x:v>
      </x:c>
      <x:c r="B2005" s="10" t="n">
        <x:v>45461</x:v>
      </x:c>
      <x:c r="C2005" s="2" t="str">
        <x:v>Chile</x:v>
      </x:c>
      <x:c r="D2005" s="2" t="str">
        <x:v>Moda Infantil</x:v>
      </x:c>
      <x:c r="E2005" s="11" t="n">
        <x:v>36</x:v>
      </x:c>
      <x:c r="F2005" s="12" t="n">
        <x:v>45.71</x:v>
      </x:c>
      <x:c r="G2005" s="12" t="n">
        <x:v>1645.56</x:v>
      </x:c>
      <x:c r="H2005" s="13" t="n">
        <x:v>391</x:v>
      </x:c>
      <x:c r="I2005" s="13" t="n">
        <x:f>YEAR(B2005)</x:f>
        <x:v>2024</x:v>
      </x:c>
      <x:c r="J2005" s="13" t="n">
        <x:f>MONTH(B2005)</x:f>
        <x:v>6</x:v>
      </x:c>
      <x:c r="K2005" s="14" t="n">
        <x:f>ROUND(E2005*F2005-G2005,10)</x:f>
        <x:v>0</x:v>
      </x:c>
      <x:c r="L2005" s="2"/>
      <x:c r="M2005" s="2"/>
      <x:c r="N2005" s="2"/>
      <x:c r="O2005" s="2"/>
      <x:c r="P2005" s="2"/>
      <x:c r="Q2005" s="2"/>
      <x:c r="R2005" s="2"/>
    </x:row>
    <x:row r="2006" ht="22" customHeight="1">
      <x:c r="A2006" s="2" t="n">
        <x:v>102000</x:v>
      </x:c>
      <x:c r="B2006" s="10" t="n">
        <x:v>45033</x:v>
      </x:c>
      <x:c r="C2006" s="2" t="str">
        <x:v>Argentina</x:v>
      </x:c>
      <x:c r="D2006" s="2" t="str">
        <x:v>Calçados</x:v>
      </x:c>
      <x:c r="E2006" s="11" t="n">
        <x:v>13</x:v>
      </x:c>
      <x:c r="F2006" s="12" t="n">
        <x:v>157.57</x:v>
      </x:c>
      <x:c r="G2006" s="12" t="n">
        <x:v>2048.41</x:v>
      </x:c>
      <x:c r="H2006" s="13" t="n">
        <x:v>182</x:v>
      </x:c>
      <x:c r="I2006" s="13" t="n">
        <x:f>YEAR(B2006)</x:f>
        <x:v>2023</x:v>
      </x:c>
      <x:c r="J2006" s="13" t="n">
        <x:f>MONTH(B2006)</x:f>
        <x:v>4</x:v>
      </x:c>
      <x:c r="K2006" s="14" t="n">
        <x:f>ROUND(E2006*F2006-G2006,10)</x:f>
        <x:v>0</x:v>
      </x:c>
      <x:c r="L2006" s="2"/>
      <x:c r="M2006" s="2"/>
      <x:c r="N2006" s="2"/>
      <x:c r="O2006" s="2"/>
      <x:c r="P2006" s="2"/>
      <x:c r="Q2006" s="2"/>
      <x:c r="R2006" s="2"/>
    </x:row>
    <x:row r="2007" ht="22" customHeight="1">
      <x:c r="A2007" s="2" t="n">
        <x:v>102001</x:v>
      </x:c>
      <x:c r="B2007" s="10" t="n">
        <x:v>45414</x:v>
      </x:c>
      <x:c r="C2007" s="2" t="str">
        <x:v>Chile</x:v>
      </x:c>
      <x:c r="D2007" s="2" t="str">
        <x:v>Acessórios</x:v>
      </x:c>
      <x:c r="E2007" s="11" t="n">
        <x:v>12</x:v>
      </x:c>
      <x:c r="F2007" s="12" t="n">
        <x:v>162.2</x:v>
      </x:c>
      <x:c r="G2007" s="12" t="n">
        <x:v>1946.4</x:v>
      </x:c>
      <x:c r="H2007" s="13" t="n">
        <x:v>492</x:v>
      </x:c>
      <x:c r="I2007" s="13" t="n">
        <x:f>YEAR(B2007)</x:f>
        <x:v>2024</x:v>
      </x:c>
      <x:c r="J2007" s="13" t="n">
        <x:f>MONTH(B2007)</x:f>
        <x:v>5</x:v>
      </x:c>
      <x:c r="K2007" s="14" t="n">
        <x:f>ROUND(E2007*F2007-G2007,10)</x:f>
        <x:v>0</x:v>
      </x:c>
      <x:c r="L2007" s="2"/>
      <x:c r="M2007" s="2"/>
      <x:c r="N2007" s="2"/>
      <x:c r="O2007" s="2"/>
      <x:c r="P2007" s="2"/>
      <x:c r="Q2007" s="2"/>
      <x:c r="R2007" s="2"/>
    </x:row>
    <x:row r="2008" ht="22" customHeight="1">
      <x:c r="A2008" s="2" t="n">
        <x:v>102002</x:v>
      </x:c>
      <x:c r="B2008" s="10" t="n">
        <x:v>45090</x:v>
      </x:c>
      <x:c r="C2008" s="2" t="str">
        <x:v>Peru</x:v>
      </x:c>
      <x:c r="D2008" s="2" t="str">
        <x:v>Moda Infantil</x:v>
      </x:c>
      <x:c r="E2008" s="11" t="n">
        <x:v>37</x:v>
      </x:c>
      <x:c r="F2008" s="12" t="n">
        <x:v>135.07</x:v>
      </x:c>
      <x:c r="G2008" s="12" t="n">
        <x:v>4997.59</x:v>
      </x:c>
      <x:c r="H2008" s="13" t="n">
        <x:v>373</x:v>
      </x:c>
      <x:c r="I2008" s="13" t="n">
        <x:f>YEAR(B2008)</x:f>
        <x:v>2023</x:v>
      </x:c>
      <x:c r="J2008" s="13" t="n">
        <x:f>MONTH(B2008)</x:f>
        <x:v>6</x:v>
      </x:c>
      <x:c r="K2008" s="14" t="n">
        <x:f>ROUND(E2008*F2008-G2008,10)</x:f>
        <x:v>0</x:v>
      </x:c>
      <x:c r="L2008" s="2"/>
      <x:c r="M2008" s="2"/>
      <x:c r="N2008" s="2"/>
      <x:c r="O2008" s="2"/>
      <x:c r="P2008" s="2"/>
      <x:c r="Q2008" s="2"/>
      <x:c r="R2008" s="2"/>
    </x:row>
    <x:row r="2009" ht="22" customHeight="1">
      <x:c r="A2009" s="2" t="n">
        <x:v>102003</x:v>
      </x:c>
      <x:c r="B2009" s="10" t="n">
        <x:v>45550</x:v>
      </x:c>
      <x:c r="C2009" s="2" t="str">
        <x:v>Colômbia</x:v>
      </x:c>
      <x:c r="D2009" s="2" t="str">
        <x:v>Moda Feminina</x:v>
      </x:c>
      <x:c r="E2009" s="11" t="n">
        <x:v>10</x:v>
      </x:c>
      <x:c r="F2009" s="12" t="n">
        <x:v>173.62</x:v>
      </x:c>
      <x:c r="G2009" s="12" t="n">
        <x:v>1736.2</x:v>
      </x:c>
      <x:c r="H2009" s="13" t="n">
        <x:v>302</x:v>
      </x:c>
      <x:c r="I2009" s="13" t="n">
        <x:f>YEAR(B2009)</x:f>
        <x:v>2024</x:v>
      </x:c>
      <x:c r="J2009" s="13" t="n">
        <x:f>MONTH(B2009)</x:f>
        <x:v>9</x:v>
      </x:c>
      <x:c r="K2009" s="14" t="n">
        <x:f>ROUND(E2009*F2009-G2009,10)</x:f>
        <x:v>0</x:v>
      </x:c>
      <x:c r="L2009" s="2"/>
      <x:c r="M2009" s="2"/>
      <x:c r="N2009" s="2"/>
      <x:c r="O2009" s="2"/>
      <x:c r="P2009" s="2"/>
      <x:c r="Q2009" s="2"/>
      <x:c r="R2009" s="2"/>
    </x:row>
    <x:row r="2010" ht="22" customHeight="1">
      <x:c r="A2010" s="2" t="n">
        <x:v>102004</x:v>
      </x:c>
      <x:c r="B2010" s="10" t="n">
        <x:v>45507</x:v>
      </x:c>
      <x:c r="C2010" s="2" t="str">
        <x:v>México</x:v>
      </x:c>
      <x:c r="D2010" s="2" t="str">
        <x:v>Acessórios</x:v>
      </x:c>
      <x:c r="E2010" s="11" t="n">
        <x:v>9</x:v>
      </x:c>
      <x:c r="F2010" s="12" t="n">
        <x:v>152.73</x:v>
      </x:c>
      <x:c r="G2010" s="12" t="n">
        <x:v>1374.57</x:v>
      </x:c>
      <x:c r="H2010" s="13" t="n">
        <x:v>314</x:v>
      </x:c>
      <x:c r="I2010" s="13" t="n">
        <x:f>YEAR(B2010)</x:f>
        <x:v>2024</x:v>
      </x:c>
      <x:c r="J2010" s="13" t="n">
        <x:f>MONTH(B2010)</x:f>
        <x:v>8</x:v>
      </x:c>
      <x:c r="K2010" s="14" t="n">
        <x:f>ROUND(E2010*F2010-G2010,10)</x:f>
        <x:v>0</x:v>
      </x:c>
      <x:c r="L2010" s="2"/>
      <x:c r="M2010" s="2"/>
      <x:c r="N2010" s="2"/>
      <x:c r="O2010" s="2"/>
      <x:c r="P2010" s="2"/>
      <x:c r="Q2010" s="2"/>
      <x:c r="R2010" s="2"/>
    </x:row>
    <x:row r="2011" ht="22" customHeight="1">
      <x:c r="A2011" s="2" t="n">
        <x:v>102005</x:v>
      </x:c>
      <x:c r="B2011" s="10" t="n">
        <x:v>45244</x:v>
      </x:c>
      <x:c r="C2011" s="2" t="str">
        <x:v>México</x:v>
      </x:c>
      <x:c r="D2011" s="2" t="str">
        <x:v>Acessórios</x:v>
      </x:c>
      <x:c r="E2011" s="11" t="n">
        <x:v>7</x:v>
      </x:c>
      <x:c r="F2011" s="12" t="n">
        <x:v>178.8</x:v>
      </x:c>
      <x:c r="G2011" s="12" t="n">
        <x:v>1251.6</x:v>
      </x:c>
      <x:c r="H2011" s="13" t="n">
        <x:v>142</x:v>
      </x:c>
      <x:c r="I2011" s="13" t="n">
        <x:f>YEAR(B2011)</x:f>
        <x:v>2023</x:v>
      </x:c>
      <x:c r="J2011" s="13" t="n">
        <x:f>MONTH(B2011)</x:f>
        <x:v>11</x:v>
      </x:c>
      <x:c r="K2011" s="14" t="n">
        <x:f>ROUND(E2011*F2011-G2011,10)</x:f>
        <x:v>0</x:v>
      </x:c>
      <x:c r="L2011" s="2"/>
      <x:c r="M2011" s="2"/>
      <x:c r="N2011" s="2"/>
      <x:c r="O2011" s="2"/>
      <x:c r="P2011" s="2"/>
      <x:c r="Q2011" s="2"/>
      <x:c r="R2011" s="2"/>
    </x:row>
    <x:row r="2012" ht="22" customHeight="1">
      <x:c r="A2012" s="2" t="n">
        <x:v>102006</x:v>
      </x:c>
      <x:c r="B2012" s="10" t="n">
        <x:v>44961</x:v>
      </x:c>
      <x:c r="C2012" s="2" t="str">
        <x:v>México</x:v>
      </x:c>
      <x:c r="D2012" s="2" t="str">
        <x:v>Moda Infantil</x:v>
      </x:c>
      <x:c r="E2012" s="11" t="n">
        <x:v>2</x:v>
      </x:c>
      <x:c r="F2012" s="12" t="n">
        <x:v>98.1</x:v>
      </x:c>
      <x:c r="G2012" s="12" t="n">
        <x:v>196.2</x:v>
      </x:c>
      <x:c r="H2012" s="13" t="n">
        <x:v>199</x:v>
      </x:c>
      <x:c r="I2012" s="13" t="n">
        <x:f>YEAR(B2012)</x:f>
        <x:v>2023</x:v>
      </x:c>
      <x:c r="J2012" s="13" t="n">
        <x:f>MONTH(B2012)</x:f>
        <x:v>2</x:v>
      </x:c>
      <x:c r="K2012" s="14" t="n">
        <x:f>ROUND(E2012*F2012-G2012,10)</x:f>
        <x:v>0</x:v>
      </x:c>
      <x:c r="L2012" s="2"/>
      <x:c r="M2012" s="2"/>
      <x:c r="N2012" s="2"/>
      <x:c r="O2012" s="2"/>
      <x:c r="P2012" s="2"/>
      <x:c r="Q2012" s="2"/>
      <x:c r="R2012" s="2"/>
    </x:row>
    <x:row r="2013" ht="22" customHeight="1">
      <x:c r="A2013" s="2" t="n">
        <x:v>102007</x:v>
      </x:c>
      <x:c r="B2013" s="10" t="n">
        <x:v>45456</x:v>
      </x:c>
      <x:c r="C2013" s="2" t="str">
        <x:v>Chile</x:v>
      </x:c>
      <x:c r="D2013" s="2" t="str">
        <x:v>Acessórios</x:v>
      </x:c>
      <x:c r="E2013" s="11" t="n">
        <x:v>23</x:v>
      </x:c>
      <x:c r="F2013" s="12" t="n">
        <x:v>154.57</x:v>
      </x:c>
      <x:c r="G2013" s="12" t="n">
        <x:v>3555.11</x:v>
      </x:c>
      <x:c r="H2013" s="13" t="n">
        <x:v>460</x:v>
      </x:c>
      <x:c r="I2013" s="13" t="n">
        <x:f>YEAR(B2013)</x:f>
        <x:v>2024</x:v>
      </x:c>
      <x:c r="J2013" s="13" t="n">
        <x:f>MONTH(B2013)</x:f>
        <x:v>6</x:v>
      </x:c>
      <x:c r="K2013" s="14" t="n">
        <x:f>ROUND(E2013*F2013-G2013,10)</x:f>
        <x:v>0</x:v>
      </x:c>
      <x:c r="L2013" s="2"/>
      <x:c r="M2013" s="2"/>
      <x:c r="N2013" s="2"/>
      <x:c r="O2013" s="2"/>
      <x:c r="P2013" s="2"/>
      <x:c r="Q2013" s="2"/>
      <x:c r="R2013" s="2"/>
    </x:row>
    <x:row r="2014" ht="22" customHeight="1">
      <x:c r="A2014" s="2" t="n">
        <x:v>102008</x:v>
      </x:c>
      <x:c r="B2014" s="10" t="n">
        <x:v>45437</x:v>
      </x:c>
      <x:c r="C2014" s="2" t="str">
        <x:v>Colômbia</x:v>
      </x:c>
      <x:c r="D2014" s="2" t="str">
        <x:v>Moda Infantil</x:v>
      </x:c>
      <x:c r="E2014" s="11" t="n">
        <x:v>39</x:v>
      </x:c>
      <x:c r="F2014" s="12" t="n">
        <x:v>199.96</x:v>
      </x:c>
      <x:c r="G2014" s="12" t="n">
        <x:v>7798.440000000001</x:v>
      </x:c>
      <x:c r="H2014" s="13" t="n">
        <x:v>187</x:v>
      </x:c>
      <x:c r="I2014" s="13" t="n">
        <x:f>YEAR(B2014)</x:f>
        <x:v>2024</x:v>
      </x:c>
      <x:c r="J2014" s="13" t="n">
        <x:f>MONTH(B2014)</x:f>
        <x:v>5</x:v>
      </x:c>
      <x:c r="K2014" s="14" t="n">
        <x:f>ROUND(E2014*F2014-G2014,10)</x:f>
        <x:v>0</x:v>
      </x:c>
      <x:c r="L2014" s="2"/>
      <x:c r="M2014" s="2"/>
      <x:c r="N2014" s="2"/>
      <x:c r="O2014" s="2"/>
      <x:c r="P2014" s="2"/>
      <x:c r="Q2014" s="2"/>
      <x:c r="R2014" s="2"/>
    </x:row>
    <x:row r="2015" ht="22" customHeight="1">
      <x:c r="A2015" s="2" t="n">
        <x:v>102009</x:v>
      </x:c>
      <x:c r="B2015" s="10" t="n">
        <x:v>45530</x:v>
      </x:c>
      <x:c r="C2015" s="2" t="str">
        <x:v>Argentina</x:v>
      </x:c>
      <x:c r="D2015" s="2" t="str">
        <x:v>Moda Masculina</x:v>
      </x:c>
      <x:c r="E2015" s="11" t="n">
        <x:v>40</x:v>
      </x:c>
      <x:c r="F2015" s="12" t="n">
        <x:v>150.49</x:v>
      </x:c>
      <x:c r="G2015" s="12" t="n">
        <x:v>6019.6</x:v>
      </x:c>
      <x:c r="H2015" s="13" t="n">
        <x:v>257</x:v>
      </x:c>
      <x:c r="I2015" s="13" t="n">
        <x:f>YEAR(B2015)</x:f>
        <x:v>2024</x:v>
      </x:c>
      <x:c r="J2015" s="13" t="n">
        <x:f>MONTH(B2015)</x:f>
        <x:v>8</x:v>
      </x:c>
      <x:c r="K2015" s="14" t="n">
        <x:f>ROUND(E2015*F2015-G2015,10)</x:f>
        <x:v>0</x:v>
      </x:c>
      <x:c r="L2015" s="2"/>
      <x:c r="M2015" s="2"/>
      <x:c r="N2015" s="2"/>
      <x:c r="O2015" s="2"/>
      <x:c r="P2015" s="2"/>
      <x:c r="Q2015" s="2"/>
      <x:c r="R2015" s="2"/>
    </x:row>
    <x:row r="2016" ht="22" customHeight="1">
      <x:c r="A2016" s="2" t="n">
        <x:v>102010</x:v>
      </x:c>
      <x:c r="B2016" s="10" t="n">
        <x:v>45617</x:v>
      </x:c>
      <x:c r="C2016" s="2" t="str">
        <x:v>Peru</x:v>
      </x:c>
      <x:c r="D2016" s="2" t="str">
        <x:v>Calçados</x:v>
      </x:c>
      <x:c r="E2016" s="11" t="n">
        <x:v>39</x:v>
      </x:c>
      <x:c r="F2016" s="12" t="n">
        <x:v>40.55</x:v>
      </x:c>
      <x:c r="G2016" s="12" t="n">
        <x:v>1581.45</x:v>
      </x:c>
      <x:c r="H2016" s="13" t="n">
        <x:v>174</x:v>
      </x:c>
      <x:c r="I2016" s="13" t="n">
        <x:f>YEAR(B2016)</x:f>
        <x:v>2024</x:v>
      </x:c>
      <x:c r="J2016" s="13" t="n">
        <x:f>MONTH(B2016)</x:f>
        <x:v>11</x:v>
      </x:c>
      <x:c r="K2016" s="14" t="n">
        <x:f>ROUND(E2016*F2016-G2016,10)</x:f>
        <x:v>0</x:v>
      </x:c>
      <x:c r="L2016" s="2"/>
      <x:c r="M2016" s="2"/>
      <x:c r="N2016" s="2"/>
      <x:c r="O2016" s="2"/>
      <x:c r="P2016" s="2"/>
      <x:c r="Q2016" s="2"/>
      <x:c r="R2016" s="2"/>
    </x:row>
    <x:row r="2017" ht="22" customHeight="1">
      <x:c r="A2017" s="2" t="n">
        <x:v>102011</x:v>
      </x:c>
      <x:c r="B2017" s="10" t="n">
        <x:v>45336</x:v>
      </x:c>
      <x:c r="C2017" s="2" t="str">
        <x:v>Argentina</x:v>
      </x:c>
      <x:c r="D2017" s="2" t="str">
        <x:v>Moda Masculina</x:v>
      </x:c>
      <x:c r="E2017" s="11" t="n">
        <x:v>21</x:v>
      </x:c>
      <x:c r="F2017" s="12" t="n">
        <x:v>113.3</x:v>
      </x:c>
      <x:c r="G2017" s="12" t="n">
        <x:v>2379.3</x:v>
      </x:c>
      <x:c r="H2017" s="13" t="n">
        <x:v>283</x:v>
      </x:c>
      <x:c r="I2017" s="13" t="n">
        <x:f>YEAR(B2017)</x:f>
        <x:v>2024</x:v>
      </x:c>
      <x:c r="J2017" s="13" t="n">
        <x:f>MONTH(B2017)</x:f>
        <x:v>2</x:v>
      </x:c>
      <x:c r="K2017" s="14" t="n">
        <x:f>ROUND(E2017*F2017-G2017,10)</x:f>
        <x:v>0</x:v>
      </x:c>
      <x:c r="L2017" s="2"/>
      <x:c r="M2017" s="2"/>
      <x:c r="N2017" s="2"/>
      <x:c r="O2017" s="2"/>
      <x:c r="P2017" s="2"/>
      <x:c r="Q2017" s="2"/>
      <x:c r="R2017" s="2"/>
    </x:row>
    <x:row r="2018" ht="22" customHeight="1">
      <x:c r="A2018" s="2" t="n">
        <x:v>102012</x:v>
      </x:c>
      <x:c r="B2018" s="10" t="n">
        <x:v>45037</x:v>
      </x:c>
      <x:c r="C2018" s="2" t="str">
        <x:v>Chile</x:v>
      </x:c>
      <x:c r="D2018" s="2" t="str">
        <x:v>Moda Infantil</x:v>
      </x:c>
      <x:c r="E2018" s="11" t="n">
        <x:v>23</x:v>
      </x:c>
      <x:c r="F2018" s="12" t="n">
        <x:v>125.72</x:v>
      </x:c>
      <x:c r="G2018" s="12" t="n">
        <x:v>2891.56</x:v>
      </x:c>
      <x:c r="H2018" s="13" t="n">
        <x:v>110</x:v>
      </x:c>
      <x:c r="I2018" s="13" t="n">
        <x:f>YEAR(B2018)</x:f>
        <x:v>2023</x:v>
      </x:c>
      <x:c r="J2018" s="13" t="n">
        <x:f>MONTH(B2018)</x:f>
        <x:v>4</x:v>
      </x:c>
      <x:c r="K2018" s="14" t="n">
        <x:f>ROUND(E2018*F2018-G2018,10)</x:f>
        <x:v>0</x:v>
      </x:c>
      <x:c r="L2018" s="2"/>
      <x:c r="M2018" s="2"/>
      <x:c r="N2018" s="2"/>
      <x:c r="O2018" s="2"/>
      <x:c r="P2018" s="2"/>
      <x:c r="Q2018" s="2"/>
      <x:c r="R2018" s="2"/>
    </x:row>
    <x:row r="2019" ht="22" customHeight="1">
      <x:c r="A2019" s="2" t="n">
        <x:v>102013</x:v>
      </x:c>
      <x:c r="B2019" s="10" t="n">
        <x:v>45038</x:v>
      </x:c>
      <x:c r="C2019" s="2" t="str">
        <x:v>Peru</x:v>
      </x:c>
      <x:c r="D2019" s="2" t="str">
        <x:v>Moda Infantil</x:v>
      </x:c>
      <x:c r="E2019" s="11" t="n">
        <x:v>29</x:v>
      </x:c>
      <x:c r="F2019" s="12" t="n">
        <x:v>51.36</x:v>
      </x:c>
      <x:c r="G2019" s="12" t="n">
        <x:v>1489.44</x:v>
      </x:c>
      <x:c r="H2019" s="13" t="n">
        <x:v>356</x:v>
      </x:c>
      <x:c r="I2019" s="13" t="n">
        <x:f>YEAR(B2019)</x:f>
        <x:v>2023</x:v>
      </x:c>
      <x:c r="J2019" s="13" t="n">
        <x:f>MONTH(B2019)</x:f>
        <x:v>4</x:v>
      </x:c>
      <x:c r="K2019" s="14" t="n">
        <x:f>ROUND(E2019*F2019-G2019,10)</x:f>
        <x:v>0</x:v>
      </x:c>
      <x:c r="L2019" s="2"/>
      <x:c r="M2019" s="2"/>
      <x:c r="N2019" s="2"/>
      <x:c r="O2019" s="2"/>
      <x:c r="P2019" s="2"/>
      <x:c r="Q2019" s="2"/>
      <x:c r="R2019" s="2"/>
    </x:row>
    <x:row r="2020" ht="22" customHeight="1">
      <x:c r="A2020" s="2" t="n">
        <x:v>102014</x:v>
      </x:c>
      <x:c r="B2020" s="10" t="n">
        <x:v>45011</x:v>
      </x:c>
      <x:c r="C2020" s="2" t="str">
        <x:v>México</x:v>
      </x:c>
      <x:c r="D2020" s="2" t="str">
        <x:v>Moda Masculina</x:v>
      </x:c>
      <x:c r="E2020" s="11" t="n">
        <x:v>14</x:v>
      </x:c>
      <x:c r="F2020" s="12" t="n">
        <x:v>193.32</x:v>
      </x:c>
      <x:c r="G2020" s="12" t="n">
        <x:v>2706.48</x:v>
      </x:c>
      <x:c r="H2020" s="13" t="n">
        <x:v>315</x:v>
      </x:c>
      <x:c r="I2020" s="13" t="n">
        <x:f>YEAR(B2020)</x:f>
        <x:v>2023</x:v>
      </x:c>
      <x:c r="J2020" s="13" t="n">
        <x:f>MONTH(B2020)</x:f>
        <x:v>3</x:v>
      </x:c>
      <x:c r="K2020" s="14" t="n">
        <x:f>ROUND(E2020*F2020-G2020,10)</x:f>
        <x:v>0</x:v>
      </x:c>
      <x:c r="L2020" s="2"/>
      <x:c r="M2020" s="2"/>
      <x:c r="N2020" s="2"/>
      <x:c r="O2020" s="2"/>
      <x:c r="P2020" s="2"/>
      <x:c r="Q2020" s="2"/>
      <x:c r="R2020" s="2"/>
    </x:row>
    <x:row r="2021" ht="22" customHeight="1">
      <x:c r="A2021" s="2" t="n">
        <x:v>102015</x:v>
      </x:c>
      <x:c r="B2021" s="10" t="n">
        <x:v>45240</x:v>
      </x:c>
      <x:c r="C2021" s="2" t="str">
        <x:v>Brasil</x:v>
      </x:c>
      <x:c r="D2021" s="2" t="str">
        <x:v>Moda Feminina</x:v>
      </x:c>
      <x:c r="E2021" s="11" t="n">
        <x:v>26</x:v>
      </x:c>
      <x:c r="F2021" s="12" t="n">
        <x:v>51.6</x:v>
      </x:c>
      <x:c r="G2021" s="12" t="n">
        <x:v>1341.6</x:v>
      </x:c>
      <x:c r="H2021" s="13" t="n">
        <x:v>183</x:v>
      </x:c>
      <x:c r="I2021" s="13" t="n">
        <x:f>YEAR(B2021)</x:f>
        <x:v>2023</x:v>
      </x:c>
      <x:c r="J2021" s="13" t="n">
        <x:f>MONTH(B2021)</x:f>
        <x:v>11</x:v>
      </x:c>
      <x:c r="K2021" s="14" t="n">
        <x:f>ROUND(E2021*F2021-G2021,10)</x:f>
        <x:v>0</x:v>
      </x:c>
      <x:c r="L2021" s="2"/>
      <x:c r="M2021" s="2"/>
      <x:c r="N2021" s="2"/>
      <x:c r="O2021" s="2"/>
      <x:c r="P2021" s="2"/>
      <x:c r="Q2021" s="2"/>
      <x:c r="R2021" s="2"/>
    </x:row>
    <x:row r="2022" ht="22" customHeight="1">
      <x:c r="A2022" s="2" t="n">
        <x:v>102016</x:v>
      </x:c>
      <x:c r="B2022" s="10" t="n">
        <x:v>45255</x:v>
      </x:c>
      <x:c r="C2022" s="2" t="str">
        <x:v>Chile</x:v>
      </x:c>
      <x:c r="D2022" s="2" t="str">
        <x:v>Moda Feminina</x:v>
      </x:c>
      <x:c r="E2022" s="11" t="n">
        <x:v>5</x:v>
      </x:c>
      <x:c r="F2022" s="12" t="n">
        <x:v>51.96</x:v>
      </x:c>
      <x:c r="G2022" s="12" t="n">
        <x:v>259.8</x:v>
      </x:c>
      <x:c r="H2022" s="13" t="n">
        <x:v>367</x:v>
      </x:c>
      <x:c r="I2022" s="13" t="n">
        <x:f>YEAR(B2022)</x:f>
        <x:v>2023</x:v>
      </x:c>
      <x:c r="J2022" s="13" t="n">
        <x:f>MONTH(B2022)</x:f>
        <x:v>11</x:v>
      </x:c>
      <x:c r="K2022" s="14" t="n">
        <x:f>ROUND(E2022*F2022-G2022,10)</x:f>
        <x:v>0</x:v>
      </x:c>
      <x:c r="L2022" s="2"/>
      <x:c r="M2022" s="2"/>
      <x:c r="N2022" s="2"/>
      <x:c r="O2022" s="2"/>
      <x:c r="P2022" s="2"/>
      <x:c r="Q2022" s="2"/>
      <x:c r="R2022" s="2"/>
    </x:row>
    <x:row r="2023" ht="22" customHeight="1">
      <x:c r="A2023" s="2" t="n">
        <x:v>102017</x:v>
      </x:c>
      <x:c r="B2023" s="10" t="n">
        <x:v>45629</x:v>
      </x:c>
      <x:c r="C2023" s="2" t="str">
        <x:v>Chile</x:v>
      </x:c>
      <x:c r="D2023" s="2" t="str">
        <x:v>Moda Feminina</x:v>
      </x:c>
      <x:c r="E2023" s="11" t="n">
        <x:v>31</x:v>
      </x:c>
      <x:c r="F2023" s="12" t="n">
        <x:v>184.73</x:v>
      </x:c>
      <x:c r="G2023" s="12" t="n">
        <x:v>5726.63</x:v>
      </x:c>
      <x:c r="H2023" s="13" t="n">
        <x:v>162</x:v>
      </x:c>
      <x:c r="I2023" s="13" t="n">
        <x:f>YEAR(B2023)</x:f>
        <x:v>2024</x:v>
      </x:c>
      <x:c r="J2023" s="13" t="n">
        <x:f>MONTH(B2023)</x:f>
        <x:v>12</x:v>
      </x:c>
      <x:c r="K2023" s="14" t="n">
        <x:f>ROUND(E2023*F2023-G2023,10)</x:f>
        <x:v>0</x:v>
      </x:c>
      <x:c r="L2023" s="2"/>
      <x:c r="M2023" s="2"/>
      <x:c r="N2023" s="2"/>
      <x:c r="O2023" s="2"/>
      <x:c r="P2023" s="2"/>
      <x:c r="Q2023" s="2"/>
      <x:c r="R2023" s="2"/>
    </x:row>
    <x:row r="2024" ht="22" customHeight="1">
      <x:c r="A2024" s="2" t="n">
        <x:v>102018</x:v>
      </x:c>
      <x:c r="B2024" s="10" t="n">
        <x:v>45338</x:v>
      </x:c>
      <x:c r="C2024" s="2" t="str">
        <x:v>Colômbia</x:v>
      </x:c>
      <x:c r="D2024" s="2" t="str">
        <x:v>Moda Infantil</x:v>
      </x:c>
      <x:c r="E2024" s="11" t="n">
        <x:v>25</x:v>
      </x:c>
      <x:c r="F2024" s="12" t="n">
        <x:v>103.74</x:v>
      </x:c>
      <x:c r="G2024" s="12" t="n">
        <x:v>2593.5</x:v>
      </x:c>
      <x:c r="H2024" s="13" t="n">
        <x:v>438</x:v>
      </x:c>
      <x:c r="I2024" s="13" t="n">
        <x:f>YEAR(B2024)</x:f>
        <x:v>2024</x:v>
      </x:c>
      <x:c r="J2024" s="13" t="n">
        <x:f>MONTH(B2024)</x:f>
        <x:v>2</x:v>
      </x:c>
      <x:c r="K2024" s="14" t="n">
        <x:f>ROUND(E2024*F2024-G2024,10)</x:f>
        <x:v>0</x:v>
      </x:c>
      <x:c r="L2024" s="2"/>
      <x:c r="M2024" s="2"/>
      <x:c r="N2024" s="2"/>
      <x:c r="O2024" s="2"/>
      <x:c r="P2024" s="2"/>
      <x:c r="Q2024" s="2"/>
      <x:c r="R2024" s="2"/>
    </x:row>
    <x:row r="2025" ht="22" customHeight="1">
      <x:c r="A2025" s="2" t="n">
        <x:v>102019</x:v>
      </x:c>
      <x:c r="B2025" s="10" t="n">
        <x:v>45454</x:v>
      </x:c>
      <x:c r="C2025" s="2" t="str">
        <x:v>Argentina</x:v>
      </x:c>
      <x:c r="D2025" s="2" t="str">
        <x:v>Acessórios</x:v>
      </x:c>
      <x:c r="E2025" s="11" t="n">
        <x:v>31</x:v>
      </x:c>
      <x:c r="F2025" s="12" t="n">
        <x:v>31.37</x:v>
      </x:c>
      <x:c r="G2025" s="12" t="n">
        <x:v>972.47</x:v>
      </x:c>
      <x:c r="H2025" s="13" t="n">
        <x:v>427</x:v>
      </x:c>
      <x:c r="I2025" s="13" t="n">
        <x:f>YEAR(B2025)</x:f>
        <x:v>2024</x:v>
      </x:c>
      <x:c r="J2025" s="13" t="n">
        <x:f>MONTH(B2025)</x:f>
        <x:v>6</x:v>
      </x:c>
      <x:c r="K2025" s="14" t="n">
        <x:f>ROUND(E2025*F2025-G2025,10)</x:f>
        <x:v>0</x:v>
      </x:c>
      <x:c r="L2025" s="2"/>
      <x:c r="M2025" s="2"/>
      <x:c r="N2025" s="2"/>
      <x:c r="O2025" s="2"/>
      <x:c r="P2025" s="2"/>
      <x:c r="Q2025" s="2"/>
      <x:c r="R2025" s="2"/>
    </x:row>
    <x:row r="2026" ht="22" customHeight="1">
      <x:c r="A2026" s="2" t="n">
        <x:v>102020</x:v>
      </x:c>
      <x:c r="B2026" s="10" t="n">
        <x:v>45019</x:v>
      </x:c>
      <x:c r="C2026" s="2" t="str">
        <x:v>Chile</x:v>
      </x:c>
      <x:c r="D2026" s="2" t="str">
        <x:v>Moda Infantil</x:v>
      </x:c>
      <x:c r="E2026" s="11" t="n">
        <x:v>20</x:v>
      </x:c>
      <x:c r="F2026" s="12" t="n">
        <x:v>127.67</x:v>
      </x:c>
      <x:c r="G2026" s="12" t="n">
        <x:v>2553.4</x:v>
      </x:c>
      <x:c r="H2026" s="13" t="n">
        <x:v>240</x:v>
      </x:c>
      <x:c r="I2026" s="13" t="n">
        <x:f>YEAR(B2026)</x:f>
        <x:v>2023</x:v>
      </x:c>
      <x:c r="J2026" s="13" t="n">
        <x:f>MONTH(B2026)</x:f>
        <x:v>4</x:v>
      </x:c>
      <x:c r="K2026" s="14" t="n">
        <x:f>ROUND(E2026*F2026-G2026,10)</x:f>
        <x:v>0</x:v>
      </x:c>
      <x:c r="L2026" s="2"/>
      <x:c r="M2026" s="2"/>
      <x:c r="N2026" s="2"/>
      <x:c r="O2026" s="2"/>
      <x:c r="P2026" s="2"/>
      <x:c r="Q2026" s="2"/>
      <x:c r="R2026" s="2"/>
    </x:row>
    <x:row r="2027" ht="22" customHeight="1">
      <x:c r="A2027" s="2" t="n">
        <x:v>102021</x:v>
      </x:c>
      <x:c r="B2027" s="10" t="n">
        <x:v>45506</x:v>
      </x:c>
      <x:c r="C2027" s="2" t="str">
        <x:v>Chile</x:v>
      </x:c>
      <x:c r="D2027" s="2" t="str">
        <x:v>Acessórios</x:v>
      </x:c>
      <x:c r="E2027" s="11" t="n">
        <x:v>44</x:v>
      </x:c>
      <x:c r="F2027" s="12" t="n">
        <x:v>128.33</x:v>
      </x:c>
      <x:c r="G2027" s="12" t="n">
        <x:v>5646.52</x:v>
      </x:c>
      <x:c r="H2027" s="13" t="n">
        <x:v>428</x:v>
      </x:c>
      <x:c r="I2027" s="13" t="n">
        <x:f>YEAR(B2027)</x:f>
        <x:v>2024</x:v>
      </x:c>
      <x:c r="J2027" s="13" t="n">
        <x:f>MONTH(B2027)</x:f>
        <x:v>8</x:v>
      </x:c>
      <x:c r="K2027" s="14" t="n">
        <x:f>ROUND(E2027*F2027-G2027,10)</x:f>
        <x:v>0</x:v>
      </x:c>
      <x:c r="L2027" s="2"/>
      <x:c r="M2027" s="2"/>
      <x:c r="N2027" s="2"/>
      <x:c r="O2027" s="2"/>
      <x:c r="P2027" s="2"/>
      <x:c r="Q2027" s="2"/>
      <x:c r="R2027" s="2"/>
    </x:row>
    <x:row r="2028" ht="22" customHeight="1">
      <x:c r="A2028" s="2" t="n">
        <x:v>102022</x:v>
      </x:c>
      <x:c r="B2028" s="10" t="n">
        <x:v>45500</x:v>
      </x:c>
      <x:c r="C2028" s="2" t="str">
        <x:v>México</x:v>
      </x:c>
      <x:c r="D2028" s="2" t="str">
        <x:v>Moda Masculina</x:v>
      </x:c>
      <x:c r="E2028" s="11" t="n">
        <x:v>17</x:v>
      </x:c>
      <x:c r="F2028" s="12" t="n">
        <x:v>31.61</x:v>
      </x:c>
      <x:c r="G2028" s="12" t="n">
        <x:v>537.37</x:v>
      </x:c>
      <x:c r="H2028" s="13" t="n">
        <x:v>489</x:v>
      </x:c>
      <x:c r="I2028" s="13" t="n">
        <x:f>YEAR(B2028)</x:f>
        <x:v>2024</x:v>
      </x:c>
      <x:c r="J2028" s="13" t="n">
        <x:f>MONTH(B2028)</x:f>
        <x:v>7</x:v>
      </x:c>
      <x:c r="K2028" s="14" t="n">
        <x:f>ROUND(E2028*F2028-G2028,10)</x:f>
        <x:v>0</x:v>
      </x:c>
      <x:c r="L2028" s="2"/>
      <x:c r="M2028" s="2"/>
      <x:c r="N2028" s="2"/>
      <x:c r="O2028" s="2"/>
      <x:c r="P2028" s="2"/>
      <x:c r="Q2028" s="2"/>
      <x:c r="R2028" s="2"/>
    </x:row>
    <x:row r="2029" ht="22" customHeight="1">
      <x:c r="A2029" s="2" t="n">
        <x:v>102023</x:v>
      </x:c>
      <x:c r="B2029" s="10" t="n">
        <x:v>45285</x:v>
      </x:c>
      <x:c r="C2029" s="2" t="str">
        <x:v>México</x:v>
      </x:c>
      <x:c r="D2029" s="2" t="str">
        <x:v>Calçados</x:v>
      </x:c>
      <x:c r="E2029" s="11" t="n">
        <x:v>45</x:v>
      </x:c>
      <x:c r="F2029" s="12" t="n">
        <x:v>195.05</x:v>
      </x:c>
      <x:c r="G2029" s="12" t="n">
        <x:v>8777.25</x:v>
      </x:c>
      <x:c r="H2029" s="13" t="n">
        <x:v>236</x:v>
      </x:c>
      <x:c r="I2029" s="13" t="n">
        <x:f>YEAR(B2029)</x:f>
        <x:v>2023</x:v>
      </x:c>
      <x:c r="J2029" s="13" t="n">
        <x:f>MONTH(B2029)</x:f>
        <x:v>12</x:v>
      </x:c>
      <x:c r="K2029" s="14" t="n">
        <x:f>ROUND(E2029*F2029-G2029,10)</x:f>
        <x:v>0</x:v>
      </x:c>
      <x:c r="L2029" s="2"/>
      <x:c r="M2029" s="2"/>
      <x:c r="N2029" s="2"/>
      <x:c r="O2029" s="2"/>
      <x:c r="P2029" s="2"/>
      <x:c r="Q2029" s="2"/>
      <x:c r="R2029" s="2"/>
    </x:row>
    <x:row r="2030" ht="22" customHeight="1">
      <x:c r="A2030" s="2" t="n">
        <x:v>102024</x:v>
      </x:c>
      <x:c r="B2030" s="10" t="n">
        <x:v>44981</x:v>
      </x:c>
      <x:c r="C2030" s="2" t="str">
        <x:v>Peru</x:v>
      </x:c>
      <x:c r="D2030" s="2" t="str">
        <x:v>Acessórios</x:v>
      </x:c>
      <x:c r="E2030" s="11" t="n">
        <x:v>2</x:v>
      </x:c>
      <x:c r="F2030" s="12" t="n">
        <x:v>117.93</x:v>
      </x:c>
      <x:c r="G2030" s="12" t="n">
        <x:v>235.86</x:v>
      </x:c>
      <x:c r="H2030" s="13" t="n">
        <x:v>368</x:v>
      </x:c>
      <x:c r="I2030" s="13" t="n">
        <x:f>YEAR(B2030)</x:f>
        <x:v>2023</x:v>
      </x:c>
      <x:c r="J2030" s="13" t="n">
        <x:f>MONTH(B2030)</x:f>
        <x:v>2</x:v>
      </x:c>
      <x:c r="K2030" s="14" t="n">
        <x:f>ROUND(E2030*F2030-G2030,10)</x:f>
        <x:v>0</x:v>
      </x:c>
      <x:c r="L2030" s="2"/>
      <x:c r="M2030" s="2"/>
      <x:c r="N2030" s="2"/>
      <x:c r="O2030" s="2"/>
      <x:c r="P2030" s="2"/>
      <x:c r="Q2030" s="2"/>
      <x:c r="R2030" s="2"/>
    </x:row>
    <x:row r="2031" ht="22" customHeight="1">
      <x:c r="A2031" s="2" t="n">
        <x:v>102025</x:v>
      </x:c>
      <x:c r="B2031" s="10" t="n">
        <x:v>45633</x:v>
      </x:c>
      <x:c r="C2031" s="2" t="str">
        <x:v>Brasil</x:v>
      </x:c>
      <x:c r="D2031" s="2" t="str">
        <x:v>Moda Feminina</x:v>
      </x:c>
      <x:c r="E2031" s="11" t="n">
        <x:v>25</x:v>
      </x:c>
      <x:c r="F2031" s="12" t="n">
        <x:v>120.76</x:v>
      </x:c>
      <x:c r="G2031" s="12" t="n">
        <x:v>3019</x:v>
      </x:c>
      <x:c r="H2031" s="13" t="n">
        <x:v>416</x:v>
      </x:c>
      <x:c r="I2031" s="13" t="n">
        <x:f>YEAR(B2031)</x:f>
        <x:v>2024</x:v>
      </x:c>
      <x:c r="J2031" s="13" t="n">
        <x:f>MONTH(B2031)</x:f>
        <x:v>12</x:v>
      </x:c>
      <x:c r="K2031" s="14" t="n">
        <x:f>ROUND(E2031*F2031-G2031,10)</x:f>
        <x:v>0</x:v>
      </x:c>
      <x:c r="L2031" s="2"/>
      <x:c r="M2031" s="2"/>
      <x:c r="N2031" s="2"/>
      <x:c r="O2031" s="2"/>
      <x:c r="P2031" s="2"/>
      <x:c r="Q2031" s="2"/>
      <x:c r="R2031" s="2"/>
    </x:row>
    <x:row r="2032" ht="22" customHeight="1">
      <x:c r="A2032" s="2" t="n">
        <x:v>102026</x:v>
      </x:c>
      <x:c r="B2032" s="10" t="n">
        <x:v>45263</x:v>
      </x:c>
      <x:c r="C2032" s="2" t="str">
        <x:v>Colômbia</x:v>
      </x:c>
      <x:c r="D2032" s="2" t="str">
        <x:v>Moda Infantil</x:v>
      </x:c>
      <x:c r="E2032" s="11" t="n">
        <x:v>13</x:v>
      </x:c>
      <x:c r="F2032" s="12" t="n">
        <x:v>113.62</x:v>
      </x:c>
      <x:c r="G2032" s="12" t="n">
        <x:v>1477.06</x:v>
      </x:c>
      <x:c r="H2032" s="13" t="n">
        <x:v>138</x:v>
      </x:c>
      <x:c r="I2032" s="13" t="n">
        <x:f>YEAR(B2032)</x:f>
        <x:v>2023</x:v>
      </x:c>
      <x:c r="J2032" s="13" t="n">
        <x:f>MONTH(B2032)</x:f>
        <x:v>12</x:v>
      </x:c>
      <x:c r="K2032" s="14" t="n">
        <x:f>ROUND(E2032*F2032-G2032,10)</x:f>
        <x:v>0</x:v>
      </x:c>
      <x:c r="L2032" s="2"/>
      <x:c r="M2032" s="2"/>
      <x:c r="N2032" s="2"/>
      <x:c r="O2032" s="2"/>
      <x:c r="P2032" s="2"/>
      <x:c r="Q2032" s="2"/>
      <x:c r="R2032" s="2"/>
    </x:row>
    <x:row r="2033" ht="22" customHeight="1">
      <x:c r="A2033" s="2" t="n">
        <x:v>102027</x:v>
      </x:c>
      <x:c r="B2033" s="10" t="n">
        <x:v>45461</x:v>
      </x:c>
      <x:c r="C2033" s="2" t="str">
        <x:v>Brasil</x:v>
      </x:c>
      <x:c r="D2033" s="2" t="str">
        <x:v>Moda Masculina</x:v>
      </x:c>
      <x:c r="E2033" s="11" t="n">
        <x:v>39</x:v>
      </x:c>
      <x:c r="F2033" s="12" t="n">
        <x:v>129.93</x:v>
      </x:c>
      <x:c r="G2033" s="12" t="n">
        <x:v>5067.27</x:v>
      </x:c>
      <x:c r="H2033" s="13" t="n">
        <x:v>236</x:v>
      </x:c>
      <x:c r="I2033" s="13" t="n">
        <x:f>YEAR(B2033)</x:f>
        <x:v>2024</x:v>
      </x:c>
      <x:c r="J2033" s="13" t="n">
        <x:f>MONTH(B2033)</x:f>
        <x:v>6</x:v>
      </x:c>
      <x:c r="K2033" s="14" t="n">
        <x:f>ROUND(E2033*F2033-G2033,10)</x:f>
        <x:v>0</x:v>
      </x:c>
      <x:c r="L2033" s="2"/>
      <x:c r="M2033" s="2"/>
      <x:c r="N2033" s="2"/>
      <x:c r="O2033" s="2"/>
      <x:c r="P2033" s="2"/>
      <x:c r="Q2033" s="2"/>
      <x:c r="R2033" s="2"/>
    </x:row>
    <x:row r="2034" ht="22" customHeight="1">
      <x:c r="A2034" s="2" t="n">
        <x:v>102028</x:v>
      </x:c>
      <x:c r="B2034" s="10" t="n">
        <x:v>44952</x:v>
      </x:c>
      <x:c r="C2034" s="2" t="str">
        <x:v>Peru</x:v>
      </x:c>
      <x:c r="D2034" s="2" t="str">
        <x:v>Moda Feminina</x:v>
      </x:c>
      <x:c r="E2034" s="11" t="n">
        <x:v>28</x:v>
      </x:c>
      <x:c r="F2034" s="12" t="n">
        <x:v>67.57</x:v>
      </x:c>
      <x:c r="G2034" s="12" t="n">
        <x:v>1891.96</x:v>
      </x:c>
      <x:c r="H2034" s="13" t="n">
        <x:v>356</x:v>
      </x:c>
      <x:c r="I2034" s="13" t="n">
        <x:f>YEAR(B2034)</x:f>
        <x:v>2023</x:v>
      </x:c>
      <x:c r="J2034" s="13" t="n">
        <x:f>MONTH(B2034)</x:f>
        <x:v>1</x:v>
      </x:c>
      <x:c r="K2034" s="14" t="n">
        <x:f>ROUND(E2034*F2034-G2034,10)</x:f>
        <x:v>0</x:v>
      </x:c>
      <x:c r="L2034" s="2"/>
      <x:c r="M2034" s="2"/>
      <x:c r="N2034" s="2"/>
      <x:c r="O2034" s="2"/>
      <x:c r="P2034" s="2"/>
      <x:c r="Q2034" s="2"/>
      <x:c r="R2034" s="2"/>
    </x:row>
    <x:row r="2035" ht="22" customHeight="1">
      <x:c r="A2035" s="2" t="n">
        <x:v>102029</x:v>
      </x:c>
      <x:c r="B2035" s="10" t="n">
        <x:v>44928</x:v>
      </x:c>
      <x:c r="C2035" s="2" t="str">
        <x:v>México</x:v>
      </x:c>
      <x:c r="D2035" s="2" t="str">
        <x:v>Moda Masculina</x:v>
      </x:c>
      <x:c r="E2035" s="11" t="n">
        <x:v>42</x:v>
      </x:c>
      <x:c r="F2035" s="12" t="n">
        <x:v>71.7</x:v>
      </x:c>
      <x:c r="G2035" s="12" t="n">
        <x:v>3011.4</x:v>
      </x:c>
      <x:c r="H2035" s="13" t="n">
        <x:v>483</x:v>
      </x:c>
      <x:c r="I2035" s="13" t="n">
        <x:f>YEAR(B2035)</x:f>
        <x:v>2023</x:v>
      </x:c>
      <x:c r="J2035" s="13" t="n">
        <x:f>MONTH(B2035)</x:f>
        <x:v>1</x:v>
      </x:c>
      <x:c r="K2035" s="14" t="n">
        <x:f>ROUND(E2035*F2035-G2035,10)</x:f>
        <x:v>0</x:v>
      </x:c>
      <x:c r="L2035" s="2"/>
      <x:c r="M2035" s="2"/>
      <x:c r="N2035" s="2"/>
      <x:c r="O2035" s="2"/>
      <x:c r="P2035" s="2"/>
      <x:c r="Q2035" s="2"/>
      <x:c r="R2035" s="2"/>
    </x:row>
    <x:row r="2036" ht="22" customHeight="1">
      <x:c r="A2036" s="2" t="n">
        <x:v>102030</x:v>
      </x:c>
      <x:c r="B2036" s="10" t="n">
        <x:v>45624</x:v>
      </x:c>
      <x:c r="C2036" s="2" t="str">
        <x:v>Argentina</x:v>
      </x:c>
      <x:c r="D2036" s="2" t="str">
        <x:v>Calçados</x:v>
      </x:c>
      <x:c r="E2036" s="11" t="n">
        <x:v>6</x:v>
      </x:c>
      <x:c r="F2036" s="12" t="n">
        <x:v>112.04</x:v>
      </x:c>
      <x:c r="G2036" s="12" t="n">
        <x:v>672.24</x:v>
      </x:c>
      <x:c r="H2036" s="13" t="n">
        <x:v>181</x:v>
      </x:c>
      <x:c r="I2036" s="13" t="n">
        <x:f>YEAR(B2036)</x:f>
        <x:v>2024</x:v>
      </x:c>
      <x:c r="J2036" s="13" t="n">
        <x:f>MONTH(B2036)</x:f>
        <x:v>11</x:v>
      </x:c>
      <x:c r="K2036" s="14" t="n">
        <x:f>ROUND(E2036*F2036-G2036,10)</x:f>
        <x:v>0</x:v>
      </x:c>
      <x:c r="L2036" s="2"/>
      <x:c r="M2036" s="2"/>
      <x:c r="N2036" s="2"/>
      <x:c r="O2036" s="2"/>
      <x:c r="P2036" s="2"/>
      <x:c r="Q2036" s="2"/>
      <x:c r="R2036" s="2"/>
    </x:row>
    <x:row r="2037" ht="22" customHeight="1">
      <x:c r="A2037" s="2" t="n">
        <x:v>102031</x:v>
      </x:c>
      <x:c r="B2037" s="10" t="n">
        <x:v>45571</x:v>
      </x:c>
      <x:c r="C2037" s="2" t="str">
        <x:v>México</x:v>
      </x:c>
      <x:c r="D2037" s="2" t="str">
        <x:v>Moda Infantil</x:v>
      </x:c>
      <x:c r="E2037" s="11" t="n">
        <x:v>3</x:v>
      </x:c>
      <x:c r="F2037" s="12" t="n">
        <x:v>165.2</x:v>
      </x:c>
      <x:c r="G2037" s="12" t="n">
        <x:v>495.6</x:v>
      </x:c>
      <x:c r="H2037" s="13" t="n">
        <x:v>409</x:v>
      </x:c>
      <x:c r="I2037" s="13" t="n">
        <x:f>YEAR(B2037)</x:f>
        <x:v>2024</x:v>
      </x:c>
      <x:c r="J2037" s="13" t="n">
        <x:f>MONTH(B2037)</x:f>
        <x:v>10</x:v>
      </x:c>
      <x:c r="K2037" s="14" t="n">
        <x:f>ROUND(E2037*F2037-G2037,10)</x:f>
        <x:v>0</x:v>
      </x:c>
      <x:c r="L2037" s="2"/>
      <x:c r="M2037" s="2"/>
      <x:c r="N2037" s="2"/>
      <x:c r="O2037" s="2"/>
      <x:c r="P2037" s="2"/>
      <x:c r="Q2037" s="2"/>
      <x:c r="R2037" s="2"/>
    </x:row>
    <x:row r="2038" ht="22" customHeight="1">
      <x:c r="A2038" s="2" t="n">
        <x:v>102032</x:v>
      </x:c>
      <x:c r="B2038" s="10" t="n">
        <x:v>44942</x:v>
      </x:c>
      <x:c r="C2038" s="2" t="str">
        <x:v>Colômbia</x:v>
      </x:c>
      <x:c r="D2038" s="2" t="str">
        <x:v>Moda Infantil</x:v>
      </x:c>
      <x:c r="E2038" s="11" t="n">
        <x:v>35</x:v>
      </x:c>
      <x:c r="F2038" s="12" t="n">
        <x:v>28.98</x:v>
      </x:c>
      <x:c r="G2038" s="12" t="n">
        <x:v>1014.3</x:v>
      </x:c>
      <x:c r="H2038" s="13" t="n">
        <x:v>172</x:v>
      </x:c>
      <x:c r="I2038" s="13" t="n">
        <x:f>YEAR(B2038)</x:f>
        <x:v>2023</x:v>
      </x:c>
      <x:c r="J2038" s="13" t="n">
        <x:f>MONTH(B2038)</x:f>
        <x:v>1</x:v>
      </x:c>
      <x:c r="K2038" s="14" t="n">
        <x:f>ROUND(E2038*F2038-G2038,10)</x:f>
        <x:v>0</x:v>
      </x:c>
      <x:c r="L2038" s="2"/>
      <x:c r="M2038" s="2"/>
      <x:c r="N2038" s="2"/>
      <x:c r="O2038" s="2"/>
      <x:c r="P2038" s="2"/>
      <x:c r="Q2038" s="2"/>
      <x:c r="R2038" s="2"/>
    </x:row>
    <x:row r="2039" ht="22" customHeight="1">
      <x:c r="A2039" s="2" t="n">
        <x:v>102033</x:v>
      </x:c>
      <x:c r="B2039" s="10" t="n">
        <x:v>45385</x:v>
      </x:c>
      <x:c r="C2039" s="2" t="str">
        <x:v>México</x:v>
      </x:c>
      <x:c r="D2039" s="2" t="str">
        <x:v>Calçados</x:v>
      </x:c>
      <x:c r="E2039" s="11" t="n">
        <x:v>18</x:v>
      </x:c>
      <x:c r="F2039" s="12" t="n">
        <x:v>128.61</x:v>
      </x:c>
      <x:c r="G2039" s="12" t="n">
        <x:v>2314.98</x:v>
      </x:c>
      <x:c r="H2039" s="13" t="n">
        <x:v>97</x:v>
      </x:c>
      <x:c r="I2039" s="13" t="n">
        <x:f>YEAR(B2039)</x:f>
        <x:v>2024</x:v>
      </x:c>
      <x:c r="J2039" s="13" t="n">
        <x:f>MONTH(B2039)</x:f>
        <x:v>4</x:v>
      </x:c>
      <x:c r="K2039" s="14" t="n">
        <x:f>ROUND(E2039*F2039-G2039,10)</x:f>
        <x:v>0</x:v>
      </x:c>
      <x:c r="L2039" s="2"/>
      <x:c r="M2039" s="2"/>
      <x:c r="N2039" s="2"/>
      <x:c r="O2039" s="2"/>
      <x:c r="P2039" s="2"/>
      <x:c r="Q2039" s="2"/>
      <x:c r="R2039" s="2"/>
    </x:row>
    <x:row r="2040" ht="22" customHeight="1">
      <x:c r="A2040" s="2" t="n">
        <x:v>102034</x:v>
      </x:c>
      <x:c r="B2040" s="10" t="n">
        <x:v>45542</x:v>
      </x:c>
      <x:c r="C2040" s="2" t="str">
        <x:v>Colômbia</x:v>
      </x:c>
      <x:c r="D2040" s="2" t="str">
        <x:v>Moda Infantil</x:v>
      </x:c>
      <x:c r="E2040" s="11" t="n">
        <x:v>11</x:v>
      </x:c>
      <x:c r="F2040" s="12" t="n">
        <x:v>165.22</x:v>
      </x:c>
      <x:c r="G2040" s="12" t="n">
        <x:v>1817.42</x:v>
      </x:c>
      <x:c r="H2040" s="13" t="n">
        <x:v>337</x:v>
      </x:c>
      <x:c r="I2040" s="13" t="n">
        <x:f>YEAR(B2040)</x:f>
        <x:v>2024</x:v>
      </x:c>
      <x:c r="J2040" s="13" t="n">
        <x:f>MONTH(B2040)</x:f>
        <x:v>9</x:v>
      </x:c>
      <x:c r="K2040" s="14" t="n">
        <x:f>ROUND(E2040*F2040-G2040,10)</x:f>
        <x:v>0</x:v>
      </x:c>
      <x:c r="L2040" s="2"/>
      <x:c r="M2040" s="2"/>
      <x:c r="N2040" s="2"/>
      <x:c r="O2040" s="2"/>
      <x:c r="P2040" s="2"/>
      <x:c r="Q2040" s="2"/>
      <x:c r="R2040" s="2"/>
    </x:row>
    <x:row r="2041" ht="22" customHeight="1">
      <x:c r="A2041" s="2" t="n">
        <x:v>102035</x:v>
      </x:c>
      <x:c r="B2041" s="10" t="n">
        <x:v>44936</x:v>
      </x:c>
      <x:c r="C2041" s="2" t="str">
        <x:v>Colômbia</x:v>
      </x:c>
      <x:c r="D2041" s="2" t="str">
        <x:v>Acessórios</x:v>
      </x:c>
      <x:c r="E2041" s="11" t="n">
        <x:v>20</x:v>
      </x:c>
      <x:c r="F2041" s="12" t="n">
        <x:v>48.25</x:v>
      </x:c>
      <x:c r="G2041" s="12" t="n">
        <x:v>965</x:v>
      </x:c>
      <x:c r="H2041" s="13" t="n">
        <x:v>425</x:v>
      </x:c>
      <x:c r="I2041" s="13" t="n">
        <x:f>YEAR(B2041)</x:f>
        <x:v>2023</x:v>
      </x:c>
      <x:c r="J2041" s="13" t="n">
        <x:f>MONTH(B2041)</x:f>
        <x:v>1</x:v>
      </x:c>
      <x:c r="K2041" s="14" t="n">
        <x:f>ROUND(E2041*F2041-G2041,10)</x:f>
        <x:v>0</x:v>
      </x:c>
      <x:c r="L2041" s="2"/>
      <x:c r="M2041" s="2"/>
      <x:c r="N2041" s="2"/>
      <x:c r="O2041" s="2"/>
      <x:c r="P2041" s="2"/>
      <x:c r="Q2041" s="2"/>
      <x:c r="R2041" s="2"/>
    </x:row>
    <x:row r="2042" ht="22" customHeight="1">
      <x:c r="A2042" s="2" t="n">
        <x:v>102036</x:v>
      </x:c>
      <x:c r="B2042" s="10" t="n">
        <x:v>45163</x:v>
      </x:c>
      <x:c r="C2042" s="2" t="str">
        <x:v>Colômbia</x:v>
      </x:c>
      <x:c r="D2042" s="2" t="str">
        <x:v>Moda Masculina</x:v>
      </x:c>
      <x:c r="E2042" s="11" t="n">
        <x:v>5</x:v>
      </x:c>
      <x:c r="F2042" s="12" t="n">
        <x:v>22.7</x:v>
      </x:c>
      <x:c r="G2042" s="12" t="n">
        <x:v>113.5</x:v>
      </x:c>
      <x:c r="H2042" s="13" t="n">
        <x:v>228</x:v>
      </x:c>
      <x:c r="I2042" s="13" t="n">
        <x:f>YEAR(B2042)</x:f>
        <x:v>2023</x:v>
      </x:c>
      <x:c r="J2042" s="13" t="n">
        <x:f>MONTH(B2042)</x:f>
        <x:v>8</x:v>
      </x:c>
      <x:c r="K2042" s="14" t="n">
        <x:f>ROUND(E2042*F2042-G2042,10)</x:f>
        <x:v>0</x:v>
      </x:c>
      <x:c r="L2042" s="2"/>
      <x:c r="M2042" s="2"/>
      <x:c r="N2042" s="2"/>
      <x:c r="O2042" s="2"/>
      <x:c r="P2042" s="2"/>
      <x:c r="Q2042" s="2"/>
      <x:c r="R2042" s="2"/>
    </x:row>
    <x:row r="2043" ht="22" customHeight="1">
      <x:c r="A2043" s="2" t="n">
        <x:v>102037</x:v>
      </x:c>
      <x:c r="B2043" s="10" t="n">
        <x:v>45222</x:v>
      </x:c>
      <x:c r="C2043" s="2" t="str">
        <x:v>Peru</x:v>
      </x:c>
      <x:c r="D2043" s="2" t="str">
        <x:v>Moda Feminina</x:v>
      </x:c>
      <x:c r="E2043" s="11" t="n">
        <x:v>19</x:v>
      </x:c>
      <x:c r="F2043" s="12" t="n">
        <x:v>76.29</x:v>
      </x:c>
      <x:c r="G2043" s="12" t="n">
        <x:v>1449.51</x:v>
      </x:c>
      <x:c r="H2043" s="13" t="n">
        <x:v>229</x:v>
      </x:c>
      <x:c r="I2043" s="13" t="n">
        <x:f>YEAR(B2043)</x:f>
        <x:v>2023</x:v>
      </x:c>
      <x:c r="J2043" s="13" t="n">
        <x:f>MONTH(B2043)</x:f>
        <x:v>10</x:v>
      </x:c>
      <x:c r="K2043" s="14" t="n">
        <x:f>ROUND(E2043*F2043-G2043,10)</x:f>
        <x:v>0</x:v>
      </x:c>
      <x:c r="L2043" s="2"/>
      <x:c r="M2043" s="2"/>
      <x:c r="N2043" s="2"/>
      <x:c r="O2043" s="2"/>
      <x:c r="P2043" s="2"/>
      <x:c r="Q2043" s="2"/>
      <x:c r="R2043" s="2"/>
    </x:row>
    <x:row r="2044" ht="22" customHeight="1">
      <x:c r="A2044" s="2" t="n">
        <x:v>102038</x:v>
      </x:c>
      <x:c r="B2044" s="10" t="n">
        <x:v>45214</x:v>
      </x:c>
      <x:c r="C2044" s="2" t="str">
        <x:v>Colômbia</x:v>
      </x:c>
      <x:c r="D2044" s="2" t="str">
        <x:v>Calçados</x:v>
      </x:c>
      <x:c r="E2044" s="11" t="n">
        <x:v>22</x:v>
      </x:c>
      <x:c r="F2044" s="12" t="n">
        <x:v>125.87</x:v>
      </x:c>
      <x:c r="G2044" s="12" t="n">
        <x:v>2769.14</x:v>
      </x:c>
      <x:c r="H2044" s="13" t="n">
        <x:v>148</x:v>
      </x:c>
      <x:c r="I2044" s="13" t="n">
        <x:f>YEAR(B2044)</x:f>
        <x:v>2023</x:v>
      </x:c>
      <x:c r="J2044" s="13" t="n">
        <x:f>MONTH(B2044)</x:f>
        <x:v>10</x:v>
      </x:c>
      <x:c r="K2044" s="14" t="n">
        <x:f>ROUND(E2044*F2044-G2044,10)</x:f>
        <x:v>0</x:v>
      </x:c>
      <x:c r="L2044" s="2"/>
      <x:c r="M2044" s="2"/>
      <x:c r="N2044" s="2"/>
      <x:c r="O2044" s="2"/>
      <x:c r="P2044" s="2"/>
      <x:c r="Q2044" s="2"/>
      <x:c r="R2044" s="2"/>
    </x:row>
    <x:row r="2045" ht="22" customHeight="1">
      <x:c r="A2045" s="2" t="n">
        <x:v>102039</x:v>
      </x:c>
      <x:c r="B2045" s="10" t="n">
        <x:v>45641</x:v>
      </x:c>
      <x:c r="C2045" s="2" t="str">
        <x:v>Colômbia</x:v>
      </x:c>
      <x:c r="D2045" s="2" t="str">
        <x:v>Acessórios</x:v>
      </x:c>
      <x:c r="E2045" s="11" t="n">
        <x:v>19</x:v>
      </x:c>
      <x:c r="F2045" s="12" t="n">
        <x:v>44.89</x:v>
      </x:c>
      <x:c r="G2045" s="12" t="n">
        <x:v>852.91</x:v>
      </x:c>
      <x:c r="H2045" s="13" t="n">
        <x:v>379</x:v>
      </x:c>
      <x:c r="I2045" s="13" t="n">
        <x:f>YEAR(B2045)</x:f>
        <x:v>2024</x:v>
      </x:c>
      <x:c r="J2045" s="13" t="n">
        <x:f>MONTH(B2045)</x:f>
        <x:v>12</x:v>
      </x:c>
      <x:c r="K2045" s="14" t="n">
        <x:f>ROUND(E2045*F2045-G2045,10)</x:f>
        <x:v>0</x:v>
      </x:c>
      <x:c r="L2045" s="2"/>
      <x:c r="M2045" s="2"/>
      <x:c r="N2045" s="2"/>
      <x:c r="O2045" s="2"/>
      <x:c r="P2045" s="2"/>
      <x:c r="Q2045" s="2"/>
      <x:c r="R2045" s="2"/>
    </x:row>
    <x:row r="2046" ht="22" customHeight="1">
      <x:c r="A2046" s="2" t="n">
        <x:v>102040</x:v>
      </x:c>
      <x:c r="B2046" s="10" t="n">
        <x:v>45581</x:v>
      </x:c>
      <x:c r="C2046" s="2" t="str">
        <x:v>Argentina</x:v>
      </x:c>
      <x:c r="D2046" s="2" t="str">
        <x:v>Moda Feminina</x:v>
      </x:c>
      <x:c r="E2046" s="11" t="n">
        <x:v>47</x:v>
      </x:c>
      <x:c r="F2046" s="12" t="n">
        <x:v>96.7</x:v>
      </x:c>
      <x:c r="G2046" s="12" t="n">
        <x:v>4544.900000000001</x:v>
      </x:c>
      <x:c r="H2046" s="13" t="n">
        <x:v>83</x:v>
      </x:c>
      <x:c r="I2046" s="13" t="n">
        <x:f>YEAR(B2046)</x:f>
        <x:v>2024</x:v>
      </x:c>
      <x:c r="J2046" s="13" t="n">
        <x:f>MONTH(B2046)</x:f>
        <x:v>10</x:v>
      </x:c>
      <x:c r="K2046" s="14" t="n">
        <x:f>ROUND(E2046*F2046-G2046,10)</x:f>
        <x:v>0</x:v>
      </x:c>
      <x:c r="L2046" s="2"/>
      <x:c r="M2046" s="2"/>
      <x:c r="N2046" s="2"/>
      <x:c r="O2046" s="2"/>
      <x:c r="P2046" s="2"/>
      <x:c r="Q2046" s="2"/>
      <x:c r="R2046" s="2"/>
    </x:row>
    <x:row r="2047" ht="22" customHeight="1">
      <x:c r="A2047" s="2" t="n">
        <x:v>102041</x:v>
      </x:c>
      <x:c r="B2047" s="10" t="n">
        <x:v>44951</x:v>
      </x:c>
      <x:c r="C2047" s="2" t="str">
        <x:v>Brasil</x:v>
      </x:c>
      <x:c r="D2047" s="2" t="str">
        <x:v>Moda Feminina</x:v>
      </x:c>
      <x:c r="E2047" s="11" t="n">
        <x:v>16</x:v>
      </x:c>
      <x:c r="F2047" s="12" t="n">
        <x:v>119.42</x:v>
      </x:c>
      <x:c r="G2047" s="12" t="n">
        <x:v>1910.72</x:v>
      </x:c>
      <x:c r="H2047" s="13" t="n">
        <x:v>469</x:v>
      </x:c>
      <x:c r="I2047" s="13" t="n">
        <x:f>YEAR(B2047)</x:f>
        <x:v>2023</x:v>
      </x:c>
      <x:c r="J2047" s="13" t="n">
        <x:f>MONTH(B2047)</x:f>
        <x:v>1</x:v>
      </x:c>
      <x:c r="K2047" s="14" t="n">
        <x:f>ROUND(E2047*F2047-G2047,10)</x:f>
        <x:v>0</x:v>
      </x:c>
      <x:c r="L2047" s="2"/>
      <x:c r="M2047" s="2"/>
      <x:c r="N2047" s="2"/>
      <x:c r="O2047" s="2"/>
      <x:c r="P2047" s="2"/>
      <x:c r="Q2047" s="2"/>
      <x:c r="R2047" s="2"/>
    </x:row>
    <x:row r="2048" ht="22" customHeight="1">
      <x:c r="A2048" s="2" t="n">
        <x:v>102042</x:v>
      </x:c>
      <x:c r="B2048" s="10" t="n">
        <x:v>45115</x:v>
      </x:c>
      <x:c r="C2048" s="2" t="str">
        <x:v>Chile</x:v>
      </x:c>
      <x:c r="D2048" s="2" t="str">
        <x:v>Calçados</x:v>
      </x:c>
      <x:c r="E2048" s="11" t="n">
        <x:v>24</x:v>
      </x:c>
      <x:c r="F2048" s="12" t="n">
        <x:v>127.8</x:v>
      </x:c>
      <x:c r="G2048" s="12" t="n">
        <x:v>3067.2</x:v>
      </x:c>
      <x:c r="H2048" s="13" t="n">
        <x:v>119</x:v>
      </x:c>
      <x:c r="I2048" s="13" t="n">
        <x:f>YEAR(B2048)</x:f>
        <x:v>2023</x:v>
      </x:c>
      <x:c r="J2048" s="13" t="n">
        <x:f>MONTH(B2048)</x:f>
        <x:v>7</x:v>
      </x:c>
      <x:c r="K2048" s="14" t="n">
        <x:f>ROUND(E2048*F2048-G2048,10)</x:f>
        <x:v>0</x:v>
      </x:c>
      <x:c r="L2048" s="2"/>
      <x:c r="M2048" s="2"/>
      <x:c r="N2048" s="2"/>
      <x:c r="O2048" s="2"/>
      <x:c r="P2048" s="2"/>
      <x:c r="Q2048" s="2"/>
      <x:c r="R2048" s="2"/>
    </x:row>
    <x:row r="2049" ht="22" customHeight="1">
      <x:c r="A2049" s="2" t="n">
        <x:v>102043</x:v>
      </x:c>
      <x:c r="B2049" s="10" t="n">
        <x:v>45011</x:v>
      </x:c>
      <x:c r="C2049" s="2" t="str">
        <x:v>Brasil</x:v>
      </x:c>
      <x:c r="D2049" s="2" t="str">
        <x:v>Acessórios</x:v>
      </x:c>
      <x:c r="E2049" s="11" t="n">
        <x:v>41</x:v>
      </x:c>
      <x:c r="F2049" s="12" t="n">
        <x:v>69.39</x:v>
      </x:c>
      <x:c r="G2049" s="12" t="n">
        <x:v>2844.99</x:v>
      </x:c>
      <x:c r="H2049" s="13" t="n">
        <x:v>220</x:v>
      </x:c>
      <x:c r="I2049" s="13" t="n">
        <x:f>YEAR(B2049)</x:f>
        <x:v>2023</x:v>
      </x:c>
      <x:c r="J2049" s="13" t="n">
        <x:f>MONTH(B2049)</x:f>
        <x:v>3</x:v>
      </x:c>
      <x:c r="K2049" s="14" t="n">
        <x:f>ROUND(E2049*F2049-G2049,10)</x:f>
        <x:v>0</x:v>
      </x:c>
      <x:c r="L2049" s="2"/>
      <x:c r="M2049" s="2"/>
      <x:c r="N2049" s="2"/>
      <x:c r="O2049" s="2"/>
      <x:c r="P2049" s="2"/>
      <x:c r="Q2049" s="2"/>
      <x:c r="R2049" s="2"/>
    </x:row>
    <x:row r="2050" ht="22" customHeight="1">
      <x:c r="A2050" s="2" t="n">
        <x:v>102044</x:v>
      </x:c>
      <x:c r="B2050" s="10" t="n">
        <x:v>45141</x:v>
      </x:c>
      <x:c r="C2050" s="2" t="str">
        <x:v>Colômbia</x:v>
      </x:c>
      <x:c r="D2050" s="2" t="str">
        <x:v>Moda Feminina</x:v>
      </x:c>
      <x:c r="E2050" s="11" t="n">
        <x:v>4</x:v>
      </x:c>
      <x:c r="F2050" s="12" t="n">
        <x:v>92.01</x:v>
      </x:c>
      <x:c r="G2050" s="12" t="n">
        <x:v>368.04</x:v>
      </x:c>
      <x:c r="H2050" s="13" t="n">
        <x:v>415</x:v>
      </x:c>
      <x:c r="I2050" s="13" t="n">
        <x:f>YEAR(B2050)</x:f>
        <x:v>2023</x:v>
      </x:c>
      <x:c r="J2050" s="13" t="n">
        <x:f>MONTH(B2050)</x:f>
        <x:v>8</x:v>
      </x:c>
      <x:c r="K2050" s="14" t="n">
        <x:f>ROUND(E2050*F2050-G2050,10)</x:f>
        <x:v>0</x:v>
      </x:c>
      <x:c r="L2050" s="2"/>
      <x:c r="M2050" s="2"/>
      <x:c r="N2050" s="2"/>
      <x:c r="O2050" s="2"/>
      <x:c r="P2050" s="2"/>
      <x:c r="Q2050" s="2"/>
      <x:c r="R2050" s="2"/>
    </x:row>
    <x:row r="2051" ht="22" customHeight="1">
      <x:c r="A2051" s="2" t="n">
        <x:v>102045</x:v>
      </x:c>
      <x:c r="B2051" s="10" t="n">
        <x:v>44974</x:v>
      </x:c>
      <x:c r="C2051" s="2" t="str">
        <x:v>Argentina</x:v>
      </x:c>
      <x:c r="D2051" s="2" t="str">
        <x:v>Moda Feminina</x:v>
      </x:c>
      <x:c r="E2051" s="11" t="n">
        <x:v>15</x:v>
      </x:c>
      <x:c r="F2051" s="12" t="n">
        <x:v>160.1</x:v>
      </x:c>
      <x:c r="G2051" s="12" t="n">
        <x:v>2401.5</x:v>
      </x:c>
      <x:c r="H2051" s="13" t="n">
        <x:v>321</x:v>
      </x:c>
      <x:c r="I2051" s="13" t="n">
        <x:f>YEAR(B2051)</x:f>
        <x:v>2023</x:v>
      </x:c>
      <x:c r="J2051" s="13" t="n">
        <x:f>MONTH(B2051)</x:f>
        <x:v>2</x:v>
      </x:c>
      <x:c r="K2051" s="14" t="n">
        <x:f>ROUND(E2051*F2051-G2051,10)</x:f>
        <x:v>0</x:v>
      </x:c>
      <x:c r="L2051" s="2"/>
      <x:c r="M2051" s="2"/>
      <x:c r="N2051" s="2"/>
      <x:c r="O2051" s="2"/>
      <x:c r="P2051" s="2"/>
      <x:c r="Q2051" s="2"/>
      <x:c r="R2051" s="2"/>
    </x:row>
    <x:row r="2052" ht="22" customHeight="1">
      <x:c r="A2052" s="2" t="n">
        <x:v>102046</x:v>
      </x:c>
      <x:c r="B2052" s="10" t="n">
        <x:v>45496</x:v>
      </x:c>
      <x:c r="C2052" s="2" t="str">
        <x:v>México</x:v>
      </x:c>
      <x:c r="D2052" s="2" t="str">
        <x:v>Acessórios</x:v>
      </x:c>
      <x:c r="E2052" s="11" t="n">
        <x:v>25</x:v>
      </x:c>
      <x:c r="F2052" s="12" t="n">
        <x:v>189.42</x:v>
      </x:c>
      <x:c r="G2052" s="12" t="n">
        <x:v>4735.5</x:v>
      </x:c>
      <x:c r="H2052" s="13" t="n">
        <x:v>108</x:v>
      </x:c>
      <x:c r="I2052" s="13" t="n">
        <x:f>YEAR(B2052)</x:f>
        <x:v>2024</x:v>
      </x:c>
      <x:c r="J2052" s="13" t="n">
        <x:f>MONTH(B2052)</x:f>
        <x:v>7</x:v>
      </x:c>
      <x:c r="K2052" s="14" t="n">
        <x:f>ROUND(E2052*F2052-G2052,10)</x:f>
        <x:v>0</x:v>
      </x:c>
      <x:c r="L2052" s="2"/>
      <x:c r="M2052" s="2"/>
      <x:c r="N2052" s="2"/>
      <x:c r="O2052" s="2"/>
      <x:c r="P2052" s="2"/>
      <x:c r="Q2052" s="2"/>
      <x:c r="R2052" s="2"/>
    </x:row>
    <x:row r="2053" ht="22" customHeight="1">
      <x:c r="A2053" s="2" t="n">
        <x:v>102047</x:v>
      </x:c>
      <x:c r="B2053" s="10" t="n">
        <x:v>45143</x:v>
      </x:c>
      <x:c r="C2053" s="2" t="str">
        <x:v>Argentina</x:v>
      </x:c>
      <x:c r="D2053" s="2" t="str">
        <x:v>Moda Infantil</x:v>
      </x:c>
      <x:c r="E2053" s="11" t="n">
        <x:v>44</x:v>
      </x:c>
      <x:c r="F2053" s="12" t="n">
        <x:v>175.14</x:v>
      </x:c>
      <x:c r="G2053" s="12" t="n">
        <x:v>7706.16</x:v>
      </x:c>
      <x:c r="H2053" s="13" t="n">
        <x:v>230</x:v>
      </x:c>
      <x:c r="I2053" s="13" t="n">
        <x:f>YEAR(B2053)</x:f>
        <x:v>2023</x:v>
      </x:c>
      <x:c r="J2053" s="13" t="n">
        <x:f>MONTH(B2053)</x:f>
        <x:v>8</x:v>
      </x:c>
      <x:c r="K2053" s="14" t="n">
        <x:f>ROUND(E2053*F2053-G2053,10)</x:f>
        <x:v>0</x:v>
      </x:c>
      <x:c r="L2053" s="2"/>
      <x:c r="M2053" s="2"/>
      <x:c r="N2053" s="2"/>
      <x:c r="O2053" s="2"/>
      <x:c r="P2053" s="2"/>
      <x:c r="Q2053" s="2"/>
      <x:c r="R2053" s="2"/>
    </x:row>
    <x:row r="2054" ht="22" customHeight="1">
      <x:c r="A2054" s="2" t="n">
        <x:v>102048</x:v>
      </x:c>
      <x:c r="B2054" s="10" t="n">
        <x:v>45134</x:v>
      </x:c>
      <x:c r="C2054" s="2" t="str">
        <x:v>Colômbia</x:v>
      </x:c>
      <x:c r="D2054" s="2" t="str">
        <x:v>Moda Feminina</x:v>
      </x:c>
      <x:c r="E2054" s="11" t="n">
        <x:v>35</x:v>
      </x:c>
      <x:c r="F2054" s="12" t="n">
        <x:v>121.57</x:v>
      </x:c>
      <x:c r="G2054" s="12" t="n">
        <x:v>4254.95</x:v>
      </x:c>
      <x:c r="H2054" s="13" t="n">
        <x:v>68</x:v>
      </x:c>
      <x:c r="I2054" s="13" t="n">
        <x:f>YEAR(B2054)</x:f>
        <x:v>2023</x:v>
      </x:c>
      <x:c r="J2054" s="13" t="n">
        <x:f>MONTH(B2054)</x:f>
        <x:v>7</x:v>
      </x:c>
      <x:c r="K2054" s="14" t="n">
        <x:f>ROUND(E2054*F2054-G2054,10)</x:f>
        <x:v>0</x:v>
      </x:c>
      <x:c r="L2054" s="2"/>
      <x:c r="M2054" s="2"/>
      <x:c r="N2054" s="2"/>
      <x:c r="O2054" s="2"/>
      <x:c r="P2054" s="2"/>
      <x:c r="Q2054" s="2"/>
      <x:c r="R2054" s="2"/>
    </x:row>
    <x:row r="2055" ht="22" customHeight="1">
      <x:c r="A2055" s="2" t="n">
        <x:v>102049</x:v>
      </x:c>
      <x:c r="B2055" s="10" t="n">
        <x:v>45384</x:v>
      </x:c>
      <x:c r="C2055" s="2" t="str">
        <x:v>Argentina</x:v>
      </x:c>
      <x:c r="D2055" s="2" t="str">
        <x:v>Moda Masculina</x:v>
      </x:c>
      <x:c r="E2055" s="11" t="n">
        <x:v>14</x:v>
      </x:c>
      <x:c r="F2055" s="12" t="n">
        <x:v>93.85</x:v>
      </x:c>
      <x:c r="G2055" s="12" t="n">
        <x:v>1313.9</x:v>
      </x:c>
      <x:c r="H2055" s="13" t="n">
        <x:v>275</x:v>
      </x:c>
      <x:c r="I2055" s="13" t="n">
        <x:f>YEAR(B2055)</x:f>
        <x:v>2024</x:v>
      </x:c>
      <x:c r="J2055" s="13" t="n">
        <x:f>MONTH(B2055)</x:f>
        <x:v>4</x:v>
      </x:c>
      <x:c r="K2055" s="14" t="n">
        <x:f>ROUND(E2055*F2055-G2055,10)</x:f>
        <x:v>0</x:v>
      </x:c>
      <x:c r="L2055" s="2"/>
      <x:c r="M2055" s="2"/>
      <x:c r="N2055" s="2"/>
      <x:c r="O2055" s="2"/>
      <x:c r="P2055" s="2"/>
      <x:c r="Q2055" s="2"/>
      <x:c r="R2055" s="2"/>
    </x:row>
    <x:row r="2056" ht="22" customHeight="1">
      <x:c r="A2056" s="2" t="n">
        <x:v>102050</x:v>
      </x:c>
      <x:c r="B2056" s="10" t="n">
        <x:v>45225</x:v>
      </x:c>
      <x:c r="C2056" s="2" t="str">
        <x:v>Argentina</x:v>
      </x:c>
      <x:c r="D2056" s="2" t="str">
        <x:v>Acessórios</x:v>
      </x:c>
      <x:c r="E2056" s="11" t="n">
        <x:v>49</x:v>
      </x:c>
      <x:c r="F2056" s="12" t="n">
        <x:v>79.93</x:v>
      </x:c>
      <x:c r="G2056" s="12" t="n">
        <x:v>3916.57</x:v>
      </x:c>
      <x:c r="H2056" s="13" t="n">
        <x:v>144</x:v>
      </x:c>
      <x:c r="I2056" s="13" t="n">
        <x:f>YEAR(B2056)</x:f>
        <x:v>2023</x:v>
      </x:c>
      <x:c r="J2056" s="13" t="n">
        <x:f>MONTH(B2056)</x:f>
        <x:v>10</x:v>
      </x:c>
      <x:c r="K2056" s="14" t="n">
        <x:f>ROUND(E2056*F2056-G2056,10)</x:f>
        <x:v>0</x:v>
      </x:c>
      <x:c r="L2056" s="2"/>
      <x:c r="M2056" s="2"/>
      <x:c r="N2056" s="2"/>
      <x:c r="O2056" s="2"/>
      <x:c r="P2056" s="2"/>
      <x:c r="Q2056" s="2"/>
      <x:c r="R2056" s="2"/>
    </x:row>
    <x:row r="2057" ht="22" customHeight="1">
      <x:c r="A2057" s="2" t="n">
        <x:v>102051</x:v>
      </x:c>
      <x:c r="B2057" s="10" t="n">
        <x:v>45121</x:v>
      </x:c>
      <x:c r="C2057" s="2" t="str">
        <x:v>Colômbia</x:v>
      </x:c>
      <x:c r="D2057" s="2" t="str">
        <x:v>Moda Feminina</x:v>
      </x:c>
      <x:c r="E2057" s="11" t="n">
        <x:v>19</x:v>
      </x:c>
      <x:c r="F2057" s="12" t="n">
        <x:v>42.49</x:v>
      </x:c>
      <x:c r="G2057" s="12" t="n">
        <x:v>807.3100000000001</x:v>
      </x:c>
      <x:c r="H2057" s="13" t="n">
        <x:v>418</x:v>
      </x:c>
      <x:c r="I2057" s="13" t="n">
        <x:f>YEAR(B2057)</x:f>
        <x:v>2023</x:v>
      </x:c>
      <x:c r="J2057" s="13" t="n">
        <x:f>MONTH(B2057)</x:f>
        <x:v>7</x:v>
      </x:c>
      <x:c r="K2057" s="14" t="n">
        <x:f>ROUND(E2057*F2057-G2057,10)</x:f>
        <x:v>0</x:v>
      </x:c>
      <x:c r="L2057" s="2"/>
      <x:c r="M2057" s="2"/>
      <x:c r="N2057" s="2"/>
      <x:c r="O2057" s="2"/>
      <x:c r="P2057" s="2"/>
      <x:c r="Q2057" s="2"/>
      <x:c r="R2057" s="2"/>
    </x:row>
    <x:row r="2058" ht="22" customHeight="1">
      <x:c r="A2058" s="2" t="n">
        <x:v>102052</x:v>
      </x:c>
      <x:c r="B2058" s="10" t="n">
        <x:v>45651</x:v>
      </x:c>
      <x:c r="C2058" s="2" t="str">
        <x:v>Peru</x:v>
      </x:c>
      <x:c r="D2058" s="2" t="str">
        <x:v>Calçados</x:v>
      </x:c>
      <x:c r="E2058" s="11" t="n">
        <x:v>38</x:v>
      </x:c>
      <x:c r="F2058" s="12" t="n">
        <x:v>39.18</x:v>
      </x:c>
      <x:c r="G2058" s="12" t="n">
        <x:v>1488.84</x:v>
      </x:c>
      <x:c r="H2058" s="13" t="n">
        <x:v>346</x:v>
      </x:c>
      <x:c r="I2058" s="13" t="n">
        <x:f>YEAR(B2058)</x:f>
        <x:v>2024</x:v>
      </x:c>
      <x:c r="J2058" s="13" t="n">
        <x:f>MONTH(B2058)</x:f>
        <x:v>12</x:v>
      </x:c>
      <x:c r="K2058" s="14" t="n">
        <x:f>ROUND(E2058*F2058-G2058,10)</x:f>
        <x:v>0</x:v>
      </x:c>
      <x:c r="L2058" s="2"/>
      <x:c r="M2058" s="2"/>
      <x:c r="N2058" s="2"/>
      <x:c r="O2058" s="2"/>
      <x:c r="P2058" s="2"/>
      <x:c r="Q2058" s="2"/>
      <x:c r="R2058" s="2"/>
    </x:row>
    <x:row r="2059" ht="22" customHeight="1">
      <x:c r="A2059" s="2" t="n">
        <x:v>102053</x:v>
      </x:c>
      <x:c r="B2059" s="10" t="n">
        <x:v>45263</x:v>
      </x:c>
      <x:c r="C2059" s="2" t="str">
        <x:v>Argentina</x:v>
      </x:c>
      <x:c r="D2059" s="2" t="str">
        <x:v>Moda Masculina</x:v>
      </x:c>
      <x:c r="E2059" s="11" t="n">
        <x:v>36</x:v>
      </x:c>
      <x:c r="F2059" s="12" t="n">
        <x:v>143.9</x:v>
      </x:c>
      <x:c r="G2059" s="12" t="n">
        <x:v>5180.400000000001</x:v>
      </x:c>
      <x:c r="H2059" s="13" t="n">
        <x:v>130</x:v>
      </x:c>
      <x:c r="I2059" s="13" t="n">
        <x:f>YEAR(B2059)</x:f>
        <x:v>2023</x:v>
      </x:c>
      <x:c r="J2059" s="13" t="n">
        <x:f>MONTH(B2059)</x:f>
        <x:v>12</x:v>
      </x:c>
      <x:c r="K2059" s="14" t="n">
        <x:f>ROUND(E2059*F2059-G2059,10)</x:f>
        <x:v>0</x:v>
      </x:c>
      <x:c r="L2059" s="2"/>
      <x:c r="M2059" s="2"/>
      <x:c r="N2059" s="2"/>
      <x:c r="O2059" s="2"/>
      <x:c r="P2059" s="2"/>
      <x:c r="Q2059" s="2"/>
      <x:c r="R2059" s="2"/>
    </x:row>
    <x:row r="2060" ht="22" customHeight="1">
      <x:c r="A2060" s="2" t="n">
        <x:v>102054</x:v>
      </x:c>
      <x:c r="B2060" s="10" t="n">
        <x:v>44947</x:v>
      </x:c>
      <x:c r="C2060" s="2" t="str">
        <x:v>Chile</x:v>
      </x:c>
      <x:c r="D2060" s="2" t="str">
        <x:v>Moda Feminina</x:v>
      </x:c>
      <x:c r="E2060" s="11" t="n">
        <x:v>7</x:v>
      </x:c>
      <x:c r="F2060" s="12" t="n">
        <x:v>66.76</x:v>
      </x:c>
      <x:c r="G2060" s="12" t="n">
        <x:v>467.3200000000001</x:v>
      </x:c>
      <x:c r="H2060" s="13" t="n">
        <x:v>224</x:v>
      </x:c>
      <x:c r="I2060" s="13" t="n">
        <x:f>YEAR(B2060)</x:f>
        <x:v>2023</x:v>
      </x:c>
      <x:c r="J2060" s="13" t="n">
        <x:f>MONTH(B2060)</x:f>
        <x:v>1</x:v>
      </x:c>
      <x:c r="K2060" s="14" t="n">
        <x:f>ROUND(E2060*F2060-G2060,10)</x:f>
        <x:v>0</x:v>
      </x:c>
      <x:c r="L2060" s="2"/>
      <x:c r="M2060" s="2"/>
      <x:c r="N2060" s="2"/>
      <x:c r="O2060" s="2"/>
      <x:c r="P2060" s="2"/>
      <x:c r="Q2060" s="2"/>
      <x:c r="R2060" s="2"/>
    </x:row>
    <x:row r="2061" ht="22" customHeight="1">
      <x:c r="A2061" s="2" t="n">
        <x:v>102055</x:v>
      </x:c>
      <x:c r="B2061" s="10" t="n">
        <x:v>45585</x:v>
      </x:c>
      <x:c r="C2061" s="2" t="str">
        <x:v>Chile</x:v>
      </x:c>
      <x:c r="D2061" s="2" t="str">
        <x:v>Moda Masculina</x:v>
      </x:c>
      <x:c r="E2061" s="11" t="n">
        <x:v>30</x:v>
      </x:c>
      <x:c r="F2061" s="12" t="n">
        <x:v>65.84</x:v>
      </x:c>
      <x:c r="G2061" s="12" t="n">
        <x:v>1975.2</x:v>
      </x:c>
      <x:c r="H2061" s="13" t="n">
        <x:v>271</x:v>
      </x:c>
      <x:c r="I2061" s="13" t="n">
        <x:f>YEAR(B2061)</x:f>
        <x:v>2024</x:v>
      </x:c>
      <x:c r="J2061" s="13" t="n">
        <x:f>MONTH(B2061)</x:f>
        <x:v>10</x:v>
      </x:c>
      <x:c r="K2061" s="14" t="n">
        <x:f>ROUND(E2061*F2061-G2061,10)</x:f>
        <x:v>0</x:v>
      </x:c>
      <x:c r="L2061" s="2"/>
      <x:c r="M2061" s="2"/>
      <x:c r="N2061" s="2"/>
      <x:c r="O2061" s="2"/>
      <x:c r="P2061" s="2"/>
      <x:c r="Q2061" s="2"/>
      <x:c r="R2061" s="2"/>
    </x:row>
    <x:row r="2062" ht="22" customHeight="1">
      <x:c r="A2062" s="2" t="n">
        <x:v>102056</x:v>
      </x:c>
      <x:c r="B2062" s="10" t="n">
        <x:v>45262</x:v>
      </x:c>
      <x:c r="C2062" s="2" t="str">
        <x:v>Argentina</x:v>
      </x:c>
      <x:c r="D2062" s="2" t="str">
        <x:v>Moda Masculina</x:v>
      </x:c>
      <x:c r="E2062" s="11" t="n">
        <x:v>19</x:v>
      </x:c>
      <x:c r="F2062" s="12" t="n">
        <x:v>199.68</x:v>
      </x:c>
      <x:c r="G2062" s="12" t="n">
        <x:v>3793.92</x:v>
      </x:c>
      <x:c r="H2062" s="13" t="n">
        <x:v>152</x:v>
      </x:c>
      <x:c r="I2062" s="13" t="n">
        <x:f>YEAR(B2062)</x:f>
        <x:v>2023</x:v>
      </x:c>
      <x:c r="J2062" s="13" t="n">
        <x:f>MONTH(B2062)</x:f>
        <x:v>12</x:v>
      </x:c>
      <x:c r="K2062" s="14" t="n">
        <x:f>ROUND(E2062*F2062-G2062,10)</x:f>
        <x:v>0</x:v>
      </x:c>
      <x:c r="L2062" s="2"/>
      <x:c r="M2062" s="2"/>
      <x:c r="N2062" s="2"/>
      <x:c r="O2062" s="2"/>
      <x:c r="P2062" s="2"/>
      <x:c r="Q2062" s="2"/>
      <x:c r="R2062" s="2"/>
    </x:row>
    <x:row r="2063" ht="22" customHeight="1">
      <x:c r="A2063" s="2" t="n">
        <x:v>102057</x:v>
      </x:c>
      <x:c r="B2063" s="10" t="n">
        <x:v>45235</x:v>
      </x:c>
      <x:c r="C2063" s="2" t="str">
        <x:v>Peru</x:v>
      </x:c>
      <x:c r="D2063" s="2" t="str">
        <x:v>Moda Infantil</x:v>
      </x:c>
      <x:c r="E2063" s="11" t="n">
        <x:v>49</x:v>
      </x:c>
      <x:c r="F2063" s="12" t="n">
        <x:v>53.83</x:v>
      </x:c>
      <x:c r="G2063" s="12" t="n">
        <x:v>2637.67</x:v>
      </x:c>
      <x:c r="H2063" s="13" t="n">
        <x:v>103</x:v>
      </x:c>
      <x:c r="I2063" s="13" t="n">
        <x:f>YEAR(B2063)</x:f>
        <x:v>2023</x:v>
      </x:c>
      <x:c r="J2063" s="13" t="n">
        <x:f>MONTH(B2063)</x:f>
        <x:v>11</x:v>
      </x:c>
      <x:c r="K2063" s="14" t="n">
        <x:f>ROUND(E2063*F2063-G2063,10)</x:f>
        <x:v>0</x:v>
      </x:c>
      <x:c r="L2063" s="2"/>
      <x:c r="M2063" s="2"/>
      <x:c r="N2063" s="2"/>
      <x:c r="O2063" s="2"/>
      <x:c r="P2063" s="2"/>
      <x:c r="Q2063" s="2"/>
      <x:c r="R2063" s="2"/>
    </x:row>
    <x:row r="2064" ht="22" customHeight="1">
      <x:c r="A2064" s="2" t="n">
        <x:v>102058</x:v>
      </x:c>
      <x:c r="B2064" s="10" t="n">
        <x:v>45160</x:v>
      </x:c>
      <x:c r="C2064" s="2" t="str">
        <x:v>México</x:v>
      </x:c>
      <x:c r="D2064" s="2" t="str">
        <x:v>Moda Masculina</x:v>
      </x:c>
      <x:c r="E2064" s="11" t="n">
        <x:v>25</x:v>
      </x:c>
      <x:c r="F2064" s="12" t="n">
        <x:v>46.65</x:v>
      </x:c>
      <x:c r="G2064" s="12" t="n">
        <x:v>1166.25</x:v>
      </x:c>
      <x:c r="H2064" s="13" t="n">
        <x:v>232</x:v>
      </x:c>
      <x:c r="I2064" s="13" t="n">
        <x:f>YEAR(B2064)</x:f>
        <x:v>2023</x:v>
      </x:c>
      <x:c r="J2064" s="13" t="n">
        <x:f>MONTH(B2064)</x:f>
        <x:v>8</x:v>
      </x:c>
      <x:c r="K2064" s="14" t="n">
        <x:f>ROUND(E2064*F2064-G2064,10)</x:f>
        <x:v>0</x:v>
      </x:c>
      <x:c r="L2064" s="2"/>
      <x:c r="M2064" s="2"/>
      <x:c r="N2064" s="2"/>
      <x:c r="O2064" s="2"/>
      <x:c r="P2064" s="2"/>
      <x:c r="Q2064" s="2"/>
      <x:c r="R2064" s="2"/>
    </x:row>
    <x:row r="2065" ht="22" customHeight="1">
      <x:c r="A2065" s="2" t="n">
        <x:v>102059</x:v>
      </x:c>
      <x:c r="B2065" s="10" t="n">
        <x:v>44985</x:v>
      </x:c>
      <x:c r="C2065" s="2" t="str">
        <x:v>Colômbia</x:v>
      </x:c>
      <x:c r="D2065" s="2" t="str">
        <x:v>Moda Infantil</x:v>
      </x:c>
      <x:c r="E2065" s="11" t="n">
        <x:v>16</x:v>
      </x:c>
      <x:c r="F2065" s="12" t="n">
        <x:v>37.76</x:v>
      </x:c>
      <x:c r="G2065" s="12" t="n">
        <x:v>604.16</x:v>
      </x:c>
      <x:c r="H2065" s="13" t="n">
        <x:v>400</x:v>
      </x:c>
      <x:c r="I2065" s="13" t="n">
        <x:f>YEAR(B2065)</x:f>
        <x:v>2023</x:v>
      </x:c>
      <x:c r="J2065" s="13" t="n">
        <x:f>MONTH(B2065)</x:f>
        <x:v>2</x:v>
      </x:c>
      <x:c r="K2065" s="14" t="n">
        <x:f>ROUND(E2065*F2065-G2065,10)</x:f>
        <x:v>0</x:v>
      </x:c>
      <x:c r="L2065" s="2"/>
      <x:c r="M2065" s="2"/>
      <x:c r="N2065" s="2"/>
      <x:c r="O2065" s="2"/>
      <x:c r="P2065" s="2"/>
      <x:c r="Q2065" s="2"/>
      <x:c r="R2065" s="2"/>
    </x:row>
    <x:row r="2066" ht="22" customHeight="1">
      <x:c r="A2066" s="2" t="n">
        <x:v>102060</x:v>
      </x:c>
      <x:c r="B2066" s="10" t="n">
        <x:v>45377</x:v>
      </x:c>
      <x:c r="C2066" s="2" t="str">
        <x:v>Chile</x:v>
      </x:c>
      <x:c r="D2066" s="2" t="str">
        <x:v>Acessórios</x:v>
      </x:c>
      <x:c r="E2066" s="11" t="n">
        <x:v>47</x:v>
      </x:c>
      <x:c r="F2066" s="12" t="n">
        <x:v>124.36</x:v>
      </x:c>
      <x:c r="G2066" s="12" t="n">
        <x:v>5844.92</x:v>
      </x:c>
      <x:c r="H2066" s="13" t="n">
        <x:v>452</x:v>
      </x:c>
      <x:c r="I2066" s="13" t="n">
        <x:f>YEAR(B2066)</x:f>
        <x:v>2024</x:v>
      </x:c>
      <x:c r="J2066" s="13" t="n">
        <x:f>MONTH(B2066)</x:f>
        <x:v>3</x:v>
      </x:c>
      <x:c r="K2066" s="14" t="n">
        <x:f>ROUND(E2066*F2066-G2066,10)</x:f>
        <x:v>0</x:v>
      </x:c>
      <x:c r="L2066" s="2"/>
      <x:c r="M2066" s="2"/>
      <x:c r="N2066" s="2"/>
      <x:c r="O2066" s="2"/>
      <x:c r="P2066" s="2"/>
      <x:c r="Q2066" s="2"/>
      <x:c r="R2066" s="2"/>
    </x:row>
    <x:row r="2067" ht="22" customHeight="1">
      <x:c r="A2067" s="2" t="n">
        <x:v>102061</x:v>
      </x:c>
      <x:c r="B2067" s="10" t="n">
        <x:v>45166</x:v>
      </x:c>
      <x:c r="C2067" s="2" t="str">
        <x:v>México</x:v>
      </x:c>
      <x:c r="D2067" s="2" t="str">
        <x:v>Moda Infantil</x:v>
      </x:c>
      <x:c r="E2067" s="11" t="n">
        <x:v>40</x:v>
      </x:c>
      <x:c r="F2067" s="12" t="n">
        <x:v>133.02</x:v>
      </x:c>
      <x:c r="G2067" s="12" t="n">
        <x:v>5320.8</x:v>
      </x:c>
      <x:c r="H2067" s="13" t="n">
        <x:v>367</x:v>
      </x:c>
      <x:c r="I2067" s="13" t="n">
        <x:f>YEAR(B2067)</x:f>
        <x:v>2023</x:v>
      </x:c>
      <x:c r="J2067" s="13" t="n">
        <x:f>MONTH(B2067)</x:f>
        <x:v>8</x:v>
      </x:c>
      <x:c r="K2067" s="14" t="n">
        <x:f>ROUND(E2067*F2067-G2067,10)</x:f>
        <x:v>0</x:v>
      </x:c>
      <x:c r="L2067" s="2"/>
      <x:c r="M2067" s="2"/>
      <x:c r="N2067" s="2"/>
      <x:c r="O2067" s="2"/>
      <x:c r="P2067" s="2"/>
      <x:c r="Q2067" s="2"/>
      <x:c r="R2067" s="2"/>
    </x:row>
    <x:row r="2068" ht="22" customHeight="1">
      <x:c r="A2068" s="2" t="n">
        <x:v>102062</x:v>
      </x:c>
      <x:c r="B2068" s="10" t="n">
        <x:v>45301</x:v>
      </x:c>
      <x:c r="C2068" s="2" t="str">
        <x:v>Argentina</x:v>
      </x:c>
      <x:c r="D2068" s="2" t="str">
        <x:v>Calçados</x:v>
      </x:c>
      <x:c r="E2068" s="11" t="n">
        <x:v>8</x:v>
      </x:c>
      <x:c r="F2068" s="12" t="n">
        <x:v>85.74</x:v>
      </x:c>
      <x:c r="G2068" s="12" t="n">
        <x:v>685.92</x:v>
      </x:c>
      <x:c r="H2068" s="13" t="n">
        <x:v>404</x:v>
      </x:c>
      <x:c r="I2068" s="13" t="n">
        <x:f>YEAR(B2068)</x:f>
        <x:v>2024</x:v>
      </x:c>
      <x:c r="J2068" s="13" t="n">
        <x:f>MONTH(B2068)</x:f>
        <x:v>1</x:v>
      </x:c>
      <x:c r="K2068" s="14" t="n">
        <x:f>ROUND(E2068*F2068-G2068,10)</x:f>
        <x:v>0</x:v>
      </x:c>
      <x:c r="L2068" s="2"/>
      <x:c r="M2068" s="2"/>
      <x:c r="N2068" s="2"/>
      <x:c r="O2068" s="2"/>
      <x:c r="P2068" s="2"/>
      <x:c r="Q2068" s="2"/>
      <x:c r="R2068" s="2"/>
    </x:row>
    <x:row r="2069" ht="22" customHeight="1">
      <x:c r="A2069" s="2" t="n">
        <x:v>102063</x:v>
      </x:c>
      <x:c r="B2069" s="10" t="n">
        <x:v>44976</x:v>
      </x:c>
      <x:c r="C2069" s="2" t="str">
        <x:v>México</x:v>
      </x:c>
      <x:c r="D2069" s="2" t="str">
        <x:v>Moda Feminina</x:v>
      </x:c>
      <x:c r="E2069" s="11" t="n">
        <x:v>18</x:v>
      </x:c>
      <x:c r="F2069" s="12" t="n">
        <x:v>116.37</x:v>
      </x:c>
      <x:c r="G2069" s="12" t="n">
        <x:v>2094.66</x:v>
      </x:c>
      <x:c r="H2069" s="13" t="n">
        <x:v>398</x:v>
      </x:c>
      <x:c r="I2069" s="13" t="n">
        <x:f>YEAR(B2069)</x:f>
        <x:v>2023</x:v>
      </x:c>
      <x:c r="J2069" s="13" t="n">
        <x:f>MONTH(B2069)</x:f>
        <x:v>2</x:v>
      </x:c>
      <x:c r="K2069" s="14" t="n">
        <x:f>ROUND(E2069*F2069-G2069,10)</x:f>
        <x:v>0</x:v>
      </x:c>
      <x:c r="L2069" s="2"/>
      <x:c r="M2069" s="2"/>
      <x:c r="N2069" s="2"/>
      <x:c r="O2069" s="2"/>
      <x:c r="P2069" s="2"/>
      <x:c r="Q2069" s="2"/>
      <x:c r="R2069" s="2"/>
    </x:row>
    <x:row r="2070" ht="22" customHeight="1">
      <x:c r="A2070" s="2" t="n">
        <x:v>102064</x:v>
      </x:c>
      <x:c r="B2070" s="10" t="n">
        <x:v>45006</x:v>
      </x:c>
      <x:c r="C2070" s="2" t="str">
        <x:v>Brasil</x:v>
      </x:c>
      <x:c r="D2070" s="2" t="str">
        <x:v>Acessórios</x:v>
      </x:c>
      <x:c r="E2070" s="11" t="n">
        <x:v>28</x:v>
      </x:c>
      <x:c r="F2070" s="12" t="n">
        <x:v>161.91</x:v>
      </x:c>
      <x:c r="G2070" s="12" t="n">
        <x:v>4533.48</x:v>
      </x:c>
      <x:c r="H2070" s="13" t="n">
        <x:v>492</x:v>
      </x:c>
      <x:c r="I2070" s="13" t="n">
        <x:f>YEAR(B2070)</x:f>
        <x:v>2023</x:v>
      </x:c>
      <x:c r="J2070" s="13" t="n">
        <x:f>MONTH(B2070)</x:f>
        <x:v>3</x:v>
      </x:c>
      <x:c r="K2070" s="14" t="n">
        <x:f>ROUND(E2070*F2070-G2070,10)</x:f>
        <x:v>0</x:v>
      </x:c>
      <x:c r="L2070" s="2"/>
      <x:c r="M2070" s="2"/>
      <x:c r="N2070" s="2"/>
      <x:c r="O2070" s="2"/>
      <x:c r="P2070" s="2"/>
      <x:c r="Q2070" s="2"/>
      <x:c r="R2070" s="2"/>
    </x:row>
    <x:row r="2071" ht="22" customHeight="1">
      <x:c r="A2071" s="2" t="n">
        <x:v>102065</x:v>
      </x:c>
      <x:c r="B2071" s="10" t="n">
        <x:v>45375</x:v>
      </x:c>
      <x:c r="C2071" s="2" t="str">
        <x:v>Chile</x:v>
      </x:c>
      <x:c r="D2071" s="2" t="str">
        <x:v>Acessórios</x:v>
      </x:c>
      <x:c r="E2071" s="11" t="n">
        <x:v>16</x:v>
      </x:c>
      <x:c r="F2071" s="12" t="n">
        <x:v>167.26</x:v>
      </x:c>
      <x:c r="G2071" s="12" t="n">
        <x:v>2676.16</x:v>
      </x:c>
      <x:c r="H2071" s="13" t="n">
        <x:v>370</x:v>
      </x:c>
      <x:c r="I2071" s="13" t="n">
        <x:f>YEAR(B2071)</x:f>
        <x:v>2024</x:v>
      </x:c>
      <x:c r="J2071" s="13" t="n">
        <x:f>MONTH(B2071)</x:f>
        <x:v>3</x:v>
      </x:c>
      <x:c r="K2071" s="14" t="n">
        <x:f>ROUND(E2071*F2071-G2071,10)</x:f>
        <x:v>0</x:v>
      </x:c>
      <x:c r="L2071" s="2"/>
      <x:c r="M2071" s="2"/>
      <x:c r="N2071" s="2"/>
      <x:c r="O2071" s="2"/>
      <x:c r="P2071" s="2"/>
      <x:c r="Q2071" s="2"/>
      <x:c r="R2071" s="2"/>
    </x:row>
    <x:row r="2072" ht="22" customHeight="1">
      <x:c r="A2072" s="2" t="n">
        <x:v>102066</x:v>
      </x:c>
      <x:c r="B2072" s="10" t="n">
        <x:v>45410</x:v>
      </x:c>
      <x:c r="C2072" s="2" t="str">
        <x:v>Argentina</x:v>
      </x:c>
      <x:c r="D2072" s="2" t="str">
        <x:v>Calçados</x:v>
      </x:c>
      <x:c r="E2072" s="11" t="n">
        <x:v>19</x:v>
      </x:c>
      <x:c r="F2072" s="12" t="n">
        <x:v>192.42</x:v>
      </x:c>
      <x:c r="G2072" s="12" t="n">
        <x:v>3655.98</x:v>
      </x:c>
      <x:c r="H2072" s="13" t="n">
        <x:v>117</x:v>
      </x:c>
      <x:c r="I2072" s="13" t="n">
        <x:f>YEAR(B2072)</x:f>
        <x:v>2024</x:v>
      </x:c>
      <x:c r="J2072" s="13" t="n">
        <x:f>MONTH(B2072)</x:f>
        <x:v>4</x:v>
      </x:c>
      <x:c r="K2072" s="14" t="n">
        <x:f>ROUND(E2072*F2072-G2072,10)</x:f>
        <x:v>0</x:v>
      </x:c>
      <x:c r="L2072" s="2"/>
      <x:c r="M2072" s="2"/>
      <x:c r="N2072" s="2"/>
      <x:c r="O2072" s="2"/>
      <x:c r="P2072" s="2"/>
      <x:c r="Q2072" s="2"/>
      <x:c r="R2072" s="2"/>
    </x:row>
    <x:row r="2073" ht="22" customHeight="1">
      <x:c r="A2073" s="2" t="n">
        <x:v>102067</x:v>
      </x:c>
      <x:c r="B2073" s="10" t="n">
        <x:v>45368</x:v>
      </x:c>
      <x:c r="C2073" s="2" t="str">
        <x:v>Colômbia</x:v>
      </x:c>
      <x:c r="D2073" s="2" t="str">
        <x:v>Moda Infantil</x:v>
      </x:c>
      <x:c r="E2073" s="11" t="n">
        <x:v>42</x:v>
      </x:c>
      <x:c r="F2073" s="12" t="n">
        <x:v>168.37</x:v>
      </x:c>
      <x:c r="G2073" s="12" t="n">
        <x:v>7071.54</x:v>
      </x:c>
      <x:c r="H2073" s="13" t="n">
        <x:v>77</x:v>
      </x:c>
      <x:c r="I2073" s="13" t="n">
        <x:f>YEAR(B2073)</x:f>
        <x:v>2024</x:v>
      </x:c>
      <x:c r="J2073" s="13" t="n">
        <x:f>MONTH(B2073)</x:f>
        <x:v>3</x:v>
      </x:c>
      <x:c r="K2073" s="14" t="n">
        <x:f>ROUND(E2073*F2073-G2073,10)</x:f>
        <x:v>0</x:v>
      </x:c>
      <x:c r="L2073" s="2"/>
      <x:c r="M2073" s="2"/>
      <x:c r="N2073" s="2"/>
      <x:c r="O2073" s="2"/>
      <x:c r="P2073" s="2"/>
      <x:c r="Q2073" s="2"/>
      <x:c r="R2073" s="2"/>
    </x:row>
    <x:row r="2074" ht="22" customHeight="1">
      <x:c r="A2074" s="2" t="n">
        <x:v>102068</x:v>
      </x:c>
      <x:c r="B2074" s="10" t="n">
        <x:v>45151</x:v>
      </x:c>
      <x:c r="C2074" s="2" t="str">
        <x:v>Peru</x:v>
      </x:c>
      <x:c r="D2074" s="2" t="str">
        <x:v>Moda Feminina</x:v>
      </x:c>
      <x:c r="E2074" s="11" t="n">
        <x:v>17</x:v>
      </x:c>
      <x:c r="F2074" s="12" t="n">
        <x:v>121.67</x:v>
      </x:c>
      <x:c r="G2074" s="12" t="n">
        <x:v>2068.39</x:v>
      </x:c>
      <x:c r="H2074" s="13" t="n">
        <x:v>323</x:v>
      </x:c>
      <x:c r="I2074" s="13" t="n">
        <x:f>YEAR(B2074)</x:f>
        <x:v>2023</x:v>
      </x:c>
      <x:c r="J2074" s="13" t="n">
        <x:f>MONTH(B2074)</x:f>
        <x:v>8</x:v>
      </x:c>
      <x:c r="K2074" s="14" t="n">
        <x:f>ROUND(E2074*F2074-G2074,10)</x:f>
        <x:v>0</x:v>
      </x:c>
      <x:c r="L2074" s="2"/>
      <x:c r="M2074" s="2"/>
      <x:c r="N2074" s="2"/>
      <x:c r="O2074" s="2"/>
      <x:c r="P2074" s="2"/>
      <x:c r="Q2074" s="2"/>
      <x:c r="R2074" s="2"/>
    </x:row>
    <x:row r="2075" ht="22" customHeight="1">
      <x:c r="A2075" s="2" t="n">
        <x:v>102069</x:v>
      </x:c>
      <x:c r="B2075" s="10" t="n">
        <x:v>45300</x:v>
      </x:c>
      <x:c r="C2075" s="2" t="str">
        <x:v>Argentina</x:v>
      </x:c>
      <x:c r="D2075" s="2" t="str">
        <x:v>Moda Infantil</x:v>
      </x:c>
      <x:c r="E2075" s="11" t="n">
        <x:v>45</x:v>
      </x:c>
      <x:c r="F2075" s="12" t="n">
        <x:v>52.34</x:v>
      </x:c>
      <x:c r="G2075" s="12" t="n">
        <x:v>2355.3</x:v>
      </x:c>
      <x:c r="H2075" s="13" t="n">
        <x:v>331</x:v>
      </x:c>
      <x:c r="I2075" s="13" t="n">
        <x:f>YEAR(B2075)</x:f>
        <x:v>2024</x:v>
      </x:c>
      <x:c r="J2075" s="13" t="n">
        <x:f>MONTH(B2075)</x:f>
        <x:v>1</x:v>
      </x:c>
      <x:c r="K2075" s="14" t="n">
        <x:f>ROUND(E2075*F2075-G2075,10)</x:f>
        <x:v>0</x:v>
      </x:c>
      <x:c r="L2075" s="2"/>
      <x:c r="M2075" s="2"/>
      <x:c r="N2075" s="2"/>
      <x:c r="O2075" s="2"/>
      <x:c r="P2075" s="2"/>
      <x:c r="Q2075" s="2"/>
      <x:c r="R2075" s="2"/>
    </x:row>
    <x:row r="2076" ht="22" customHeight="1">
      <x:c r="A2076" s="2" t="n">
        <x:v>102070</x:v>
      </x:c>
      <x:c r="B2076" s="10" t="n">
        <x:v>45495</x:v>
      </x:c>
      <x:c r="C2076" s="2" t="str">
        <x:v>Colômbia</x:v>
      </x:c>
      <x:c r="D2076" s="2" t="str">
        <x:v>Moda Masculina</x:v>
      </x:c>
      <x:c r="E2076" s="11" t="n">
        <x:v>13</x:v>
      </x:c>
      <x:c r="F2076" s="12" t="n">
        <x:v>37.96</x:v>
      </x:c>
      <x:c r="G2076" s="12" t="n">
        <x:v>493.48</x:v>
      </x:c>
      <x:c r="H2076" s="13" t="n">
        <x:v>409</x:v>
      </x:c>
      <x:c r="I2076" s="13" t="n">
        <x:f>YEAR(B2076)</x:f>
        <x:v>2024</x:v>
      </x:c>
      <x:c r="J2076" s="13" t="n">
        <x:f>MONTH(B2076)</x:f>
        <x:v>7</x:v>
      </x:c>
      <x:c r="K2076" s="14" t="n">
        <x:f>ROUND(E2076*F2076-G2076,10)</x:f>
        <x:v>0</x:v>
      </x:c>
      <x:c r="L2076" s="2"/>
      <x:c r="M2076" s="2"/>
      <x:c r="N2076" s="2"/>
      <x:c r="O2076" s="2"/>
      <x:c r="P2076" s="2"/>
      <x:c r="Q2076" s="2"/>
      <x:c r="R2076" s="2"/>
    </x:row>
    <x:row r="2077" ht="22" customHeight="1">
      <x:c r="A2077" s="2" t="n">
        <x:v>102071</x:v>
      </x:c>
      <x:c r="B2077" s="10" t="n">
        <x:v>45327</x:v>
      </x:c>
      <x:c r="C2077" s="2" t="str">
        <x:v>Peru</x:v>
      </x:c>
      <x:c r="D2077" s="2" t="str">
        <x:v>Moda Infantil</x:v>
      </x:c>
      <x:c r="E2077" s="11" t="n">
        <x:v>7</x:v>
      </x:c>
      <x:c r="F2077" s="12" t="n">
        <x:v>29.81</x:v>
      </x:c>
      <x:c r="G2077" s="12" t="n">
        <x:v>208.67</x:v>
      </x:c>
      <x:c r="H2077" s="13" t="n">
        <x:v>452</x:v>
      </x:c>
      <x:c r="I2077" s="13" t="n">
        <x:f>YEAR(B2077)</x:f>
        <x:v>2024</x:v>
      </x:c>
      <x:c r="J2077" s="13" t="n">
        <x:f>MONTH(B2077)</x:f>
        <x:v>2</x:v>
      </x:c>
      <x:c r="K2077" s="14" t="n">
        <x:f>ROUND(E2077*F2077-G2077,10)</x:f>
        <x:v>0</x:v>
      </x:c>
      <x:c r="L2077" s="2"/>
      <x:c r="M2077" s="2"/>
      <x:c r="N2077" s="2"/>
      <x:c r="O2077" s="2"/>
      <x:c r="P2077" s="2"/>
      <x:c r="Q2077" s="2"/>
      <x:c r="R2077" s="2"/>
    </x:row>
    <x:row r="2078" ht="22" customHeight="1">
      <x:c r="A2078" s="2" t="n">
        <x:v>102072</x:v>
      </x:c>
      <x:c r="B2078" s="10" t="n">
        <x:v>44976</x:v>
      </x:c>
      <x:c r="C2078" s="2" t="str">
        <x:v>Peru</x:v>
      </x:c>
      <x:c r="D2078" s="2" t="str">
        <x:v>Acessórios</x:v>
      </x:c>
      <x:c r="E2078" s="11" t="n">
        <x:v>27</x:v>
      </x:c>
      <x:c r="F2078" s="12" t="n">
        <x:v>139.97</x:v>
      </x:c>
      <x:c r="G2078" s="12" t="n">
        <x:v>3779.19</x:v>
      </x:c>
      <x:c r="H2078" s="13" t="n">
        <x:v>360</x:v>
      </x:c>
      <x:c r="I2078" s="13" t="n">
        <x:f>YEAR(B2078)</x:f>
        <x:v>2023</x:v>
      </x:c>
      <x:c r="J2078" s="13" t="n">
        <x:f>MONTH(B2078)</x:f>
        <x:v>2</x:v>
      </x:c>
      <x:c r="K2078" s="14" t="n">
        <x:f>ROUND(E2078*F2078-G2078,10)</x:f>
        <x:v>0</x:v>
      </x:c>
      <x:c r="L2078" s="2"/>
      <x:c r="M2078" s="2"/>
      <x:c r="N2078" s="2"/>
      <x:c r="O2078" s="2"/>
      <x:c r="P2078" s="2"/>
      <x:c r="Q2078" s="2"/>
      <x:c r="R2078" s="2"/>
    </x:row>
    <x:row r="2079" ht="22" customHeight="1">
      <x:c r="A2079" s="2" t="n">
        <x:v>102073</x:v>
      </x:c>
      <x:c r="B2079" s="10" t="n">
        <x:v>45393</x:v>
      </x:c>
      <x:c r="C2079" s="2" t="str">
        <x:v>Argentina</x:v>
      </x:c>
      <x:c r="D2079" s="2" t="str">
        <x:v>Moda Feminina</x:v>
      </x:c>
      <x:c r="E2079" s="11" t="n">
        <x:v>10</x:v>
      </x:c>
      <x:c r="F2079" s="12" t="n">
        <x:v>165.36</x:v>
      </x:c>
      <x:c r="G2079" s="12" t="n">
        <x:v>1653.6</x:v>
      </x:c>
      <x:c r="H2079" s="13" t="n">
        <x:v>168</x:v>
      </x:c>
      <x:c r="I2079" s="13" t="n">
        <x:f>YEAR(B2079)</x:f>
        <x:v>2024</x:v>
      </x:c>
      <x:c r="J2079" s="13" t="n">
        <x:f>MONTH(B2079)</x:f>
        <x:v>4</x:v>
      </x:c>
      <x:c r="K2079" s="14" t="n">
        <x:f>ROUND(E2079*F2079-G2079,10)</x:f>
        <x:v>0</x:v>
      </x:c>
      <x:c r="L2079" s="2"/>
      <x:c r="M2079" s="2"/>
      <x:c r="N2079" s="2"/>
      <x:c r="O2079" s="2"/>
      <x:c r="P2079" s="2"/>
      <x:c r="Q2079" s="2"/>
      <x:c r="R2079" s="2"/>
    </x:row>
    <x:row r="2080" ht="22" customHeight="1">
      <x:c r="A2080" s="2" t="n">
        <x:v>102074</x:v>
      </x:c>
      <x:c r="B2080" s="10" t="n">
        <x:v>45343</x:v>
      </x:c>
      <x:c r="C2080" s="2" t="str">
        <x:v>México</x:v>
      </x:c>
      <x:c r="D2080" s="2" t="str">
        <x:v>Moda Infantil</x:v>
      </x:c>
      <x:c r="E2080" s="11" t="n">
        <x:v>34</x:v>
      </x:c>
      <x:c r="F2080" s="12" t="n">
        <x:v>111.56</x:v>
      </x:c>
      <x:c r="G2080" s="12" t="n">
        <x:v>3793.04</x:v>
      </x:c>
      <x:c r="H2080" s="13" t="n">
        <x:v>429</x:v>
      </x:c>
      <x:c r="I2080" s="13" t="n">
        <x:f>YEAR(B2080)</x:f>
        <x:v>2024</x:v>
      </x:c>
      <x:c r="J2080" s="13" t="n">
        <x:f>MONTH(B2080)</x:f>
        <x:v>2</x:v>
      </x:c>
      <x:c r="K2080" s="14" t="n">
        <x:f>ROUND(E2080*F2080-G2080,10)</x:f>
        <x:v>0</x:v>
      </x:c>
      <x:c r="L2080" s="2"/>
      <x:c r="M2080" s="2"/>
      <x:c r="N2080" s="2"/>
      <x:c r="O2080" s="2"/>
      <x:c r="P2080" s="2"/>
      <x:c r="Q2080" s="2"/>
      <x:c r="R2080" s="2"/>
    </x:row>
    <x:row r="2081" ht="22" customHeight="1">
      <x:c r="A2081" s="2" t="n">
        <x:v>102075</x:v>
      </x:c>
      <x:c r="B2081" s="10" t="n">
        <x:v>45001</x:v>
      </x:c>
      <x:c r="C2081" s="2" t="str">
        <x:v>México</x:v>
      </x:c>
      <x:c r="D2081" s="2" t="str">
        <x:v>Moda Feminina</x:v>
      </x:c>
      <x:c r="E2081" s="11" t="n">
        <x:v>36</x:v>
      </x:c>
      <x:c r="F2081" s="12" t="n">
        <x:v>29.85</x:v>
      </x:c>
      <x:c r="G2081" s="12" t="n">
        <x:v>1074.6</x:v>
      </x:c>
      <x:c r="H2081" s="13" t="n">
        <x:v>490</x:v>
      </x:c>
      <x:c r="I2081" s="13" t="n">
        <x:f>YEAR(B2081)</x:f>
        <x:v>2023</x:v>
      </x:c>
      <x:c r="J2081" s="13" t="n">
        <x:f>MONTH(B2081)</x:f>
        <x:v>3</x:v>
      </x:c>
      <x:c r="K2081" s="14" t="n">
        <x:f>ROUND(E2081*F2081-G2081,10)</x:f>
        <x:v>0</x:v>
      </x:c>
      <x:c r="L2081" s="2"/>
      <x:c r="M2081" s="2"/>
      <x:c r="N2081" s="2"/>
      <x:c r="O2081" s="2"/>
      <x:c r="P2081" s="2"/>
      <x:c r="Q2081" s="2"/>
      <x:c r="R2081" s="2"/>
    </x:row>
    <x:row r="2082" ht="22" customHeight="1">
      <x:c r="A2082" s="2" t="n">
        <x:v>102076</x:v>
      </x:c>
      <x:c r="B2082" s="10" t="n">
        <x:v>44971</x:v>
      </x:c>
      <x:c r="C2082" s="2" t="str">
        <x:v>Peru</x:v>
      </x:c>
      <x:c r="D2082" s="2" t="str">
        <x:v>Moda Feminina</x:v>
      </x:c>
      <x:c r="E2082" s="11" t="n">
        <x:v>25</x:v>
      </x:c>
      <x:c r="F2082" s="12" t="n">
        <x:v>116.38</x:v>
      </x:c>
      <x:c r="G2082" s="12" t="n">
        <x:v>2909.5</x:v>
      </x:c>
      <x:c r="H2082" s="13" t="n">
        <x:v>183</x:v>
      </x:c>
      <x:c r="I2082" s="13" t="n">
        <x:f>YEAR(B2082)</x:f>
        <x:v>2023</x:v>
      </x:c>
      <x:c r="J2082" s="13" t="n">
        <x:f>MONTH(B2082)</x:f>
        <x:v>2</x:v>
      </x:c>
      <x:c r="K2082" s="14" t="n">
        <x:f>ROUND(E2082*F2082-G2082,10)</x:f>
        <x:v>0</x:v>
      </x:c>
      <x:c r="L2082" s="2"/>
      <x:c r="M2082" s="2"/>
      <x:c r="N2082" s="2"/>
      <x:c r="O2082" s="2"/>
      <x:c r="P2082" s="2"/>
      <x:c r="Q2082" s="2"/>
      <x:c r="R2082" s="2"/>
    </x:row>
    <x:row r="2083" ht="22" customHeight="1">
      <x:c r="A2083" s="2" t="n">
        <x:v>102077</x:v>
      </x:c>
      <x:c r="B2083" s="10" t="n">
        <x:v>45120</x:v>
      </x:c>
      <x:c r="C2083" s="2" t="str">
        <x:v>México</x:v>
      </x:c>
      <x:c r="D2083" s="2" t="str">
        <x:v>Moda Masculina</x:v>
      </x:c>
      <x:c r="E2083" s="11" t="n">
        <x:v>6</x:v>
      </x:c>
      <x:c r="F2083" s="12" t="n">
        <x:v>188.43</x:v>
      </x:c>
      <x:c r="G2083" s="12" t="n">
        <x:v>1130.58</x:v>
      </x:c>
      <x:c r="H2083" s="13" t="n">
        <x:v>178</x:v>
      </x:c>
      <x:c r="I2083" s="13" t="n">
        <x:f>YEAR(B2083)</x:f>
        <x:v>2023</x:v>
      </x:c>
      <x:c r="J2083" s="13" t="n">
        <x:f>MONTH(B2083)</x:f>
        <x:v>7</x:v>
      </x:c>
      <x:c r="K2083" s="14" t="n">
        <x:f>ROUND(E2083*F2083-G2083,10)</x:f>
        <x:v>0</x:v>
      </x:c>
      <x:c r="L2083" s="2"/>
      <x:c r="M2083" s="2"/>
      <x:c r="N2083" s="2"/>
      <x:c r="O2083" s="2"/>
      <x:c r="P2083" s="2"/>
      <x:c r="Q2083" s="2"/>
      <x:c r="R2083" s="2"/>
    </x:row>
    <x:row r="2084" ht="22" customHeight="1">
      <x:c r="A2084" s="2" t="n">
        <x:v>102078</x:v>
      </x:c>
      <x:c r="B2084" s="10" t="n">
        <x:v>45501</x:v>
      </x:c>
      <x:c r="C2084" s="2" t="str">
        <x:v>Brasil</x:v>
      </x:c>
      <x:c r="D2084" s="2" t="str">
        <x:v>Moda Masculina</x:v>
      </x:c>
      <x:c r="E2084" s="11" t="n">
        <x:v>24</x:v>
      </x:c>
      <x:c r="F2084" s="12" t="n">
        <x:v>127.57</x:v>
      </x:c>
      <x:c r="G2084" s="12" t="n">
        <x:v>3061.68</x:v>
      </x:c>
      <x:c r="H2084" s="13" t="n">
        <x:v>57</x:v>
      </x:c>
      <x:c r="I2084" s="13" t="n">
        <x:f>YEAR(B2084)</x:f>
        <x:v>2024</x:v>
      </x:c>
      <x:c r="J2084" s="13" t="n">
        <x:f>MONTH(B2084)</x:f>
        <x:v>7</x:v>
      </x:c>
      <x:c r="K2084" s="14" t="n">
        <x:f>ROUND(E2084*F2084-G2084,10)</x:f>
        <x:v>0</x:v>
      </x:c>
      <x:c r="L2084" s="2"/>
      <x:c r="M2084" s="2"/>
      <x:c r="N2084" s="2"/>
      <x:c r="O2084" s="2"/>
      <x:c r="P2084" s="2"/>
      <x:c r="Q2084" s="2"/>
      <x:c r="R2084" s="2"/>
    </x:row>
    <x:row r="2085" ht="22" customHeight="1">
      <x:c r="A2085" s="2" t="n">
        <x:v>102079</x:v>
      </x:c>
      <x:c r="B2085" s="10" t="n">
        <x:v>45248</x:v>
      </x:c>
      <x:c r="C2085" s="2" t="str">
        <x:v>Peru</x:v>
      </x:c>
      <x:c r="D2085" s="2" t="str">
        <x:v>Acessórios</x:v>
      </x:c>
      <x:c r="E2085" s="11" t="n">
        <x:v>18</x:v>
      </x:c>
      <x:c r="F2085" s="12" t="n">
        <x:v>165.7</x:v>
      </x:c>
      <x:c r="G2085" s="12" t="n">
        <x:v>2982.6</x:v>
      </x:c>
      <x:c r="H2085" s="13" t="n">
        <x:v>100</x:v>
      </x:c>
      <x:c r="I2085" s="13" t="n">
        <x:f>YEAR(B2085)</x:f>
        <x:v>2023</x:v>
      </x:c>
      <x:c r="J2085" s="13" t="n">
        <x:f>MONTH(B2085)</x:f>
        <x:v>11</x:v>
      </x:c>
      <x:c r="K2085" s="14" t="n">
        <x:f>ROUND(E2085*F2085-G2085,10)</x:f>
        <x:v>0</x:v>
      </x:c>
      <x:c r="L2085" s="2"/>
      <x:c r="M2085" s="2"/>
      <x:c r="N2085" s="2"/>
      <x:c r="O2085" s="2"/>
      <x:c r="P2085" s="2"/>
      <x:c r="Q2085" s="2"/>
      <x:c r="R2085" s="2"/>
    </x:row>
    <x:row r="2086" ht="22" customHeight="1">
      <x:c r="A2086" s="2" t="n">
        <x:v>102080</x:v>
      </x:c>
      <x:c r="B2086" s="10" t="n">
        <x:v>45428</x:v>
      </x:c>
      <x:c r="C2086" s="2" t="str">
        <x:v>Peru</x:v>
      </x:c>
      <x:c r="D2086" s="2" t="str">
        <x:v>Calçados</x:v>
      </x:c>
      <x:c r="E2086" s="11" t="n">
        <x:v>23</x:v>
      </x:c>
      <x:c r="F2086" s="12" t="n">
        <x:v>164.03</x:v>
      </x:c>
      <x:c r="G2086" s="12" t="n">
        <x:v>3772.69</x:v>
      </x:c>
      <x:c r="H2086" s="13" t="n">
        <x:v>390</x:v>
      </x:c>
      <x:c r="I2086" s="13" t="n">
        <x:f>YEAR(B2086)</x:f>
        <x:v>2024</x:v>
      </x:c>
      <x:c r="J2086" s="13" t="n">
        <x:f>MONTH(B2086)</x:f>
        <x:v>5</x:v>
      </x:c>
      <x:c r="K2086" s="14" t="n">
        <x:f>ROUND(E2086*F2086-G2086,10)</x:f>
        <x:v>0</x:v>
      </x:c>
      <x:c r="L2086" s="2"/>
      <x:c r="M2086" s="2"/>
      <x:c r="N2086" s="2"/>
      <x:c r="O2086" s="2"/>
      <x:c r="P2086" s="2"/>
      <x:c r="Q2086" s="2"/>
      <x:c r="R2086" s="2"/>
    </x:row>
    <x:row r="2087" ht="22" customHeight="1">
      <x:c r="A2087" s="2" t="n">
        <x:v>102081</x:v>
      </x:c>
      <x:c r="B2087" s="10" t="n">
        <x:v>45200</x:v>
      </x:c>
      <x:c r="C2087" s="2" t="str">
        <x:v>Colômbia</x:v>
      </x:c>
      <x:c r="D2087" s="2" t="str">
        <x:v>Moda Feminina</x:v>
      </x:c>
      <x:c r="E2087" s="11" t="n">
        <x:v>6</x:v>
      </x:c>
      <x:c r="F2087" s="12" t="n">
        <x:v>187.78</x:v>
      </x:c>
      <x:c r="G2087" s="12" t="n">
        <x:v>1126.68</x:v>
      </x:c>
      <x:c r="H2087" s="13" t="n">
        <x:v>330</x:v>
      </x:c>
      <x:c r="I2087" s="13" t="n">
        <x:f>YEAR(B2087)</x:f>
        <x:v>2023</x:v>
      </x:c>
      <x:c r="J2087" s="13" t="n">
        <x:f>MONTH(B2087)</x:f>
        <x:v>10</x:v>
      </x:c>
      <x:c r="K2087" s="14" t="n">
        <x:f>ROUND(E2087*F2087-G2087,10)</x:f>
        <x:v>0</x:v>
      </x:c>
      <x:c r="L2087" s="2"/>
      <x:c r="M2087" s="2"/>
      <x:c r="N2087" s="2"/>
      <x:c r="O2087" s="2"/>
      <x:c r="P2087" s="2"/>
      <x:c r="Q2087" s="2"/>
      <x:c r="R2087" s="2"/>
    </x:row>
    <x:row r="2088" ht="22" customHeight="1">
      <x:c r="A2088" s="2" t="n">
        <x:v>102082</x:v>
      </x:c>
      <x:c r="B2088" s="10" t="n">
        <x:v>45226</x:v>
      </x:c>
      <x:c r="C2088" s="2" t="str">
        <x:v>México</x:v>
      </x:c>
      <x:c r="D2088" s="2" t="str">
        <x:v>Calçados</x:v>
      </x:c>
      <x:c r="E2088" s="11" t="n">
        <x:v>29</x:v>
      </x:c>
      <x:c r="F2088" s="12" t="n">
        <x:v>158.64</x:v>
      </x:c>
      <x:c r="G2088" s="12" t="n">
        <x:v>4600.559999999999</x:v>
      </x:c>
      <x:c r="H2088" s="13" t="n">
        <x:v>224</x:v>
      </x:c>
      <x:c r="I2088" s="13" t="n">
        <x:f>YEAR(B2088)</x:f>
        <x:v>2023</x:v>
      </x:c>
      <x:c r="J2088" s="13" t="n">
        <x:f>MONTH(B2088)</x:f>
        <x:v>10</x:v>
      </x:c>
      <x:c r="K2088" s="14" t="n">
        <x:f>ROUND(E2088*F2088-G2088,10)</x:f>
        <x:v>0</x:v>
      </x:c>
      <x:c r="L2088" s="2"/>
      <x:c r="M2088" s="2"/>
      <x:c r="N2088" s="2"/>
      <x:c r="O2088" s="2"/>
      <x:c r="P2088" s="2"/>
      <x:c r="Q2088" s="2"/>
      <x:c r="R2088" s="2"/>
    </x:row>
    <x:row r="2089" ht="22" customHeight="1">
      <x:c r="A2089" s="2" t="n">
        <x:v>102083</x:v>
      </x:c>
      <x:c r="B2089" s="10" t="n">
        <x:v>45394</x:v>
      </x:c>
      <x:c r="C2089" s="2" t="str">
        <x:v>Peru</x:v>
      </x:c>
      <x:c r="D2089" s="2" t="str">
        <x:v>Acessórios</x:v>
      </x:c>
      <x:c r="E2089" s="11" t="n">
        <x:v>25</x:v>
      </x:c>
      <x:c r="F2089" s="12" t="n">
        <x:v>154.59</x:v>
      </x:c>
      <x:c r="G2089" s="12" t="n">
        <x:v>3864.75</x:v>
      </x:c>
      <x:c r="H2089" s="13" t="n">
        <x:v>232</x:v>
      </x:c>
      <x:c r="I2089" s="13" t="n">
        <x:f>YEAR(B2089)</x:f>
        <x:v>2024</x:v>
      </x:c>
      <x:c r="J2089" s="13" t="n">
        <x:f>MONTH(B2089)</x:f>
        <x:v>4</x:v>
      </x:c>
      <x:c r="K2089" s="14" t="n">
        <x:f>ROUND(E2089*F2089-G2089,10)</x:f>
        <x:v>0</x:v>
      </x:c>
      <x:c r="L2089" s="2"/>
      <x:c r="M2089" s="2"/>
      <x:c r="N2089" s="2"/>
      <x:c r="O2089" s="2"/>
      <x:c r="P2089" s="2"/>
      <x:c r="Q2089" s="2"/>
      <x:c r="R2089" s="2"/>
    </x:row>
    <x:row r="2090" ht="22" customHeight="1">
      <x:c r="A2090" s="2" t="n">
        <x:v>102084</x:v>
      </x:c>
      <x:c r="B2090" s="10" t="n">
        <x:v>45043</x:v>
      </x:c>
      <x:c r="C2090" s="2" t="str">
        <x:v>Brasil</x:v>
      </x:c>
      <x:c r="D2090" s="2" t="str">
        <x:v>Moda Feminina</x:v>
      </x:c>
      <x:c r="E2090" s="11" t="n">
        <x:v>17</x:v>
      </x:c>
      <x:c r="F2090" s="12" t="n">
        <x:v>62.14</x:v>
      </x:c>
      <x:c r="G2090" s="12" t="n">
        <x:v>1056.38</x:v>
      </x:c>
      <x:c r="H2090" s="13" t="n">
        <x:v>241</x:v>
      </x:c>
      <x:c r="I2090" s="13" t="n">
        <x:f>YEAR(B2090)</x:f>
        <x:v>2023</x:v>
      </x:c>
      <x:c r="J2090" s="13" t="n">
        <x:f>MONTH(B2090)</x:f>
        <x:v>4</x:v>
      </x:c>
      <x:c r="K2090" s="14" t="n">
        <x:f>ROUND(E2090*F2090-G2090,10)</x:f>
        <x:v>0</x:v>
      </x:c>
      <x:c r="L2090" s="2"/>
      <x:c r="M2090" s="2"/>
      <x:c r="N2090" s="2"/>
      <x:c r="O2090" s="2"/>
      <x:c r="P2090" s="2"/>
      <x:c r="Q2090" s="2"/>
      <x:c r="R2090" s="2"/>
    </x:row>
    <x:row r="2091" ht="22" customHeight="1">
      <x:c r="A2091" s="2" t="n">
        <x:v>102085</x:v>
      </x:c>
      <x:c r="B2091" s="10" t="n">
        <x:v>44967</x:v>
      </x:c>
      <x:c r="C2091" s="2" t="str">
        <x:v>Colômbia</x:v>
      </x:c>
      <x:c r="D2091" s="2" t="str">
        <x:v>Moda Feminina</x:v>
      </x:c>
      <x:c r="E2091" s="11" t="n">
        <x:v>46</x:v>
      </x:c>
      <x:c r="F2091" s="12" t="n">
        <x:v>30.79</x:v>
      </x:c>
      <x:c r="G2091" s="12" t="n">
        <x:v>1416.34</x:v>
      </x:c>
      <x:c r="H2091" s="13" t="n">
        <x:v>298</x:v>
      </x:c>
      <x:c r="I2091" s="13" t="n">
        <x:f>YEAR(B2091)</x:f>
        <x:v>2023</x:v>
      </x:c>
      <x:c r="J2091" s="13" t="n">
        <x:f>MONTH(B2091)</x:f>
        <x:v>2</x:v>
      </x:c>
      <x:c r="K2091" s="14" t="n">
        <x:f>ROUND(E2091*F2091-G2091,10)</x:f>
        <x:v>0</x:v>
      </x:c>
      <x:c r="L2091" s="2"/>
      <x:c r="M2091" s="2"/>
      <x:c r="N2091" s="2"/>
      <x:c r="O2091" s="2"/>
      <x:c r="P2091" s="2"/>
      <x:c r="Q2091" s="2"/>
      <x:c r="R2091" s="2"/>
    </x:row>
    <x:row r="2092" ht="22" customHeight="1">
      <x:c r="A2092" s="2" t="n">
        <x:v>102086</x:v>
      </x:c>
      <x:c r="B2092" s="10" t="n">
        <x:v>45621</x:v>
      </x:c>
      <x:c r="C2092" s="2" t="str">
        <x:v>Argentina</x:v>
      </x:c>
      <x:c r="D2092" s="2" t="str">
        <x:v>Calçados</x:v>
      </x:c>
      <x:c r="E2092" s="11" t="n">
        <x:v>24</x:v>
      </x:c>
      <x:c r="F2092" s="12" t="n">
        <x:v>113.17</x:v>
      </x:c>
      <x:c r="G2092" s="12" t="n">
        <x:v>2716.08</x:v>
      </x:c>
      <x:c r="H2092" s="13" t="n">
        <x:v>284</x:v>
      </x:c>
      <x:c r="I2092" s="13" t="n">
        <x:f>YEAR(B2092)</x:f>
        <x:v>2024</x:v>
      </x:c>
      <x:c r="J2092" s="13" t="n">
        <x:f>MONTH(B2092)</x:f>
        <x:v>11</x:v>
      </x:c>
      <x:c r="K2092" s="14" t="n">
        <x:f>ROUND(E2092*F2092-G2092,10)</x:f>
        <x:v>0</x:v>
      </x:c>
      <x:c r="L2092" s="2"/>
      <x:c r="M2092" s="2"/>
      <x:c r="N2092" s="2"/>
      <x:c r="O2092" s="2"/>
      <x:c r="P2092" s="2"/>
      <x:c r="Q2092" s="2"/>
      <x:c r="R2092" s="2"/>
    </x:row>
    <x:row r="2093" ht="22" customHeight="1">
      <x:c r="A2093" s="2" t="n">
        <x:v>102087</x:v>
      </x:c>
      <x:c r="B2093" s="10" t="n">
        <x:v>45007</x:v>
      </x:c>
      <x:c r="C2093" s="2" t="str">
        <x:v>Peru</x:v>
      </x:c>
      <x:c r="D2093" s="2" t="str">
        <x:v>Moda Infantil</x:v>
      </x:c>
      <x:c r="E2093" s="11" t="n">
        <x:v>11</x:v>
      </x:c>
      <x:c r="F2093" s="12" t="n">
        <x:v>42.4</x:v>
      </x:c>
      <x:c r="G2093" s="12" t="n">
        <x:v>466.4</x:v>
      </x:c>
      <x:c r="H2093" s="13" t="n">
        <x:v>132</x:v>
      </x:c>
      <x:c r="I2093" s="13" t="n">
        <x:f>YEAR(B2093)</x:f>
        <x:v>2023</x:v>
      </x:c>
      <x:c r="J2093" s="13" t="n">
        <x:f>MONTH(B2093)</x:f>
        <x:v>3</x:v>
      </x:c>
      <x:c r="K2093" s="14" t="n">
        <x:f>ROUND(E2093*F2093-G2093,10)</x:f>
        <x:v>0</x:v>
      </x:c>
      <x:c r="L2093" s="2"/>
      <x:c r="M2093" s="2"/>
      <x:c r="N2093" s="2"/>
      <x:c r="O2093" s="2"/>
      <x:c r="P2093" s="2"/>
      <x:c r="Q2093" s="2"/>
      <x:c r="R2093" s="2"/>
    </x:row>
    <x:row r="2094" ht="22" customHeight="1">
      <x:c r="A2094" s="2" t="n">
        <x:v>102088</x:v>
      </x:c>
      <x:c r="B2094" s="10" t="n">
        <x:v>45152</x:v>
      </x:c>
      <x:c r="C2094" s="2" t="str">
        <x:v>Brasil</x:v>
      </x:c>
      <x:c r="D2094" s="2" t="str">
        <x:v>Moda Masculina</x:v>
      </x:c>
      <x:c r="E2094" s="11" t="n">
        <x:v>26</x:v>
      </x:c>
      <x:c r="F2094" s="12" t="n">
        <x:v>193.2</x:v>
      </x:c>
      <x:c r="G2094" s="12" t="n">
        <x:v>5023.2</x:v>
      </x:c>
      <x:c r="H2094" s="13" t="n">
        <x:v>142</x:v>
      </x:c>
      <x:c r="I2094" s="13" t="n">
        <x:f>YEAR(B2094)</x:f>
        <x:v>2023</x:v>
      </x:c>
      <x:c r="J2094" s="13" t="n">
        <x:f>MONTH(B2094)</x:f>
        <x:v>8</x:v>
      </x:c>
      <x:c r="K2094" s="14" t="n">
        <x:f>ROUND(E2094*F2094-G2094,10)</x:f>
        <x:v>0</x:v>
      </x:c>
      <x:c r="L2094" s="2"/>
      <x:c r="M2094" s="2"/>
      <x:c r="N2094" s="2"/>
      <x:c r="O2094" s="2"/>
      <x:c r="P2094" s="2"/>
      <x:c r="Q2094" s="2"/>
      <x:c r="R2094" s="2"/>
    </x:row>
    <x:row r="2095" ht="22" customHeight="1">
      <x:c r="A2095" s="2" t="n">
        <x:v>102089</x:v>
      </x:c>
      <x:c r="B2095" s="10" t="n">
        <x:v>45232</x:v>
      </x:c>
      <x:c r="C2095" s="2" t="str">
        <x:v>Chile</x:v>
      </x:c>
      <x:c r="D2095" s="2" t="str">
        <x:v>Moda Infantil</x:v>
      </x:c>
      <x:c r="E2095" s="11" t="n">
        <x:v>34</x:v>
      </x:c>
      <x:c r="F2095" s="12" t="n">
        <x:v>72.19</x:v>
      </x:c>
      <x:c r="G2095" s="12" t="n">
        <x:v>2454.46</x:v>
      </x:c>
      <x:c r="H2095" s="13" t="n">
        <x:v>422</x:v>
      </x:c>
      <x:c r="I2095" s="13" t="n">
        <x:f>YEAR(B2095)</x:f>
        <x:v>2023</x:v>
      </x:c>
      <x:c r="J2095" s="13" t="n">
        <x:f>MONTH(B2095)</x:f>
        <x:v>11</x:v>
      </x:c>
      <x:c r="K2095" s="14" t="n">
        <x:f>ROUND(E2095*F2095-G2095,10)</x:f>
        <x:v>0</x:v>
      </x:c>
      <x:c r="L2095" s="2"/>
      <x:c r="M2095" s="2"/>
      <x:c r="N2095" s="2"/>
      <x:c r="O2095" s="2"/>
      <x:c r="P2095" s="2"/>
      <x:c r="Q2095" s="2"/>
      <x:c r="R2095" s="2"/>
    </x:row>
    <x:row r="2096" ht="22" customHeight="1">
      <x:c r="A2096" s="2" t="n">
        <x:v>102090</x:v>
      </x:c>
      <x:c r="B2096" s="10" t="n">
        <x:v>45567</x:v>
      </x:c>
      <x:c r="C2096" s="2" t="str">
        <x:v>Brasil</x:v>
      </x:c>
      <x:c r="D2096" s="2" t="str">
        <x:v>Calçados</x:v>
      </x:c>
      <x:c r="E2096" s="11" t="n">
        <x:v>28</x:v>
      </x:c>
      <x:c r="F2096" s="12" t="n">
        <x:v>173.53</x:v>
      </x:c>
      <x:c r="G2096" s="12" t="n">
        <x:v>4858.84</x:v>
      </x:c>
      <x:c r="H2096" s="13" t="n">
        <x:v>443</x:v>
      </x:c>
      <x:c r="I2096" s="13" t="n">
        <x:f>YEAR(B2096)</x:f>
        <x:v>2024</x:v>
      </x:c>
      <x:c r="J2096" s="13" t="n">
        <x:f>MONTH(B2096)</x:f>
        <x:v>10</x:v>
      </x:c>
      <x:c r="K2096" s="14" t="n">
        <x:f>ROUND(E2096*F2096-G2096,10)</x:f>
        <x:v>0</x:v>
      </x:c>
      <x:c r="L2096" s="2"/>
      <x:c r="M2096" s="2"/>
      <x:c r="N2096" s="2"/>
      <x:c r="O2096" s="2"/>
      <x:c r="P2096" s="2"/>
      <x:c r="Q2096" s="2"/>
      <x:c r="R2096" s="2"/>
    </x:row>
    <x:row r="2097" ht="22" customHeight="1">
      <x:c r="A2097" s="2" t="n">
        <x:v>102091</x:v>
      </x:c>
      <x:c r="B2097" s="10" t="n">
        <x:v>45531</x:v>
      </x:c>
      <x:c r="C2097" s="2" t="str">
        <x:v>Brasil</x:v>
      </x:c>
      <x:c r="D2097" s="2" t="str">
        <x:v>Moda Masculina</x:v>
      </x:c>
      <x:c r="E2097" s="11" t="n">
        <x:v>3</x:v>
      </x:c>
      <x:c r="F2097" s="12" t="n">
        <x:v>89.77</x:v>
      </x:c>
      <x:c r="G2097" s="12" t="n">
        <x:v>269.31</x:v>
      </x:c>
      <x:c r="H2097" s="13" t="n">
        <x:v>361</x:v>
      </x:c>
      <x:c r="I2097" s="13" t="n">
        <x:f>YEAR(B2097)</x:f>
        <x:v>2024</x:v>
      </x:c>
      <x:c r="J2097" s="13" t="n">
        <x:f>MONTH(B2097)</x:f>
        <x:v>8</x:v>
      </x:c>
      <x:c r="K2097" s="14" t="n">
        <x:f>ROUND(E2097*F2097-G2097,10)</x:f>
        <x:v>0</x:v>
      </x:c>
      <x:c r="L2097" s="2"/>
      <x:c r="M2097" s="2"/>
      <x:c r="N2097" s="2"/>
      <x:c r="O2097" s="2"/>
      <x:c r="P2097" s="2"/>
      <x:c r="Q2097" s="2"/>
      <x:c r="R2097" s="2"/>
    </x:row>
    <x:row r="2098" ht="22" customHeight="1">
      <x:c r="A2098" s="2" t="n">
        <x:v>102092</x:v>
      </x:c>
      <x:c r="B2098" s="10" t="n">
        <x:v>45254</x:v>
      </x:c>
      <x:c r="C2098" s="2" t="str">
        <x:v>Colômbia</x:v>
      </x:c>
      <x:c r="D2098" s="2" t="str">
        <x:v>Moda Infantil</x:v>
      </x:c>
      <x:c r="E2098" s="11" t="n">
        <x:v>11</x:v>
      </x:c>
      <x:c r="F2098" s="12" t="n">
        <x:v>78.17</x:v>
      </x:c>
      <x:c r="G2098" s="12" t="n">
        <x:v>859.87</x:v>
      </x:c>
      <x:c r="H2098" s="13" t="n">
        <x:v>317</x:v>
      </x:c>
      <x:c r="I2098" s="13" t="n">
        <x:f>YEAR(B2098)</x:f>
        <x:v>2023</x:v>
      </x:c>
      <x:c r="J2098" s="13" t="n">
        <x:f>MONTH(B2098)</x:f>
        <x:v>11</x:v>
      </x:c>
      <x:c r="K2098" s="14" t="n">
        <x:f>ROUND(E2098*F2098-G2098,10)</x:f>
        <x:v>0</x:v>
      </x:c>
      <x:c r="L2098" s="2"/>
      <x:c r="M2098" s="2"/>
      <x:c r="N2098" s="2"/>
      <x:c r="O2098" s="2"/>
      <x:c r="P2098" s="2"/>
      <x:c r="Q2098" s="2"/>
      <x:c r="R2098" s="2"/>
    </x:row>
    <x:row r="2099" ht="22" customHeight="1">
      <x:c r="A2099" s="2" t="n">
        <x:v>102093</x:v>
      </x:c>
      <x:c r="B2099" s="10" t="n">
        <x:v>45002</x:v>
      </x:c>
      <x:c r="C2099" s="2" t="str">
        <x:v>Argentina</x:v>
      </x:c>
      <x:c r="D2099" s="2" t="str">
        <x:v>Moda Masculina</x:v>
      </x:c>
      <x:c r="E2099" s="11" t="n">
        <x:v>38</x:v>
      </x:c>
      <x:c r="F2099" s="12" t="n">
        <x:v>188.33</x:v>
      </x:c>
      <x:c r="G2099" s="12" t="n">
        <x:v>7156.540000000001</x:v>
      </x:c>
      <x:c r="H2099" s="13" t="n">
        <x:v>466</x:v>
      </x:c>
      <x:c r="I2099" s="13" t="n">
        <x:f>YEAR(B2099)</x:f>
        <x:v>2023</x:v>
      </x:c>
      <x:c r="J2099" s="13" t="n">
        <x:f>MONTH(B2099)</x:f>
        <x:v>3</x:v>
      </x:c>
      <x:c r="K2099" s="14" t="n">
        <x:f>ROUND(E2099*F2099-G2099,10)</x:f>
        <x:v>0</x:v>
      </x:c>
      <x:c r="L2099" s="2"/>
      <x:c r="M2099" s="2"/>
      <x:c r="N2099" s="2"/>
      <x:c r="O2099" s="2"/>
      <x:c r="P2099" s="2"/>
      <x:c r="Q2099" s="2"/>
      <x:c r="R2099" s="2"/>
    </x:row>
    <x:row r="2100" ht="22" customHeight="1">
      <x:c r="A2100" s="2" t="n">
        <x:v>102094</x:v>
      </x:c>
      <x:c r="B2100" s="10" t="n">
        <x:v>45022</x:v>
      </x:c>
      <x:c r="C2100" s="2" t="str">
        <x:v>Chile</x:v>
      </x:c>
      <x:c r="D2100" s="2" t="str">
        <x:v>Moda Feminina</x:v>
      </x:c>
      <x:c r="E2100" s="11" t="n">
        <x:v>14</x:v>
      </x:c>
      <x:c r="F2100" s="12" t="n">
        <x:v>85.4</x:v>
      </x:c>
      <x:c r="G2100" s="12" t="n">
        <x:v>1195.6</x:v>
      </x:c>
      <x:c r="H2100" s="13" t="n">
        <x:v>169</x:v>
      </x:c>
      <x:c r="I2100" s="13" t="n">
        <x:f>YEAR(B2100)</x:f>
        <x:v>2023</x:v>
      </x:c>
      <x:c r="J2100" s="13" t="n">
        <x:f>MONTH(B2100)</x:f>
        <x:v>4</x:v>
      </x:c>
      <x:c r="K2100" s="14" t="n">
        <x:f>ROUND(E2100*F2100-G2100,10)</x:f>
        <x:v>0</x:v>
      </x:c>
      <x:c r="L2100" s="2"/>
      <x:c r="M2100" s="2"/>
      <x:c r="N2100" s="2"/>
      <x:c r="O2100" s="2"/>
      <x:c r="P2100" s="2"/>
      <x:c r="Q2100" s="2"/>
      <x:c r="R2100" s="2"/>
    </x:row>
    <x:row r="2101" ht="22" customHeight="1">
      <x:c r="A2101" s="2" t="n">
        <x:v>102095</x:v>
      </x:c>
      <x:c r="B2101" s="10" t="n">
        <x:v>45425</x:v>
      </x:c>
      <x:c r="C2101" s="2" t="str">
        <x:v>México</x:v>
      </x:c>
      <x:c r="D2101" s="2" t="str">
        <x:v>Moda Infantil</x:v>
      </x:c>
      <x:c r="E2101" s="11" t="n">
        <x:v>26</x:v>
      </x:c>
      <x:c r="F2101" s="12" t="n">
        <x:v>90.25</x:v>
      </x:c>
      <x:c r="G2101" s="12" t="n">
        <x:v>2346.5</x:v>
      </x:c>
      <x:c r="H2101" s="13" t="n">
        <x:v>120</x:v>
      </x:c>
      <x:c r="I2101" s="13" t="n">
        <x:f>YEAR(B2101)</x:f>
        <x:v>2024</x:v>
      </x:c>
      <x:c r="J2101" s="13" t="n">
        <x:f>MONTH(B2101)</x:f>
        <x:v>5</x:v>
      </x:c>
      <x:c r="K2101" s="14" t="n">
        <x:f>ROUND(E2101*F2101-G2101,10)</x:f>
        <x:v>0</x:v>
      </x:c>
      <x:c r="L2101" s="2"/>
      <x:c r="M2101" s="2"/>
      <x:c r="N2101" s="2"/>
      <x:c r="O2101" s="2"/>
      <x:c r="P2101" s="2"/>
      <x:c r="Q2101" s="2"/>
      <x:c r="R2101" s="2"/>
    </x:row>
    <x:row r="2102" ht="22" customHeight="1">
      <x:c r="A2102" s="2" t="n">
        <x:v>102096</x:v>
      </x:c>
      <x:c r="B2102" s="10" t="n">
        <x:v>45409</x:v>
      </x:c>
      <x:c r="C2102" s="2" t="str">
        <x:v>México</x:v>
      </x:c>
      <x:c r="D2102" s="2" t="str">
        <x:v>Moda Masculina</x:v>
      </x:c>
      <x:c r="E2102" s="11" t="n">
        <x:v>48</x:v>
      </x:c>
      <x:c r="F2102" s="12" t="n">
        <x:v>39.1</x:v>
      </x:c>
      <x:c r="G2102" s="12" t="n">
        <x:v>1876.8</x:v>
      </x:c>
      <x:c r="H2102" s="13" t="n">
        <x:v>66</x:v>
      </x:c>
      <x:c r="I2102" s="13" t="n">
        <x:f>YEAR(B2102)</x:f>
        <x:v>2024</x:v>
      </x:c>
      <x:c r="J2102" s="13" t="n">
        <x:f>MONTH(B2102)</x:f>
        <x:v>4</x:v>
      </x:c>
      <x:c r="K2102" s="14" t="n">
        <x:f>ROUND(E2102*F2102-G2102,10)</x:f>
        <x:v>0</x:v>
      </x:c>
      <x:c r="L2102" s="2"/>
      <x:c r="M2102" s="2"/>
      <x:c r="N2102" s="2"/>
      <x:c r="O2102" s="2"/>
      <x:c r="P2102" s="2"/>
      <x:c r="Q2102" s="2"/>
      <x:c r="R2102" s="2"/>
    </x:row>
    <x:row r="2103" ht="22" customHeight="1">
      <x:c r="A2103" s="2" t="n">
        <x:v>102097</x:v>
      </x:c>
      <x:c r="B2103" s="10" t="n">
        <x:v>44978</x:v>
      </x:c>
      <x:c r="C2103" s="2" t="str">
        <x:v>Brasil</x:v>
      </x:c>
      <x:c r="D2103" s="2" t="str">
        <x:v>Moda Masculina</x:v>
      </x:c>
      <x:c r="E2103" s="11" t="n">
        <x:v>21</x:v>
      </x:c>
      <x:c r="F2103" s="12" t="n">
        <x:v>140.68</x:v>
      </x:c>
      <x:c r="G2103" s="12" t="n">
        <x:v>2954.28</x:v>
      </x:c>
      <x:c r="H2103" s="13" t="n">
        <x:v>302</x:v>
      </x:c>
      <x:c r="I2103" s="13" t="n">
        <x:f>YEAR(B2103)</x:f>
        <x:v>2023</x:v>
      </x:c>
      <x:c r="J2103" s="13" t="n">
        <x:f>MONTH(B2103)</x:f>
        <x:v>2</x:v>
      </x:c>
      <x:c r="K2103" s="14" t="n">
        <x:f>ROUND(E2103*F2103-G2103,10)</x:f>
        <x:v>0</x:v>
      </x:c>
      <x:c r="L2103" s="2"/>
      <x:c r="M2103" s="2"/>
      <x:c r="N2103" s="2"/>
      <x:c r="O2103" s="2"/>
      <x:c r="P2103" s="2"/>
      <x:c r="Q2103" s="2"/>
      <x:c r="R2103" s="2"/>
    </x:row>
    <x:row r="2104" ht="22" customHeight="1">
      <x:c r="A2104" s="2" t="n">
        <x:v>102098</x:v>
      </x:c>
      <x:c r="B2104" s="10" t="n">
        <x:v>45124</x:v>
      </x:c>
      <x:c r="C2104" s="2" t="str">
        <x:v>Colômbia</x:v>
      </x:c>
      <x:c r="D2104" s="2" t="str">
        <x:v>Moda Masculina</x:v>
      </x:c>
      <x:c r="E2104" s="11" t="n">
        <x:v>39</x:v>
      </x:c>
      <x:c r="F2104" s="12" t="n">
        <x:v>71.99</x:v>
      </x:c>
      <x:c r="G2104" s="12" t="n">
        <x:v>2807.61</x:v>
      </x:c>
      <x:c r="H2104" s="13" t="n">
        <x:v>494</x:v>
      </x:c>
      <x:c r="I2104" s="13" t="n">
        <x:f>YEAR(B2104)</x:f>
        <x:v>2023</x:v>
      </x:c>
      <x:c r="J2104" s="13" t="n">
        <x:f>MONTH(B2104)</x:f>
        <x:v>7</x:v>
      </x:c>
      <x:c r="K2104" s="14" t="n">
        <x:f>ROUND(E2104*F2104-G2104,10)</x:f>
        <x:v>0</x:v>
      </x:c>
      <x:c r="L2104" s="2"/>
      <x:c r="M2104" s="2"/>
      <x:c r="N2104" s="2"/>
      <x:c r="O2104" s="2"/>
      <x:c r="P2104" s="2"/>
      <x:c r="Q2104" s="2"/>
      <x:c r="R2104" s="2"/>
    </x:row>
    <x:row r="2105" ht="22" customHeight="1">
      <x:c r="A2105" s="2" t="n">
        <x:v>102099</x:v>
      </x:c>
      <x:c r="B2105" s="10" t="n">
        <x:v>45242</x:v>
      </x:c>
      <x:c r="C2105" s="2" t="str">
        <x:v>Colômbia</x:v>
      </x:c>
      <x:c r="D2105" s="2" t="str">
        <x:v>Moda Infantil</x:v>
      </x:c>
      <x:c r="E2105" s="11" t="n">
        <x:v>30</x:v>
      </x:c>
      <x:c r="F2105" s="12" t="n">
        <x:v>125.41</x:v>
      </x:c>
      <x:c r="G2105" s="12" t="n">
        <x:v>3762.3</x:v>
      </x:c>
      <x:c r="H2105" s="13" t="n">
        <x:v>171</x:v>
      </x:c>
      <x:c r="I2105" s="13" t="n">
        <x:f>YEAR(B2105)</x:f>
        <x:v>2023</x:v>
      </x:c>
      <x:c r="J2105" s="13" t="n">
        <x:f>MONTH(B2105)</x:f>
        <x:v>11</x:v>
      </x:c>
      <x:c r="K2105" s="14" t="n">
        <x:f>ROUND(E2105*F2105-G2105,10)</x:f>
        <x:v>0</x:v>
      </x:c>
      <x:c r="L2105" s="2"/>
      <x:c r="M2105" s="2"/>
      <x:c r="N2105" s="2"/>
      <x:c r="O2105" s="2"/>
      <x:c r="P2105" s="2"/>
      <x:c r="Q2105" s="2"/>
      <x:c r="R2105" s="2"/>
    </x:row>
    <x:row r="2106" ht="22" customHeight="1">
      <x:c r="A2106" s="2" t="n">
        <x:v>102100</x:v>
      </x:c>
      <x:c r="B2106" s="10" t="n">
        <x:v>45022</x:v>
      </x:c>
      <x:c r="C2106" s="2" t="str">
        <x:v>México</x:v>
      </x:c>
      <x:c r="D2106" s="2" t="str">
        <x:v>Acessórios</x:v>
      </x:c>
      <x:c r="E2106" s="11" t="n">
        <x:v>8</x:v>
      </x:c>
      <x:c r="F2106" s="12" t="n">
        <x:v>126.44</x:v>
      </x:c>
      <x:c r="G2106" s="12" t="n">
        <x:v>1011.52</x:v>
      </x:c>
      <x:c r="H2106" s="13" t="n">
        <x:v>429</x:v>
      </x:c>
      <x:c r="I2106" s="13" t="n">
        <x:f>YEAR(B2106)</x:f>
        <x:v>2023</x:v>
      </x:c>
      <x:c r="J2106" s="13" t="n">
        <x:f>MONTH(B2106)</x:f>
        <x:v>4</x:v>
      </x:c>
      <x:c r="K2106" s="14" t="n">
        <x:f>ROUND(E2106*F2106-G2106,10)</x:f>
        <x:v>0</x:v>
      </x:c>
      <x:c r="L2106" s="2"/>
      <x:c r="M2106" s="2"/>
      <x:c r="N2106" s="2"/>
      <x:c r="O2106" s="2"/>
      <x:c r="P2106" s="2"/>
      <x:c r="Q2106" s="2"/>
      <x:c r="R2106" s="2"/>
    </x:row>
    <x:row r="2107" ht="22" customHeight="1">
      <x:c r="A2107" s="2" t="n">
        <x:v>102101</x:v>
      </x:c>
      <x:c r="B2107" s="10" t="n">
        <x:v>45068</x:v>
      </x:c>
      <x:c r="C2107" s="2" t="str">
        <x:v>Chile</x:v>
      </x:c>
      <x:c r="D2107" s="2" t="str">
        <x:v>Moda Infantil</x:v>
      </x:c>
      <x:c r="E2107" s="11" t="n">
        <x:v>20</x:v>
      </x:c>
      <x:c r="F2107" s="12" t="n">
        <x:v>149.46</x:v>
      </x:c>
      <x:c r="G2107" s="12" t="n">
        <x:v>2989.2</x:v>
      </x:c>
      <x:c r="H2107" s="13" t="n">
        <x:v>59</x:v>
      </x:c>
      <x:c r="I2107" s="13" t="n">
        <x:f>YEAR(B2107)</x:f>
        <x:v>2023</x:v>
      </x:c>
      <x:c r="J2107" s="13" t="n">
        <x:f>MONTH(B2107)</x:f>
        <x:v>5</x:v>
      </x:c>
      <x:c r="K2107" s="14" t="n">
        <x:f>ROUND(E2107*F2107-G2107,10)</x:f>
        <x:v>0</x:v>
      </x:c>
      <x:c r="L2107" s="2"/>
      <x:c r="M2107" s="2"/>
      <x:c r="N2107" s="2"/>
      <x:c r="O2107" s="2"/>
      <x:c r="P2107" s="2"/>
      <x:c r="Q2107" s="2"/>
      <x:c r="R2107" s="2"/>
    </x:row>
    <x:row r="2108" ht="22" customHeight="1">
      <x:c r="A2108" s="2" t="n">
        <x:v>102102</x:v>
      </x:c>
      <x:c r="B2108" s="10" t="n">
        <x:v>45041</x:v>
      </x:c>
      <x:c r="C2108" s="2" t="str">
        <x:v>Argentina</x:v>
      </x:c>
      <x:c r="D2108" s="2" t="str">
        <x:v>Calçados</x:v>
      </x:c>
      <x:c r="E2108" s="11" t="n">
        <x:v>48</x:v>
      </x:c>
      <x:c r="F2108" s="12" t="n">
        <x:v>154.14</x:v>
      </x:c>
      <x:c r="G2108" s="12" t="n">
        <x:v>7398.719999999999</x:v>
      </x:c>
      <x:c r="H2108" s="13" t="n">
        <x:v>336</x:v>
      </x:c>
      <x:c r="I2108" s="13" t="n">
        <x:f>YEAR(B2108)</x:f>
        <x:v>2023</x:v>
      </x:c>
      <x:c r="J2108" s="13" t="n">
        <x:f>MONTH(B2108)</x:f>
        <x:v>4</x:v>
      </x:c>
      <x:c r="K2108" s="14" t="n">
        <x:f>ROUND(E2108*F2108-G2108,10)</x:f>
        <x:v>0</x:v>
      </x:c>
      <x:c r="L2108" s="2"/>
      <x:c r="M2108" s="2"/>
      <x:c r="N2108" s="2"/>
      <x:c r="O2108" s="2"/>
      <x:c r="P2108" s="2"/>
      <x:c r="Q2108" s="2"/>
      <x:c r="R2108" s="2"/>
    </x:row>
    <x:row r="2109" ht="22" customHeight="1">
      <x:c r="A2109" s="2" t="n">
        <x:v>102103</x:v>
      </x:c>
      <x:c r="B2109" s="10" t="n">
        <x:v>45608</x:v>
      </x:c>
      <x:c r="C2109" s="2" t="str">
        <x:v>Chile</x:v>
      </x:c>
      <x:c r="D2109" s="2" t="str">
        <x:v>Moda Infantil</x:v>
      </x:c>
      <x:c r="E2109" s="11" t="n">
        <x:v>32</x:v>
      </x:c>
      <x:c r="F2109" s="12" t="n">
        <x:v>112.6</x:v>
      </x:c>
      <x:c r="G2109" s="12" t="n">
        <x:v>3603.2</x:v>
      </x:c>
      <x:c r="H2109" s="13" t="n">
        <x:v>365</x:v>
      </x:c>
      <x:c r="I2109" s="13" t="n">
        <x:f>YEAR(B2109)</x:f>
        <x:v>2024</x:v>
      </x:c>
      <x:c r="J2109" s="13" t="n">
        <x:f>MONTH(B2109)</x:f>
        <x:v>11</x:v>
      </x:c>
      <x:c r="K2109" s="14" t="n">
        <x:f>ROUND(E2109*F2109-G2109,10)</x:f>
        <x:v>0</x:v>
      </x:c>
      <x:c r="L2109" s="2"/>
      <x:c r="M2109" s="2"/>
      <x:c r="N2109" s="2"/>
      <x:c r="O2109" s="2"/>
      <x:c r="P2109" s="2"/>
      <x:c r="Q2109" s="2"/>
      <x:c r="R2109" s="2"/>
    </x:row>
    <x:row r="2110" ht="22" customHeight="1">
      <x:c r="A2110" s="2" t="n">
        <x:v>102104</x:v>
      </x:c>
      <x:c r="B2110" s="10" t="n">
        <x:v>45456</x:v>
      </x:c>
      <x:c r="C2110" s="2" t="str">
        <x:v>Peru</x:v>
      </x:c>
      <x:c r="D2110" s="2" t="str">
        <x:v>Moda Masculina</x:v>
      </x:c>
      <x:c r="E2110" s="11" t="n">
        <x:v>22</x:v>
      </x:c>
      <x:c r="F2110" s="12" t="n">
        <x:v>79.58</x:v>
      </x:c>
      <x:c r="G2110" s="12" t="n">
        <x:v>1750.76</x:v>
      </x:c>
      <x:c r="H2110" s="13" t="n">
        <x:v>375</x:v>
      </x:c>
      <x:c r="I2110" s="13" t="n">
        <x:f>YEAR(B2110)</x:f>
        <x:v>2024</x:v>
      </x:c>
      <x:c r="J2110" s="13" t="n">
        <x:f>MONTH(B2110)</x:f>
        <x:v>6</x:v>
      </x:c>
      <x:c r="K2110" s="14" t="n">
        <x:f>ROUND(E2110*F2110-G2110,10)</x:f>
        <x:v>0</x:v>
      </x:c>
      <x:c r="L2110" s="2"/>
      <x:c r="M2110" s="2"/>
      <x:c r="N2110" s="2"/>
      <x:c r="O2110" s="2"/>
      <x:c r="P2110" s="2"/>
      <x:c r="Q2110" s="2"/>
      <x:c r="R2110" s="2"/>
    </x:row>
    <x:row r="2111" ht="22" customHeight="1">
      <x:c r="A2111" s="2" t="n">
        <x:v>102105</x:v>
      </x:c>
      <x:c r="B2111" s="10" t="n">
        <x:v>45646</x:v>
      </x:c>
      <x:c r="C2111" s="2" t="str">
        <x:v>Peru</x:v>
      </x:c>
      <x:c r="D2111" s="2" t="str">
        <x:v>Moda Feminina</x:v>
      </x:c>
      <x:c r="E2111" s="11" t="n">
        <x:v>7</x:v>
      </x:c>
      <x:c r="F2111" s="12" t="n">
        <x:v>170.74</x:v>
      </x:c>
      <x:c r="G2111" s="12" t="n">
        <x:v>1195.18</x:v>
      </x:c>
      <x:c r="H2111" s="13" t="n">
        <x:v>322</x:v>
      </x:c>
      <x:c r="I2111" s="13" t="n">
        <x:f>YEAR(B2111)</x:f>
        <x:v>2024</x:v>
      </x:c>
      <x:c r="J2111" s="13" t="n">
        <x:f>MONTH(B2111)</x:f>
        <x:v>12</x:v>
      </x:c>
      <x:c r="K2111" s="14" t="n">
        <x:f>ROUND(E2111*F2111-G2111,10)</x:f>
        <x:v>0</x:v>
      </x:c>
      <x:c r="L2111" s="2"/>
      <x:c r="M2111" s="2"/>
      <x:c r="N2111" s="2"/>
      <x:c r="O2111" s="2"/>
      <x:c r="P2111" s="2"/>
      <x:c r="Q2111" s="2"/>
      <x:c r="R2111" s="2"/>
    </x:row>
    <x:row r="2112" ht="22" customHeight="1">
      <x:c r="A2112" s="2" t="n">
        <x:v>102106</x:v>
      </x:c>
      <x:c r="B2112" s="10" t="n">
        <x:v>45578</x:v>
      </x:c>
      <x:c r="C2112" s="2" t="str">
        <x:v>Argentina</x:v>
      </x:c>
      <x:c r="D2112" s="2" t="str">
        <x:v>Moda Infantil</x:v>
      </x:c>
      <x:c r="E2112" s="11" t="n">
        <x:v>9</x:v>
      </x:c>
      <x:c r="F2112" s="12" t="n">
        <x:v>75.78</x:v>
      </x:c>
      <x:c r="G2112" s="12" t="n">
        <x:v>682.02</x:v>
      </x:c>
      <x:c r="H2112" s="13" t="n">
        <x:v>355</x:v>
      </x:c>
      <x:c r="I2112" s="13" t="n">
        <x:f>YEAR(B2112)</x:f>
        <x:v>2024</x:v>
      </x:c>
      <x:c r="J2112" s="13" t="n">
        <x:f>MONTH(B2112)</x:f>
        <x:v>10</x:v>
      </x:c>
      <x:c r="K2112" s="14" t="n">
        <x:f>ROUND(E2112*F2112-G2112,10)</x:f>
        <x:v>0</x:v>
      </x:c>
      <x:c r="L2112" s="2"/>
      <x:c r="M2112" s="2"/>
      <x:c r="N2112" s="2"/>
      <x:c r="O2112" s="2"/>
      <x:c r="P2112" s="2"/>
      <x:c r="Q2112" s="2"/>
      <x:c r="R2112" s="2"/>
    </x:row>
    <x:row r="2113" ht="22" customHeight="1">
      <x:c r="A2113" s="2" t="n">
        <x:v>102107</x:v>
      </x:c>
      <x:c r="B2113" s="10" t="n">
        <x:v>44967</x:v>
      </x:c>
      <x:c r="C2113" s="2" t="str">
        <x:v>México</x:v>
      </x:c>
      <x:c r="D2113" s="2" t="str">
        <x:v>Moda Infantil</x:v>
      </x:c>
      <x:c r="E2113" s="11" t="n">
        <x:v>45</x:v>
      </x:c>
      <x:c r="F2113" s="12" t="n">
        <x:v>111.35</x:v>
      </x:c>
      <x:c r="G2113" s="12" t="n">
        <x:v>5010.75</x:v>
      </x:c>
      <x:c r="H2113" s="13" t="n">
        <x:v>342</x:v>
      </x:c>
      <x:c r="I2113" s="13" t="n">
        <x:f>YEAR(B2113)</x:f>
        <x:v>2023</x:v>
      </x:c>
      <x:c r="J2113" s="13" t="n">
        <x:f>MONTH(B2113)</x:f>
        <x:v>2</x:v>
      </x:c>
      <x:c r="K2113" s="14" t="n">
        <x:f>ROUND(E2113*F2113-G2113,10)</x:f>
        <x:v>0</x:v>
      </x:c>
      <x:c r="L2113" s="2"/>
      <x:c r="M2113" s="2"/>
      <x:c r="N2113" s="2"/>
      <x:c r="O2113" s="2"/>
      <x:c r="P2113" s="2"/>
      <x:c r="Q2113" s="2"/>
      <x:c r="R2113" s="2"/>
    </x:row>
    <x:row r="2114" ht="22" customHeight="1">
      <x:c r="A2114" s="2" t="n">
        <x:v>102108</x:v>
      </x:c>
      <x:c r="B2114" s="10" t="n">
        <x:v>45610</x:v>
      </x:c>
      <x:c r="C2114" s="2" t="str">
        <x:v>Argentina</x:v>
      </x:c>
      <x:c r="D2114" s="2" t="str">
        <x:v>Moda Masculina</x:v>
      </x:c>
      <x:c r="E2114" s="11" t="n">
        <x:v>1</x:v>
      </x:c>
      <x:c r="F2114" s="12" t="n">
        <x:v>92.23</x:v>
      </x:c>
      <x:c r="G2114" s="12" t="n">
        <x:v>92.23</x:v>
      </x:c>
      <x:c r="H2114" s="13" t="n">
        <x:v>259</x:v>
      </x:c>
      <x:c r="I2114" s="13" t="n">
        <x:f>YEAR(B2114)</x:f>
        <x:v>2024</x:v>
      </x:c>
      <x:c r="J2114" s="13" t="n">
        <x:f>MONTH(B2114)</x:f>
        <x:v>11</x:v>
      </x:c>
      <x:c r="K2114" s="14" t="n">
        <x:f>ROUND(E2114*F2114-G2114,10)</x:f>
        <x:v>0</x:v>
      </x:c>
      <x:c r="L2114" s="2"/>
      <x:c r="M2114" s="2"/>
      <x:c r="N2114" s="2"/>
      <x:c r="O2114" s="2"/>
      <x:c r="P2114" s="2"/>
      <x:c r="Q2114" s="2"/>
      <x:c r="R2114" s="2"/>
    </x:row>
    <x:row r="2115" ht="22" customHeight="1">
      <x:c r="A2115" s="2" t="n">
        <x:v>102109</x:v>
      </x:c>
      <x:c r="B2115" s="10" t="n">
        <x:v>44936</x:v>
      </x:c>
      <x:c r="C2115" s="2" t="str">
        <x:v>Colômbia</x:v>
      </x:c>
      <x:c r="D2115" s="2" t="str">
        <x:v>Moda Feminina</x:v>
      </x:c>
      <x:c r="E2115" s="11" t="n">
        <x:v>29</x:v>
      </x:c>
      <x:c r="F2115" s="12" t="n">
        <x:v>173.91</x:v>
      </x:c>
      <x:c r="G2115" s="12" t="n">
        <x:v>5043.39</x:v>
      </x:c>
      <x:c r="H2115" s="13" t="n">
        <x:v>495</x:v>
      </x:c>
      <x:c r="I2115" s="13" t="n">
        <x:f>YEAR(B2115)</x:f>
        <x:v>2023</x:v>
      </x:c>
      <x:c r="J2115" s="13" t="n">
        <x:f>MONTH(B2115)</x:f>
        <x:v>1</x:v>
      </x:c>
      <x:c r="K2115" s="14" t="n">
        <x:f>ROUND(E2115*F2115-G2115,10)</x:f>
        <x:v>0</x:v>
      </x:c>
      <x:c r="L2115" s="2"/>
      <x:c r="M2115" s="2"/>
      <x:c r="N2115" s="2"/>
      <x:c r="O2115" s="2"/>
      <x:c r="P2115" s="2"/>
      <x:c r="Q2115" s="2"/>
      <x:c r="R2115" s="2"/>
    </x:row>
    <x:row r="2116" ht="22" customHeight="1">
      <x:c r="A2116" s="2" t="n">
        <x:v>102110</x:v>
      </x:c>
      <x:c r="B2116" s="10" t="n">
        <x:v>45487</x:v>
      </x:c>
      <x:c r="C2116" s="2" t="str">
        <x:v>Peru</x:v>
      </x:c>
      <x:c r="D2116" s="2" t="str">
        <x:v>Moda Feminina</x:v>
      </x:c>
      <x:c r="E2116" s="11" t="n">
        <x:v>8</x:v>
      </x:c>
      <x:c r="F2116" s="12" t="n">
        <x:v>97.75</x:v>
      </x:c>
      <x:c r="G2116" s="12" t="n">
        <x:v>782</x:v>
      </x:c>
      <x:c r="H2116" s="13" t="n">
        <x:v>267</x:v>
      </x:c>
      <x:c r="I2116" s="13" t="n">
        <x:f>YEAR(B2116)</x:f>
        <x:v>2024</x:v>
      </x:c>
      <x:c r="J2116" s="13" t="n">
        <x:f>MONTH(B2116)</x:f>
        <x:v>7</x:v>
      </x:c>
      <x:c r="K2116" s="14" t="n">
        <x:f>ROUND(E2116*F2116-G2116,10)</x:f>
        <x:v>0</x:v>
      </x:c>
      <x:c r="L2116" s="2"/>
      <x:c r="M2116" s="2"/>
      <x:c r="N2116" s="2"/>
      <x:c r="O2116" s="2"/>
      <x:c r="P2116" s="2"/>
      <x:c r="Q2116" s="2"/>
      <x:c r="R2116" s="2"/>
    </x:row>
    <x:row r="2117" ht="22" customHeight="1">
      <x:c r="A2117" s="2" t="n">
        <x:v>102111</x:v>
      </x:c>
      <x:c r="B2117" s="10" t="n">
        <x:v>45205</x:v>
      </x:c>
      <x:c r="C2117" s="2" t="str">
        <x:v>Brasil</x:v>
      </x:c>
      <x:c r="D2117" s="2" t="str">
        <x:v>Calçados</x:v>
      </x:c>
      <x:c r="E2117" s="11" t="n">
        <x:v>4</x:v>
      </x:c>
      <x:c r="F2117" s="12" t="n">
        <x:v>89.5</x:v>
      </x:c>
      <x:c r="G2117" s="12" t="n">
        <x:v>358</x:v>
      </x:c>
      <x:c r="H2117" s="13" t="n">
        <x:v>290</x:v>
      </x:c>
      <x:c r="I2117" s="13" t="n">
        <x:f>YEAR(B2117)</x:f>
        <x:v>2023</x:v>
      </x:c>
      <x:c r="J2117" s="13" t="n">
        <x:f>MONTH(B2117)</x:f>
        <x:v>10</x:v>
      </x:c>
      <x:c r="K2117" s="14" t="n">
        <x:f>ROUND(E2117*F2117-G2117,10)</x:f>
        <x:v>0</x:v>
      </x:c>
      <x:c r="L2117" s="2"/>
      <x:c r="M2117" s="2"/>
      <x:c r="N2117" s="2"/>
      <x:c r="O2117" s="2"/>
      <x:c r="P2117" s="2"/>
      <x:c r="Q2117" s="2"/>
      <x:c r="R2117" s="2"/>
    </x:row>
    <x:row r="2118" ht="22" customHeight="1">
      <x:c r="A2118" s="2" t="n">
        <x:v>102112</x:v>
      </x:c>
      <x:c r="B2118" s="10" t="n">
        <x:v>45462</x:v>
      </x:c>
      <x:c r="C2118" s="2" t="str">
        <x:v>Brasil</x:v>
      </x:c>
      <x:c r="D2118" s="2" t="str">
        <x:v>Moda Infantil</x:v>
      </x:c>
      <x:c r="E2118" s="11" t="n">
        <x:v>35</x:v>
      </x:c>
      <x:c r="F2118" s="12" t="n">
        <x:v>144.17</x:v>
      </x:c>
      <x:c r="G2118" s="12" t="n">
        <x:v>5045.95</x:v>
      </x:c>
      <x:c r="H2118" s="13" t="n">
        <x:v>423</x:v>
      </x:c>
      <x:c r="I2118" s="13" t="n">
        <x:f>YEAR(B2118)</x:f>
        <x:v>2024</x:v>
      </x:c>
      <x:c r="J2118" s="13" t="n">
        <x:f>MONTH(B2118)</x:f>
        <x:v>6</x:v>
      </x:c>
      <x:c r="K2118" s="14" t="n">
        <x:f>ROUND(E2118*F2118-G2118,10)</x:f>
        <x:v>0</x:v>
      </x:c>
      <x:c r="L2118" s="2"/>
      <x:c r="M2118" s="2"/>
      <x:c r="N2118" s="2"/>
      <x:c r="O2118" s="2"/>
      <x:c r="P2118" s="2"/>
      <x:c r="Q2118" s="2"/>
      <x:c r="R2118" s="2"/>
    </x:row>
    <x:row r="2119" ht="22" customHeight="1">
      <x:c r="A2119" s="2" t="n">
        <x:v>102113</x:v>
      </x:c>
      <x:c r="B2119" s="10" t="n">
        <x:v>45285</x:v>
      </x:c>
      <x:c r="C2119" s="2" t="str">
        <x:v>México</x:v>
      </x:c>
      <x:c r="D2119" s="2" t="str">
        <x:v>Moda Feminina</x:v>
      </x:c>
      <x:c r="E2119" s="11" t="n">
        <x:v>3</x:v>
      </x:c>
      <x:c r="F2119" s="12" t="n">
        <x:v>128.44</x:v>
      </x:c>
      <x:c r="G2119" s="12" t="n">
        <x:v>385.32</x:v>
      </x:c>
      <x:c r="H2119" s="13" t="n">
        <x:v>249</x:v>
      </x:c>
      <x:c r="I2119" s="13" t="n">
        <x:f>YEAR(B2119)</x:f>
        <x:v>2023</x:v>
      </x:c>
      <x:c r="J2119" s="13" t="n">
        <x:f>MONTH(B2119)</x:f>
        <x:v>12</x:v>
      </x:c>
      <x:c r="K2119" s="14" t="n">
        <x:f>ROUND(E2119*F2119-G2119,10)</x:f>
        <x:v>0</x:v>
      </x:c>
      <x:c r="L2119" s="2"/>
      <x:c r="M2119" s="2"/>
      <x:c r="N2119" s="2"/>
      <x:c r="O2119" s="2"/>
      <x:c r="P2119" s="2"/>
      <x:c r="Q2119" s="2"/>
      <x:c r="R2119" s="2"/>
    </x:row>
    <x:row r="2120" ht="22" customHeight="1">
      <x:c r="A2120" s="2" t="n">
        <x:v>102114</x:v>
      </x:c>
      <x:c r="B2120" s="10" t="n">
        <x:v>45305</x:v>
      </x:c>
      <x:c r="C2120" s="2" t="str">
        <x:v>Colômbia</x:v>
      </x:c>
      <x:c r="D2120" s="2" t="str">
        <x:v>Moda Feminina</x:v>
      </x:c>
      <x:c r="E2120" s="11" t="n">
        <x:v>45</x:v>
      </x:c>
      <x:c r="F2120" s="12" t="n">
        <x:v>39.3</x:v>
      </x:c>
      <x:c r="G2120" s="12" t="n">
        <x:v>1768.5</x:v>
      </x:c>
      <x:c r="H2120" s="13" t="n">
        <x:v>265</x:v>
      </x:c>
      <x:c r="I2120" s="13" t="n">
        <x:f>YEAR(B2120)</x:f>
        <x:v>2024</x:v>
      </x:c>
      <x:c r="J2120" s="13" t="n">
        <x:f>MONTH(B2120)</x:f>
        <x:v>1</x:v>
      </x:c>
      <x:c r="K2120" s="14" t="n">
        <x:f>ROUND(E2120*F2120-G2120,10)</x:f>
        <x:v>0</x:v>
      </x:c>
      <x:c r="L2120" s="2"/>
      <x:c r="M2120" s="2"/>
      <x:c r="N2120" s="2"/>
      <x:c r="O2120" s="2"/>
      <x:c r="P2120" s="2"/>
      <x:c r="Q2120" s="2"/>
      <x:c r="R2120" s="2"/>
    </x:row>
    <x:row r="2121" ht="22" customHeight="1">
      <x:c r="A2121" s="2" t="n">
        <x:v>102115</x:v>
      </x:c>
      <x:c r="B2121" s="10" t="n">
        <x:v>45154</x:v>
      </x:c>
      <x:c r="C2121" s="2" t="str">
        <x:v>Chile</x:v>
      </x:c>
      <x:c r="D2121" s="2" t="str">
        <x:v>Acessórios</x:v>
      </x:c>
      <x:c r="E2121" s="11" t="n">
        <x:v>40</x:v>
      </x:c>
      <x:c r="F2121" s="12" t="n">
        <x:v>111.47</x:v>
      </x:c>
      <x:c r="G2121" s="12" t="n">
        <x:v>4458.8</x:v>
      </x:c>
      <x:c r="H2121" s="13" t="n">
        <x:v>254</x:v>
      </x:c>
      <x:c r="I2121" s="13" t="n">
        <x:f>YEAR(B2121)</x:f>
        <x:v>2023</x:v>
      </x:c>
      <x:c r="J2121" s="13" t="n">
        <x:f>MONTH(B2121)</x:f>
        <x:v>8</x:v>
      </x:c>
      <x:c r="K2121" s="14" t="n">
        <x:f>ROUND(E2121*F2121-G2121,10)</x:f>
        <x:v>0</x:v>
      </x:c>
      <x:c r="L2121" s="2"/>
      <x:c r="M2121" s="2"/>
      <x:c r="N2121" s="2"/>
      <x:c r="O2121" s="2"/>
      <x:c r="P2121" s="2"/>
      <x:c r="Q2121" s="2"/>
      <x:c r="R2121" s="2"/>
    </x:row>
    <x:row r="2122" ht="22" customHeight="1">
      <x:c r="A2122" s="2" t="n">
        <x:v>102116</x:v>
      </x:c>
      <x:c r="B2122" s="10" t="n">
        <x:v>44983</x:v>
      </x:c>
      <x:c r="C2122" s="2" t="str">
        <x:v>Colômbia</x:v>
      </x:c>
      <x:c r="D2122" s="2" t="str">
        <x:v>Acessórios</x:v>
      </x:c>
      <x:c r="E2122" s="11" t="n">
        <x:v>7</x:v>
      </x:c>
      <x:c r="F2122" s="12" t="n">
        <x:v>152.39</x:v>
      </x:c>
      <x:c r="G2122" s="12" t="n">
        <x:v>1066.73</x:v>
      </x:c>
      <x:c r="H2122" s="13" t="n">
        <x:v>462</x:v>
      </x:c>
      <x:c r="I2122" s="13" t="n">
        <x:f>YEAR(B2122)</x:f>
        <x:v>2023</x:v>
      </x:c>
      <x:c r="J2122" s="13" t="n">
        <x:f>MONTH(B2122)</x:f>
        <x:v>2</x:v>
      </x:c>
      <x:c r="K2122" s="14" t="n">
        <x:f>ROUND(E2122*F2122-G2122,10)</x:f>
        <x:v>0</x:v>
      </x:c>
      <x:c r="L2122" s="2"/>
      <x:c r="M2122" s="2"/>
      <x:c r="N2122" s="2"/>
      <x:c r="O2122" s="2"/>
      <x:c r="P2122" s="2"/>
      <x:c r="Q2122" s="2"/>
      <x:c r="R2122" s="2"/>
    </x:row>
    <x:row r="2123" ht="22" customHeight="1">
      <x:c r="A2123" s="2" t="n">
        <x:v>102117</x:v>
      </x:c>
      <x:c r="B2123" s="10" t="n">
        <x:v>45049</x:v>
      </x:c>
      <x:c r="C2123" s="2" t="str">
        <x:v>Brasil</x:v>
      </x:c>
      <x:c r="D2123" s="2" t="str">
        <x:v>Moda Feminina</x:v>
      </x:c>
      <x:c r="E2123" s="11" t="n">
        <x:v>27</x:v>
      </x:c>
      <x:c r="F2123" s="12" t="n">
        <x:v>198.57</x:v>
      </x:c>
      <x:c r="G2123" s="12" t="n">
        <x:v>5361.389999999999</x:v>
      </x:c>
      <x:c r="H2123" s="13" t="n">
        <x:v>465</x:v>
      </x:c>
      <x:c r="I2123" s="13" t="n">
        <x:f>YEAR(B2123)</x:f>
        <x:v>2023</x:v>
      </x:c>
      <x:c r="J2123" s="13" t="n">
        <x:f>MONTH(B2123)</x:f>
        <x:v>5</x:v>
      </x:c>
      <x:c r="K2123" s="14" t="n">
        <x:f>ROUND(E2123*F2123-G2123,10)</x:f>
        <x:v>0</x:v>
      </x:c>
      <x:c r="L2123" s="2"/>
      <x:c r="M2123" s="2"/>
      <x:c r="N2123" s="2"/>
      <x:c r="O2123" s="2"/>
      <x:c r="P2123" s="2"/>
      <x:c r="Q2123" s="2"/>
      <x:c r="R2123" s="2"/>
    </x:row>
    <x:row r="2124" ht="22" customHeight="1">
      <x:c r="A2124" s="2" t="n">
        <x:v>102118</x:v>
      </x:c>
      <x:c r="B2124" s="10" t="n">
        <x:v>45542</x:v>
      </x:c>
      <x:c r="C2124" s="2" t="str">
        <x:v>Brasil</x:v>
      </x:c>
      <x:c r="D2124" s="2" t="str">
        <x:v>Calçados</x:v>
      </x:c>
      <x:c r="E2124" s="11" t="n">
        <x:v>1</x:v>
      </x:c>
      <x:c r="F2124" s="12" t="n">
        <x:v>133.25</x:v>
      </x:c>
      <x:c r="G2124" s="12" t="n">
        <x:v>133.25</x:v>
      </x:c>
      <x:c r="H2124" s="13" t="n">
        <x:v>265</x:v>
      </x:c>
      <x:c r="I2124" s="13" t="n">
        <x:f>YEAR(B2124)</x:f>
        <x:v>2024</x:v>
      </x:c>
      <x:c r="J2124" s="13" t="n">
        <x:f>MONTH(B2124)</x:f>
        <x:v>9</x:v>
      </x:c>
      <x:c r="K2124" s="14" t="n">
        <x:f>ROUND(E2124*F2124-G2124,10)</x:f>
        <x:v>0</x:v>
      </x:c>
      <x:c r="L2124" s="2"/>
      <x:c r="M2124" s="2"/>
      <x:c r="N2124" s="2"/>
      <x:c r="O2124" s="2"/>
      <x:c r="P2124" s="2"/>
      <x:c r="Q2124" s="2"/>
      <x:c r="R2124" s="2"/>
    </x:row>
    <x:row r="2125" ht="22" customHeight="1">
      <x:c r="A2125" s="2" t="n">
        <x:v>102119</x:v>
      </x:c>
      <x:c r="B2125" s="10" t="n">
        <x:v>45422</x:v>
      </x:c>
      <x:c r="C2125" s="2" t="str">
        <x:v>Peru</x:v>
      </x:c>
      <x:c r="D2125" s="2" t="str">
        <x:v>Moda Feminina</x:v>
      </x:c>
      <x:c r="E2125" s="11" t="n">
        <x:v>27</x:v>
      </x:c>
      <x:c r="F2125" s="12" t="n">
        <x:v>86.65</x:v>
      </x:c>
      <x:c r="G2125" s="12" t="n">
        <x:v>2339.55</x:v>
      </x:c>
      <x:c r="H2125" s="13" t="n">
        <x:v>129</x:v>
      </x:c>
      <x:c r="I2125" s="13" t="n">
        <x:f>YEAR(B2125)</x:f>
        <x:v>2024</x:v>
      </x:c>
      <x:c r="J2125" s="13" t="n">
        <x:f>MONTH(B2125)</x:f>
        <x:v>5</x:v>
      </x:c>
      <x:c r="K2125" s="14" t="n">
        <x:f>ROUND(E2125*F2125-G2125,10)</x:f>
        <x:v>0</x:v>
      </x:c>
      <x:c r="L2125" s="2"/>
      <x:c r="M2125" s="2"/>
      <x:c r="N2125" s="2"/>
      <x:c r="O2125" s="2"/>
      <x:c r="P2125" s="2"/>
      <x:c r="Q2125" s="2"/>
      <x:c r="R2125" s="2"/>
    </x:row>
    <x:row r="2126" ht="22" customHeight="1">
      <x:c r="A2126" s="2" t="n">
        <x:v>102120</x:v>
      </x:c>
      <x:c r="B2126" s="10" t="n">
        <x:v>45122</x:v>
      </x:c>
      <x:c r="C2126" s="2" t="str">
        <x:v>Colômbia</x:v>
      </x:c>
      <x:c r="D2126" s="2" t="str">
        <x:v>Moda Masculina</x:v>
      </x:c>
      <x:c r="E2126" s="11" t="n">
        <x:v>16</x:v>
      </x:c>
      <x:c r="F2126" s="12" t="n">
        <x:v>60.71</x:v>
      </x:c>
      <x:c r="G2126" s="12" t="n">
        <x:v>971.36</x:v>
      </x:c>
      <x:c r="H2126" s="13" t="n">
        <x:v>316</x:v>
      </x:c>
      <x:c r="I2126" s="13" t="n">
        <x:f>YEAR(B2126)</x:f>
        <x:v>2023</x:v>
      </x:c>
      <x:c r="J2126" s="13" t="n">
        <x:f>MONTH(B2126)</x:f>
        <x:v>7</x:v>
      </x:c>
      <x:c r="K2126" s="14" t="n">
        <x:f>ROUND(E2126*F2126-G2126,10)</x:f>
        <x:v>0</x:v>
      </x:c>
      <x:c r="L2126" s="2"/>
      <x:c r="M2126" s="2"/>
      <x:c r="N2126" s="2"/>
      <x:c r="O2126" s="2"/>
      <x:c r="P2126" s="2"/>
      <x:c r="Q2126" s="2"/>
      <x:c r="R2126" s="2"/>
    </x:row>
    <x:row r="2127" ht="22" customHeight="1">
      <x:c r="A2127" s="2" t="n">
        <x:v>102121</x:v>
      </x:c>
      <x:c r="B2127" s="10" t="n">
        <x:v>45203</x:v>
      </x:c>
      <x:c r="C2127" s="2" t="str">
        <x:v>Colômbia</x:v>
      </x:c>
      <x:c r="D2127" s="2" t="str">
        <x:v>Moda Infantil</x:v>
      </x:c>
      <x:c r="E2127" s="11" t="n">
        <x:v>38</x:v>
      </x:c>
      <x:c r="F2127" s="12" t="n">
        <x:v>177.11</x:v>
      </x:c>
      <x:c r="G2127" s="12" t="n">
        <x:v>6730.18</x:v>
      </x:c>
      <x:c r="H2127" s="13" t="n">
        <x:v>439</x:v>
      </x:c>
      <x:c r="I2127" s="13" t="n">
        <x:f>YEAR(B2127)</x:f>
        <x:v>2023</x:v>
      </x:c>
      <x:c r="J2127" s="13" t="n">
        <x:f>MONTH(B2127)</x:f>
        <x:v>10</x:v>
      </x:c>
      <x:c r="K2127" s="14" t="n">
        <x:f>ROUND(E2127*F2127-G2127,10)</x:f>
        <x:v>0</x:v>
      </x:c>
      <x:c r="L2127" s="2"/>
      <x:c r="M2127" s="2"/>
      <x:c r="N2127" s="2"/>
      <x:c r="O2127" s="2"/>
      <x:c r="P2127" s="2"/>
      <x:c r="Q2127" s="2"/>
      <x:c r="R2127" s="2"/>
    </x:row>
    <x:row r="2128" ht="22" customHeight="1">
      <x:c r="A2128" s="2" t="n">
        <x:v>102122</x:v>
      </x:c>
      <x:c r="B2128" s="10" t="n">
        <x:v>45022</x:v>
      </x:c>
      <x:c r="C2128" s="2" t="str">
        <x:v>Brasil</x:v>
      </x:c>
      <x:c r="D2128" s="2" t="str">
        <x:v>Calçados</x:v>
      </x:c>
      <x:c r="E2128" s="11" t="n">
        <x:v>7</x:v>
      </x:c>
      <x:c r="F2128" s="12" t="n">
        <x:v>166.62</x:v>
      </x:c>
      <x:c r="G2128" s="12" t="n">
        <x:v>1166.34</x:v>
      </x:c>
      <x:c r="H2128" s="13" t="n">
        <x:v>428</x:v>
      </x:c>
      <x:c r="I2128" s="13" t="n">
        <x:f>YEAR(B2128)</x:f>
        <x:v>2023</x:v>
      </x:c>
      <x:c r="J2128" s="13" t="n">
        <x:f>MONTH(B2128)</x:f>
        <x:v>4</x:v>
      </x:c>
      <x:c r="K2128" s="14" t="n">
        <x:f>ROUND(E2128*F2128-G2128,10)</x:f>
        <x:v>0</x:v>
      </x:c>
      <x:c r="L2128" s="2"/>
      <x:c r="M2128" s="2"/>
      <x:c r="N2128" s="2"/>
      <x:c r="O2128" s="2"/>
      <x:c r="P2128" s="2"/>
      <x:c r="Q2128" s="2"/>
      <x:c r="R2128" s="2"/>
    </x:row>
    <x:row r="2129" ht="22" customHeight="1">
      <x:c r="A2129" s="2" t="n">
        <x:v>102123</x:v>
      </x:c>
      <x:c r="B2129" s="10" t="n">
        <x:v>45154</x:v>
      </x:c>
      <x:c r="C2129" s="2" t="str">
        <x:v>Chile</x:v>
      </x:c>
      <x:c r="D2129" s="2" t="str">
        <x:v>Moda Masculina</x:v>
      </x:c>
      <x:c r="E2129" s="11" t="n">
        <x:v>44</x:v>
      </x:c>
      <x:c r="F2129" s="12" t="n">
        <x:v>62.11</x:v>
      </x:c>
      <x:c r="G2129" s="12" t="n">
        <x:v>2732.84</x:v>
      </x:c>
      <x:c r="H2129" s="13" t="n">
        <x:v>84</x:v>
      </x:c>
      <x:c r="I2129" s="13" t="n">
        <x:f>YEAR(B2129)</x:f>
        <x:v>2023</x:v>
      </x:c>
      <x:c r="J2129" s="13" t="n">
        <x:f>MONTH(B2129)</x:f>
        <x:v>8</x:v>
      </x:c>
      <x:c r="K2129" s="14" t="n">
        <x:f>ROUND(E2129*F2129-G2129,10)</x:f>
        <x:v>0</x:v>
      </x:c>
      <x:c r="L2129" s="2"/>
      <x:c r="M2129" s="2"/>
      <x:c r="N2129" s="2"/>
      <x:c r="O2129" s="2"/>
      <x:c r="P2129" s="2"/>
      <x:c r="Q2129" s="2"/>
      <x:c r="R2129" s="2"/>
    </x:row>
    <x:row r="2130" ht="22" customHeight="1">
      <x:c r="A2130" s="2" t="n">
        <x:v>102124</x:v>
      </x:c>
      <x:c r="B2130" s="10" t="n">
        <x:v>45349</x:v>
      </x:c>
      <x:c r="C2130" s="2" t="str">
        <x:v>México</x:v>
      </x:c>
      <x:c r="D2130" s="2" t="str">
        <x:v>Calçados</x:v>
      </x:c>
      <x:c r="E2130" s="11" t="n">
        <x:v>23</x:v>
      </x:c>
      <x:c r="F2130" s="12" t="n">
        <x:v>56.11</x:v>
      </x:c>
      <x:c r="G2130" s="12" t="n">
        <x:v>1290.53</x:v>
      </x:c>
      <x:c r="H2130" s="13" t="n">
        <x:v>338</x:v>
      </x:c>
      <x:c r="I2130" s="13" t="n">
        <x:f>YEAR(B2130)</x:f>
        <x:v>2024</x:v>
      </x:c>
      <x:c r="J2130" s="13" t="n">
        <x:f>MONTH(B2130)</x:f>
        <x:v>2</x:v>
      </x:c>
      <x:c r="K2130" s="14" t="n">
        <x:f>ROUND(E2130*F2130-G2130,10)</x:f>
        <x:v>0</x:v>
      </x:c>
      <x:c r="L2130" s="2"/>
      <x:c r="M2130" s="2"/>
      <x:c r="N2130" s="2"/>
      <x:c r="O2130" s="2"/>
      <x:c r="P2130" s="2"/>
      <x:c r="Q2130" s="2"/>
      <x:c r="R2130" s="2"/>
    </x:row>
    <x:row r="2131" ht="22" customHeight="1">
      <x:c r="A2131" s="2" t="n">
        <x:v>102125</x:v>
      </x:c>
      <x:c r="B2131" s="10" t="n">
        <x:v>45445</x:v>
      </x:c>
      <x:c r="C2131" s="2" t="str">
        <x:v>México</x:v>
      </x:c>
      <x:c r="D2131" s="2" t="str">
        <x:v>Moda Masculina</x:v>
      </x:c>
      <x:c r="E2131" s="11" t="n">
        <x:v>41</x:v>
      </x:c>
      <x:c r="F2131" s="12" t="n">
        <x:v>148.72</x:v>
      </x:c>
      <x:c r="G2131" s="12" t="n">
        <x:v>6097.52</x:v>
      </x:c>
      <x:c r="H2131" s="13" t="n">
        <x:v>67</x:v>
      </x:c>
      <x:c r="I2131" s="13" t="n">
        <x:f>YEAR(B2131)</x:f>
        <x:v>2024</x:v>
      </x:c>
      <x:c r="J2131" s="13" t="n">
        <x:f>MONTH(B2131)</x:f>
        <x:v>6</x:v>
      </x:c>
      <x:c r="K2131" s="14" t="n">
        <x:f>ROUND(E2131*F2131-G2131,10)</x:f>
        <x:v>0</x:v>
      </x:c>
      <x:c r="L2131" s="2"/>
      <x:c r="M2131" s="2"/>
      <x:c r="N2131" s="2"/>
      <x:c r="O2131" s="2"/>
      <x:c r="P2131" s="2"/>
      <x:c r="Q2131" s="2"/>
      <x:c r="R2131" s="2"/>
    </x:row>
    <x:row r="2132" ht="22" customHeight="1">
      <x:c r="A2132" s="2" t="n">
        <x:v>102126</x:v>
      </x:c>
      <x:c r="B2132" s="10" t="n">
        <x:v>45262</x:v>
      </x:c>
      <x:c r="C2132" s="2" t="str">
        <x:v>Colômbia</x:v>
      </x:c>
      <x:c r="D2132" s="2" t="str">
        <x:v>Moda Infantil</x:v>
      </x:c>
      <x:c r="E2132" s="11" t="n">
        <x:v>11</x:v>
      </x:c>
      <x:c r="F2132" s="12" t="n">
        <x:v>76.69</x:v>
      </x:c>
      <x:c r="G2132" s="12" t="n">
        <x:v>843.5899999999999</x:v>
      </x:c>
      <x:c r="H2132" s="13" t="n">
        <x:v>214</x:v>
      </x:c>
      <x:c r="I2132" s="13" t="n">
        <x:f>YEAR(B2132)</x:f>
        <x:v>2023</x:v>
      </x:c>
      <x:c r="J2132" s="13" t="n">
        <x:f>MONTH(B2132)</x:f>
        <x:v>12</x:v>
      </x:c>
      <x:c r="K2132" s="14" t="n">
        <x:f>ROUND(E2132*F2132-G2132,10)</x:f>
        <x:v>0</x:v>
      </x:c>
      <x:c r="L2132" s="2"/>
      <x:c r="M2132" s="2"/>
      <x:c r="N2132" s="2"/>
      <x:c r="O2132" s="2"/>
      <x:c r="P2132" s="2"/>
      <x:c r="Q2132" s="2"/>
      <x:c r="R2132" s="2"/>
    </x:row>
    <x:row r="2133" ht="22" customHeight="1">
      <x:c r="A2133" s="2" t="n">
        <x:v>102127</x:v>
      </x:c>
      <x:c r="B2133" s="10" t="n">
        <x:v>45370</x:v>
      </x:c>
      <x:c r="C2133" s="2" t="str">
        <x:v>México</x:v>
      </x:c>
      <x:c r="D2133" s="2" t="str">
        <x:v>Moda Infantil</x:v>
      </x:c>
      <x:c r="E2133" s="11" t="n">
        <x:v>42</x:v>
      </x:c>
      <x:c r="F2133" s="12" t="n">
        <x:v>75.15</x:v>
      </x:c>
      <x:c r="G2133" s="12" t="n">
        <x:v>3156.3</x:v>
      </x:c>
      <x:c r="H2133" s="13" t="n">
        <x:v>62</x:v>
      </x:c>
      <x:c r="I2133" s="13" t="n">
        <x:f>YEAR(B2133)</x:f>
        <x:v>2024</x:v>
      </x:c>
      <x:c r="J2133" s="13" t="n">
        <x:f>MONTH(B2133)</x:f>
        <x:v>3</x:v>
      </x:c>
      <x:c r="K2133" s="14" t="n">
        <x:f>ROUND(E2133*F2133-G2133,10)</x:f>
        <x:v>0</x:v>
      </x:c>
      <x:c r="L2133" s="2"/>
      <x:c r="M2133" s="2"/>
      <x:c r="N2133" s="2"/>
      <x:c r="O2133" s="2"/>
      <x:c r="P2133" s="2"/>
      <x:c r="Q2133" s="2"/>
      <x:c r="R2133" s="2"/>
    </x:row>
    <x:row r="2134" ht="22" customHeight="1">
      <x:c r="A2134" s="2" t="n">
        <x:v>102128</x:v>
      </x:c>
      <x:c r="B2134" s="10" t="n">
        <x:v>45080</x:v>
      </x:c>
      <x:c r="C2134" s="2" t="str">
        <x:v>Brasil</x:v>
      </x:c>
      <x:c r="D2134" s="2" t="str">
        <x:v>Acessórios</x:v>
      </x:c>
      <x:c r="E2134" s="11" t="n">
        <x:v>33</x:v>
      </x:c>
      <x:c r="F2134" s="12" t="n">
        <x:v>47.41</x:v>
      </x:c>
      <x:c r="G2134" s="12" t="n">
        <x:v>1564.53</x:v>
      </x:c>
      <x:c r="H2134" s="13" t="n">
        <x:v>251</x:v>
      </x:c>
      <x:c r="I2134" s="13" t="n">
        <x:f>YEAR(B2134)</x:f>
        <x:v>2023</x:v>
      </x:c>
      <x:c r="J2134" s="13" t="n">
        <x:f>MONTH(B2134)</x:f>
        <x:v>6</x:v>
      </x:c>
      <x:c r="K2134" s="14" t="n">
        <x:f>ROUND(E2134*F2134-G2134,10)</x:f>
        <x:v>0</x:v>
      </x:c>
      <x:c r="L2134" s="2"/>
      <x:c r="M2134" s="2"/>
      <x:c r="N2134" s="2"/>
      <x:c r="O2134" s="2"/>
      <x:c r="P2134" s="2"/>
      <x:c r="Q2134" s="2"/>
      <x:c r="R2134" s="2"/>
    </x:row>
    <x:row r="2135" ht="22" customHeight="1">
      <x:c r="A2135" s="2" t="n">
        <x:v>102129</x:v>
      </x:c>
      <x:c r="B2135" s="10" t="n">
        <x:v>44932</x:v>
      </x:c>
      <x:c r="C2135" s="2" t="str">
        <x:v>Brasil</x:v>
      </x:c>
      <x:c r="D2135" s="2" t="str">
        <x:v>Moda Masculina</x:v>
      </x:c>
      <x:c r="E2135" s="11" t="n">
        <x:v>36</x:v>
      </x:c>
      <x:c r="F2135" s="12" t="n">
        <x:v>67.52</x:v>
      </x:c>
      <x:c r="G2135" s="12" t="n">
        <x:v>2430.72</x:v>
      </x:c>
      <x:c r="H2135" s="13" t="n">
        <x:v>278</x:v>
      </x:c>
      <x:c r="I2135" s="13" t="n">
        <x:f>YEAR(B2135)</x:f>
        <x:v>2023</x:v>
      </x:c>
      <x:c r="J2135" s="13" t="n">
        <x:f>MONTH(B2135)</x:f>
        <x:v>1</x:v>
      </x:c>
      <x:c r="K2135" s="14" t="n">
        <x:f>ROUND(E2135*F2135-G2135,10)</x:f>
        <x:v>0</x:v>
      </x:c>
      <x:c r="L2135" s="2"/>
      <x:c r="M2135" s="2"/>
      <x:c r="N2135" s="2"/>
      <x:c r="O2135" s="2"/>
      <x:c r="P2135" s="2"/>
      <x:c r="Q2135" s="2"/>
      <x:c r="R2135" s="2"/>
    </x:row>
    <x:row r="2136" ht="22" customHeight="1">
      <x:c r="A2136" s="2" t="n">
        <x:v>102130</x:v>
      </x:c>
      <x:c r="B2136" s="10" t="n">
        <x:v>45028</x:v>
      </x:c>
      <x:c r="C2136" s="2" t="str">
        <x:v>Colômbia</x:v>
      </x:c>
      <x:c r="D2136" s="2" t="str">
        <x:v>Acessórios</x:v>
      </x:c>
      <x:c r="E2136" s="11" t="n">
        <x:v>37</x:v>
      </x:c>
      <x:c r="F2136" s="12" t="n">
        <x:v>96.95</x:v>
      </x:c>
      <x:c r="G2136" s="12" t="n">
        <x:v>3587.15</x:v>
      </x:c>
      <x:c r="H2136" s="13" t="n">
        <x:v>395</x:v>
      </x:c>
      <x:c r="I2136" s="13" t="n">
        <x:f>YEAR(B2136)</x:f>
        <x:v>2023</x:v>
      </x:c>
      <x:c r="J2136" s="13" t="n">
        <x:f>MONTH(B2136)</x:f>
        <x:v>4</x:v>
      </x:c>
      <x:c r="K2136" s="14" t="n">
        <x:f>ROUND(E2136*F2136-G2136,10)</x:f>
        <x:v>0</x:v>
      </x:c>
      <x:c r="L2136" s="2"/>
      <x:c r="M2136" s="2"/>
      <x:c r="N2136" s="2"/>
      <x:c r="O2136" s="2"/>
      <x:c r="P2136" s="2"/>
      <x:c r="Q2136" s="2"/>
      <x:c r="R2136" s="2"/>
    </x:row>
    <x:row r="2137" ht="22" customHeight="1">
      <x:c r="A2137" s="2" t="n">
        <x:v>102131</x:v>
      </x:c>
      <x:c r="B2137" s="10" t="n">
        <x:v>45531</x:v>
      </x:c>
      <x:c r="C2137" s="2" t="str">
        <x:v>Colômbia</x:v>
      </x:c>
      <x:c r="D2137" s="2" t="str">
        <x:v>Moda Masculina</x:v>
      </x:c>
      <x:c r="E2137" s="11" t="n">
        <x:v>41</x:v>
      </x:c>
      <x:c r="F2137" s="12" t="n">
        <x:v>151.91</x:v>
      </x:c>
      <x:c r="G2137" s="12" t="n">
        <x:v>6228.309999999999</x:v>
      </x:c>
      <x:c r="H2137" s="13" t="n">
        <x:v>415</x:v>
      </x:c>
      <x:c r="I2137" s="13" t="n">
        <x:f>YEAR(B2137)</x:f>
        <x:v>2024</x:v>
      </x:c>
      <x:c r="J2137" s="13" t="n">
        <x:f>MONTH(B2137)</x:f>
        <x:v>8</x:v>
      </x:c>
      <x:c r="K2137" s="14" t="n">
        <x:f>ROUND(E2137*F2137-G2137,10)</x:f>
        <x:v>0</x:v>
      </x:c>
      <x:c r="L2137" s="2"/>
      <x:c r="M2137" s="2"/>
      <x:c r="N2137" s="2"/>
      <x:c r="O2137" s="2"/>
      <x:c r="P2137" s="2"/>
      <x:c r="Q2137" s="2"/>
      <x:c r="R2137" s="2"/>
    </x:row>
    <x:row r="2138" ht="22" customHeight="1">
      <x:c r="A2138" s="2" t="n">
        <x:v>102132</x:v>
      </x:c>
      <x:c r="B2138" s="10" t="n">
        <x:v>45531</x:v>
      </x:c>
      <x:c r="C2138" s="2" t="str">
        <x:v>Peru</x:v>
      </x:c>
      <x:c r="D2138" s="2" t="str">
        <x:v>Acessórios</x:v>
      </x:c>
      <x:c r="E2138" s="11" t="n">
        <x:v>17</x:v>
      </x:c>
      <x:c r="F2138" s="12" t="n">
        <x:v>80.54</x:v>
      </x:c>
      <x:c r="G2138" s="12" t="n">
        <x:v>1369.18</x:v>
      </x:c>
      <x:c r="H2138" s="13" t="n">
        <x:v>497</x:v>
      </x:c>
      <x:c r="I2138" s="13" t="n">
        <x:f>YEAR(B2138)</x:f>
        <x:v>2024</x:v>
      </x:c>
      <x:c r="J2138" s="13" t="n">
        <x:f>MONTH(B2138)</x:f>
        <x:v>8</x:v>
      </x:c>
      <x:c r="K2138" s="14" t="n">
        <x:f>ROUND(E2138*F2138-G2138,10)</x:f>
        <x:v>0</x:v>
      </x:c>
      <x:c r="L2138" s="2"/>
      <x:c r="M2138" s="2"/>
      <x:c r="N2138" s="2"/>
      <x:c r="O2138" s="2"/>
      <x:c r="P2138" s="2"/>
      <x:c r="Q2138" s="2"/>
      <x:c r="R2138" s="2"/>
    </x:row>
    <x:row r="2139" ht="22" customHeight="1">
      <x:c r="A2139" s="2" t="n">
        <x:v>102133</x:v>
      </x:c>
      <x:c r="B2139" s="10" t="n">
        <x:v>45216</x:v>
      </x:c>
      <x:c r="C2139" s="2" t="str">
        <x:v>Colômbia</x:v>
      </x:c>
      <x:c r="D2139" s="2" t="str">
        <x:v>Moda Infantil</x:v>
      </x:c>
      <x:c r="E2139" s="11" t="n">
        <x:v>35</x:v>
      </x:c>
      <x:c r="F2139" s="12" t="n">
        <x:v>79.15</x:v>
      </x:c>
      <x:c r="G2139" s="12" t="n">
        <x:v>2770.25</x:v>
      </x:c>
      <x:c r="H2139" s="13" t="n">
        <x:v>50</x:v>
      </x:c>
      <x:c r="I2139" s="13" t="n">
        <x:f>YEAR(B2139)</x:f>
        <x:v>2023</x:v>
      </x:c>
      <x:c r="J2139" s="13" t="n">
        <x:f>MONTH(B2139)</x:f>
        <x:v>10</x:v>
      </x:c>
      <x:c r="K2139" s="14" t="n">
        <x:f>ROUND(E2139*F2139-G2139,10)</x:f>
        <x:v>0</x:v>
      </x:c>
      <x:c r="L2139" s="2"/>
      <x:c r="M2139" s="2"/>
      <x:c r="N2139" s="2"/>
      <x:c r="O2139" s="2"/>
      <x:c r="P2139" s="2"/>
      <x:c r="Q2139" s="2"/>
      <x:c r="R2139" s="2"/>
    </x:row>
    <x:row r="2140" ht="22" customHeight="1">
      <x:c r="A2140" s="2" t="n">
        <x:v>102134</x:v>
      </x:c>
      <x:c r="B2140" s="10" t="n">
        <x:v>45194</x:v>
      </x:c>
      <x:c r="C2140" s="2" t="str">
        <x:v>Chile</x:v>
      </x:c>
      <x:c r="D2140" s="2" t="str">
        <x:v>Calçados</x:v>
      </x:c>
      <x:c r="E2140" s="11" t="n">
        <x:v>48</x:v>
      </x:c>
      <x:c r="F2140" s="12" t="n">
        <x:v>71.28</x:v>
      </x:c>
      <x:c r="G2140" s="12" t="n">
        <x:v>3421.44</x:v>
      </x:c>
      <x:c r="H2140" s="13" t="n">
        <x:v>368</x:v>
      </x:c>
      <x:c r="I2140" s="13" t="n">
        <x:f>YEAR(B2140)</x:f>
        <x:v>2023</x:v>
      </x:c>
      <x:c r="J2140" s="13" t="n">
        <x:f>MONTH(B2140)</x:f>
        <x:v>9</x:v>
      </x:c>
      <x:c r="K2140" s="14" t="n">
        <x:f>ROUND(E2140*F2140-G2140,10)</x:f>
        <x:v>0</x:v>
      </x:c>
      <x:c r="L2140" s="2"/>
      <x:c r="M2140" s="2"/>
      <x:c r="N2140" s="2"/>
      <x:c r="O2140" s="2"/>
      <x:c r="P2140" s="2"/>
      <x:c r="Q2140" s="2"/>
      <x:c r="R2140" s="2"/>
    </x:row>
    <x:row r="2141" ht="22" customHeight="1">
      <x:c r="A2141" s="2" t="n">
        <x:v>102135</x:v>
      </x:c>
      <x:c r="B2141" s="10" t="n">
        <x:v>45331</x:v>
      </x:c>
      <x:c r="C2141" s="2" t="str">
        <x:v>México</x:v>
      </x:c>
      <x:c r="D2141" s="2" t="str">
        <x:v>Acessórios</x:v>
      </x:c>
      <x:c r="E2141" s="11" t="n">
        <x:v>5</x:v>
      </x:c>
      <x:c r="F2141" s="12" t="n">
        <x:v>106.09</x:v>
      </x:c>
      <x:c r="G2141" s="12" t="n">
        <x:v>530.45</x:v>
      </x:c>
      <x:c r="H2141" s="13" t="n">
        <x:v>266</x:v>
      </x:c>
      <x:c r="I2141" s="13" t="n">
        <x:f>YEAR(B2141)</x:f>
        <x:v>2024</x:v>
      </x:c>
      <x:c r="J2141" s="13" t="n">
        <x:f>MONTH(B2141)</x:f>
        <x:v>2</x:v>
      </x:c>
      <x:c r="K2141" s="14" t="n">
        <x:f>ROUND(E2141*F2141-G2141,10)</x:f>
        <x:v>0</x:v>
      </x:c>
      <x:c r="L2141" s="2"/>
      <x:c r="M2141" s="2"/>
      <x:c r="N2141" s="2"/>
      <x:c r="O2141" s="2"/>
      <x:c r="P2141" s="2"/>
      <x:c r="Q2141" s="2"/>
      <x:c r="R2141" s="2"/>
    </x:row>
    <x:row r="2142" ht="22" customHeight="1">
      <x:c r="A2142" s="2" t="n">
        <x:v>102136</x:v>
      </x:c>
      <x:c r="B2142" s="10" t="n">
        <x:v>45641</x:v>
      </x:c>
      <x:c r="C2142" s="2" t="str">
        <x:v>Colômbia</x:v>
      </x:c>
      <x:c r="D2142" s="2" t="str">
        <x:v>Moda Masculina</x:v>
      </x:c>
      <x:c r="E2142" s="11" t="n">
        <x:v>48</x:v>
      </x:c>
      <x:c r="F2142" s="12" t="n">
        <x:v>52.51</x:v>
      </x:c>
      <x:c r="G2142" s="12" t="n">
        <x:v>2520.48</x:v>
      </x:c>
      <x:c r="H2142" s="13" t="n">
        <x:v>83</x:v>
      </x:c>
      <x:c r="I2142" s="13" t="n">
        <x:f>YEAR(B2142)</x:f>
        <x:v>2024</x:v>
      </x:c>
      <x:c r="J2142" s="13" t="n">
        <x:f>MONTH(B2142)</x:f>
        <x:v>12</x:v>
      </x:c>
      <x:c r="K2142" s="14" t="n">
        <x:f>ROUND(E2142*F2142-G2142,10)</x:f>
        <x:v>0</x:v>
      </x:c>
      <x:c r="L2142" s="2"/>
      <x:c r="M2142" s="2"/>
      <x:c r="N2142" s="2"/>
      <x:c r="O2142" s="2"/>
      <x:c r="P2142" s="2"/>
      <x:c r="Q2142" s="2"/>
      <x:c r="R2142" s="2"/>
    </x:row>
    <x:row r="2143" ht="22" customHeight="1">
      <x:c r="A2143" s="2" t="n">
        <x:v>102137</x:v>
      </x:c>
      <x:c r="B2143" s="10" t="n">
        <x:v>44947</x:v>
      </x:c>
      <x:c r="C2143" s="2" t="str">
        <x:v>Argentina</x:v>
      </x:c>
      <x:c r="D2143" s="2" t="str">
        <x:v>Moda Masculina</x:v>
      </x:c>
      <x:c r="E2143" s="11" t="n">
        <x:v>32</x:v>
      </x:c>
      <x:c r="F2143" s="12" t="n">
        <x:v>107.41</x:v>
      </x:c>
      <x:c r="G2143" s="12" t="n">
        <x:v>3437.12</x:v>
      </x:c>
      <x:c r="H2143" s="13" t="n">
        <x:v>408</x:v>
      </x:c>
      <x:c r="I2143" s="13" t="n">
        <x:f>YEAR(B2143)</x:f>
        <x:v>2023</x:v>
      </x:c>
      <x:c r="J2143" s="13" t="n">
        <x:f>MONTH(B2143)</x:f>
        <x:v>1</x:v>
      </x:c>
      <x:c r="K2143" s="14" t="n">
        <x:f>ROUND(E2143*F2143-G2143,10)</x:f>
        <x:v>0</x:v>
      </x:c>
      <x:c r="L2143" s="2"/>
      <x:c r="M2143" s="2"/>
      <x:c r="N2143" s="2"/>
      <x:c r="O2143" s="2"/>
      <x:c r="P2143" s="2"/>
      <x:c r="Q2143" s="2"/>
      <x:c r="R2143" s="2"/>
    </x:row>
    <x:row r="2144" ht="22" customHeight="1">
      <x:c r="A2144" s="2" t="n">
        <x:v>102138</x:v>
      </x:c>
      <x:c r="B2144" s="10" t="n">
        <x:v>45474</x:v>
      </x:c>
      <x:c r="C2144" s="2" t="str">
        <x:v>Peru</x:v>
      </x:c>
      <x:c r="D2144" s="2" t="str">
        <x:v>Moda Infantil</x:v>
      </x:c>
      <x:c r="E2144" s="11" t="n">
        <x:v>3</x:v>
      </x:c>
      <x:c r="F2144" s="12" t="n">
        <x:v>146.75</x:v>
      </x:c>
      <x:c r="G2144" s="12" t="n">
        <x:v>440.25</x:v>
      </x:c>
      <x:c r="H2144" s="13" t="n">
        <x:v>315</x:v>
      </x:c>
      <x:c r="I2144" s="13" t="n">
        <x:f>YEAR(B2144)</x:f>
        <x:v>2024</x:v>
      </x:c>
      <x:c r="J2144" s="13" t="n">
        <x:f>MONTH(B2144)</x:f>
        <x:v>7</x:v>
      </x:c>
      <x:c r="K2144" s="14" t="n">
        <x:f>ROUND(E2144*F2144-G2144,10)</x:f>
        <x:v>0</x:v>
      </x:c>
      <x:c r="L2144" s="2"/>
      <x:c r="M2144" s="2"/>
      <x:c r="N2144" s="2"/>
      <x:c r="O2144" s="2"/>
      <x:c r="P2144" s="2"/>
      <x:c r="Q2144" s="2"/>
      <x:c r="R2144" s="2"/>
    </x:row>
    <x:row r="2145" ht="22" customHeight="1">
      <x:c r="A2145" s="2" t="n">
        <x:v>102139</x:v>
      </x:c>
      <x:c r="B2145" s="10" t="n">
        <x:v>45640</x:v>
      </x:c>
      <x:c r="C2145" s="2" t="str">
        <x:v>Argentina</x:v>
      </x:c>
      <x:c r="D2145" s="2" t="str">
        <x:v>Moda Masculina</x:v>
      </x:c>
      <x:c r="E2145" s="11" t="n">
        <x:v>47</x:v>
      </x:c>
      <x:c r="F2145" s="12" t="n">
        <x:v>25.36</x:v>
      </x:c>
      <x:c r="G2145" s="12" t="n">
        <x:v>1191.92</x:v>
      </x:c>
      <x:c r="H2145" s="13" t="n">
        <x:v>177</x:v>
      </x:c>
      <x:c r="I2145" s="13" t="n">
        <x:f>YEAR(B2145)</x:f>
        <x:v>2024</x:v>
      </x:c>
      <x:c r="J2145" s="13" t="n">
        <x:f>MONTH(B2145)</x:f>
        <x:v>12</x:v>
      </x:c>
      <x:c r="K2145" s="14" t="n">
        <x:f>ROUND(E2145*F2145-G2145,10)</x:f>
        <x:v>0</x:v>
      </x:c>
      <x:c r="L2145" s="2"/>
      <x:c r="M2145" s="2"/>
      <x:c r="N2145" s="2"/>
      <x:c r="O2145" s="2"/>
      <x:c r="P2145" s="2"/>
      <x:c r="Q2145" s="2"/>
      <x:c r="R2145" s="2"/>
    </x:row>
    <x:row r="2146" ht="22" customHeight="1">
      <x:c r="A2146" s="2" t="n">
        <x:v>102140</x:v>
      </x:c>
      <x:c r="B2146" s="10" t="n">
        <x:v>45618</x:v>
      </x:c>
      <x:c r="C2146" s="2" t="str">
        <x:v>Brasil</x:v>
      </x:c>
      <x:c r="D2146" s="2" t="str">
        <x:v>Moda Feminina</x:v>
      </x:c>
      <x:c r="E2146" s="11" t="n">
        <x:v>35</x:v>
      </x:c>
      <x:c r="F2146" s="12" t="n">
        <x:v>21.76</x:v>
      </x:c>
      <x:c r="G2146" s="12" t="n">
        <x:v>761.6</x:v>
      </x:c>
      <x:c r="H2146" s="13" t="n">
        <x:v>261</x:v>
      </x:c>
      <x:c r="I2146" s="13" t="n">
        <x:f>YEAR(B2146)</x:f>
        <x:v>2024</x:v>
      </x:c>
      <x:c r="J2146" s="13" t="n">
        <x:f>MONTH(B2146)</x:f>
        <x:v>11</x:v>
      </x:c>
      <x:c r="K2146" s="14" t="n">
        <x:f>ROUND(E2146*F2146-G2146,10)</x:f>
        <x:v>0</x:v>
      </x:c>
      <x:c r="L2146" s="2"/>
      <x:c r="M2146" s="2"/>
      <x:c r="N2146" s="2"/>
      <x:c r="O2146" s="2"/>
      <x:c r="P2146" s="2"/>
      <x:c r="Q2146" s="2"/>
      <x:c r="R2146" s="2"/>
    </x:row>
    <x:row r="2147" ht="22" customHeight="1">
      <x:c r="A2147" s="2" t="n">
        <x:v>102141</x:v>
      </x:c>
      <x:c r="B2147" s="10" t="n">
        <x:v>45155</x:v>
      </x:c>
      <x:c r="C2147" s="2" t="str">
        <x:v>México</x:v>
      </x:c>
      <x:c r="D2147" s="2" t="str">
        <x:v>Calçados</x:v>
      </x:c>
      <x:c r="E2147" s="11" t="n">
        <x:v>14</x:v>
      </x:c>
      <x:c r="F2147" s="12" t="n">
        <x:v>33.52</x:v>
      </x:c>
      <x:c r="G2147" s="12" t="n">
        <x:v>469.28</x:v>
      </x:c>
      <x:c r="H2147" s="13" t="n">
        <x:v>312</x:v>
      </x:c>
      <x:c r="I2147" s="13" t="n">
        <x:f>YEAR(B2147)</x:f>
        <x:v>2023</x:v>
      </x:c>
      <x:c r="J2147" s="13" t="n">
        <x:f>MONTH(B2147)</x:f>
        <x:v>8</x:v>
      </x:c>
      <x:c r="K2147" s="14" t="n">
        <x:f>ROUND(E2147*F2147-G2147,10)</x:f>
        <x:v>0</x:v>
      </x:c>
      <x:c r="L2147" s="2"/>
      <x:c r="M2147" s="2"/>
      <x:c r="N2147" s="2"/>
      <x:c r="O2147" s="2"/>
      <x:c r="P2147" s="2"/>
      <x:c r="Q2147" s="2"/>
      <x:c r="R2147" s="2"/>
    </x:row>
    <x:row r="2148" ht="22" customHeight="1">
      <x:c r="A2148" s="2" t="n">
        <x:v>102142</x:v>
      </x:c>
      <x:c r="B2148" s="10" t="n">
        <x:v>45638</x:v>
      </x:c>
      <x:c r="C2148" s="2" t="str">
        <x:v>Colômbia</x:v>
      </x:c>
      <x:c r="D2148" s="2" t="str">
        <x:v>Acessórios</x:v>
      </x:c>
      <x:c r="E2148" s="11" t="n">
        <x:v>48</x:v>
      </x:c>
      <x:c r="F2148" s="12" t="n">
        <x:v>116.42</x:v>
      </x:c>
      <x:c r="G2148" s="12" t="n">
        <x:v>5588.16</x:v>
      </x:c>
      <x:c r="H2148" s="13" t="n">
        <x:v>361</x:v>
      </x:c>
      <x:c r="I2148" s="13" t="n">
        <x:f>YEAR(B2148)</x:f>
        <x:v>2024</x:v>
      </x:c>
      <x:c r="J2148" s="13" t="n">
        <x:f>MONTH(B2148)</x:f>
        <x:v>12</x:v>
      </x:c>
      <x:c r="K2148" s="14" t="n">
        <x:f>ROUND(E2148*F2148-G2148,10)</x:f>
        <x:v>0</x:v>
      </x:c>
      <x:c r="L2148" s="2"/>
      <x:c r="M2148" s="2"/>
      <x:c r="N2148" s="2"/>
      <x:c r="O2148" s="2"/>
      <x:c r="P2148" s="2"/>
      <x:c r="Q2148" s="2"/>
      <x:c r="R2148" s="2"/>
    </x:row>
    <x:row r="2149" ht="22" customHeight="1">
      <x:c r="A2149" s="2" t="n">
        <x:v>102143</x:v>
      </x:c>
      <x:c r="B2149" s="10" t="n">
        <x:v>45119</x:v>
      </x:c>
      <x:c r="C2149" s="2" t="str">
        <x:v>Argentina</x:v>
      </x:c>
      <x:c r="D2149" s="2" t="str">
        <x:v>Calçados</x:v>
      </x:c>
      <x:c r="E2149" s="11" t="n">
        <x:v>31</x:v>
      </x:c>
      <x:c r="F2149" s="12" t="n">
        <x:v>173.8</x:v>
      </x:c>
      <x:c r="G2149" s="12" t="n">
        <x:v>5387.8</x:v>
      </x:c>
      <x:c r="H2149" s="13" t="n">
        <x:v>129</x:v>
      </x:c>
      <x:c r="I2149" s="13" t="n">
        <x:f>YEAR(B2149)</x:f>
        <x:v>2023</x:v>
      </x:c>
      <x:c r="J2149" s="13" t="n">
        <x:f>MONTH(B2149)</x:f>
        <x:v>7</x:v>
      </x:c>
      <x:c r="K2149" s="14" t="n">
        <x:f>ROUND(E2149*F2149-G2149,10)</x:f>
        <x:v>0</x:v>
      </x:c>
      <x:c r="L2149" s="2"/>
      <x:c r="M2149" s="2"/>
      <x:c r="N2149" s="2"/>
      <x:c r="O2149" s="2"/>
      <x:c r="P2149" s="2"/>
      <x:c r="Q2149" s="2"/>
      <x:c r="R2149" s="2"/>
    </x:row>
    <x:row r="2150" ht="22" customHeight="1">
      <x:c r="A2150" s="2" t="n">
        <x:v>102144</x:v>
      </x:c>
      <x:c r="B2150" s="10" t="n">
        <x:v>45119</x:v>
      </x:c>
      <x:c r="C2150" s="2" t="str">
        <x:v>México</x:v>
      </x:c>
      <x:c r="D2150" s="2" t="str">
        <x:v>Moda Infantil</x:v>
      </x:c>
      <x:c r="E2150" s="11" t="n">
        <x:v>31</x:v>
      </x:c>
      <x:c r="F2150" s="12" t="n">
        <x:v>20.88</x:v>
      </x:c>
      <x:c r="G2150" s="12" t="n">
        <x:v>647.28</x:v>
      </x:c>
      <x:c r="H2150" s="13" t="n">
        <x:v>214</x:v>
      </x:c>
      <x:c r="I2150" s="13" t="n">
        <x:f>YEAR(B2150)</x:f>
        <x:v>2023</x:v>
      </x:c>
      <x:c r="J2150" s="13" t="n">
        <x:f>MONTH(B2150)</x:f>
        <x:v>7</x:v>
      </x:c>
      <x:c r="K2150" s="14" t="n">
        <x:f>ROUND(E2150*F2150-G2150,10)</x:f>
        <x:v>0</x:v>
      </x:c>
      <x:c r="L2150" s="2"/>
      <x:c r="M2150" s="2"/>
      <x:c r="N2150" s="2"/>
      <x:c r="O2150" s="2"/>
      <x:c r="P2150" s="2"/>
      <x:c r="Q2150" s="2"/>
      <x:c r="R2150" s="2"/>
    </x:row>
    <x:row r="2151" ht="22" customHeight="1">
      <x:c r="A2151" s="2" t="n">
        <x:v>102145</x:v>
      </x:c>
      <x:c r="B2151" s="10" t="n">
        <x:v>45571</x:v>
      </x:c>
      <x:c r="C2151" s="2" t="str">
        <x:v>Brasil</x:v>
      </x:c>
      <x:c r="D2151" s="2" t="str">
        <x:v>Acessórios</x:v>
      </x:c>
      <x:c r="E2151" s="11" t="n">
        <x:v>17</x:v>
      </x:c>
      <x:c r="F2151" s="12" t="n">
        <x:v>188.6</x:v>
      </x:c>
      <x:c r="G2151" s="12" t="n">
        <x:v>3206.2</x:v>
      </x:c>
      <x:c r="H2151" s="13" t="n">
        <x:v>462</x:v>
      </x:c>
      <x:c r="I2151" s="13" t="n">
        <x:f>YEAR(B2151)</x:f>
        <x:v>2024</x:v>
      </x:c>
      <x:c r="J2151" s="13" t="n">
        <x:f>MONTH(B2151)</x:f>
        <x:v>10</x:v>
      </x:c>
      <x:c r="K2151" s="14" t="n">
        <x:f>ROUND(E2151*F2151-G2151,10)</x:f>
        <x:v>0</x:v>
      </x:c>
      <x:c r="L2151" s="2"/>
      <x:c r="M2151" s="2"/>
      <x:c r="N2151" s="2"/>
      <x:c r="O2151" s="2"/>
      <x:c r="P2151" s="2"/>
      <x:c r="Q2151" s="2"/>
      <x:c r="R2151" s="2"/>
    </x:row>
    <x:row r="2152" ht="22" customHeight="1">
      <x:c r="A2152" s="2" t="n">
        <x:v>102146</x:v>
      </x:c>
      <x:c r="B2152" s="10" t="n">
        <x:v>45650</x:v>
      </x:c>
      <x:c r="C2152" s="2" t="str">
        <x:v>Chile</x:v>
      </x:c>
      <x:c r="D2152" s="2" t="str">
        <x:v>Acessórios</x:v>
      </x:c>
      <x:c r="E2152" s="11" t="n">
        <x:v>24</x:v>
      </x:c>
      <x:c r="F2152" s="12" t="n">
        <x:v>39.13</x:v>
      </x:c>
      <x:c r="G2152" s="12" t="n">
        <x:v>939.1200000000001</x:v>
      </x:c>
      <x:c r="H2152" s="13" t="n">
        <x:v>301</x:v>
      </x:c>
      <x:c r="I2152" s="13" t="n">
        <x:f>YEAR(B2152)</x:f>
        <x:v>2024</x:v>
      </x:c>
      <x:c r="J2152" s="13" t="n">
        <x:f>MONTH(B2152)</x:f>
        <x:v>12</x:v>
      </x:c>
      <x:c r="K2152" s="14" t="n">
        <x:f>ROUND(E2152*F2152-G2152,10)</x:f>
        <x:v>0</x:v>
      </x:c>
      <x:c r="L2152" s="2"/>
      <x:c r="M2152" s="2"/>
      <x:c r="N2152" s="2"/>
      <x:c r="O2152" s="2"/>
      <x:c r="P2152" s="2"/>
      <x:c r="Q2152" s="2"/>
      <x:c r="R2152" s="2"/>
    </x:row>
    <x:row r="2153" ht="22" customHeight="1">
      <x:c r="A2153" s="2" t="n">
        <x:v>102147</x:v>
      </x:c>
      <x:c r="B2153" s="10" t="n">
        <x:v>45237</x:v>
      </x:c>
      <x:c r="C2153" s="2" t="str">
        <x:v>Peru</x:v>
      </x:c>
      <x:c r="D2153" s="2" t="str">
        <x:v>Moda Feminina</x:v>
      </x:c>
      <x:c r="E2153" s="11" t="n">
        <x:v>23</x:v>
      </x:c>
      <x:c r="F2153" s="12" t="n">
        <x:v>171.56</x:v>
      </x:c>
      <x:c r="G2153" s="12" t="n">
        <x:v>3945.88</x:v>
      </x:c>
      <x:c r="H2153" s="13" t="n">
        <x:v>61</x:v>
      </x:c>
      <x:c r="I2153" s="13" t="n">
        <x:f>YEAR(B2153)</x:f>
        <x:v>2023</x:v>
      </x:c>
      <x:c r="J2153" s="13" t="n">
        <x:f>MONTH(B2153)</x:f>
        <x:v>11</x:v>
      </x:c>
      <x:c r="K2153" s="14" t="n">
        <x:f>ROUND(E2153*F2153-G2153,10)</x:f>
        <x:v>0</x:v>
      </x:c>
      <x:c r="L2153" s="2"/>
      <x:c r="M2153" s="2"/>
      <x:c r="N2153" s="2"/>
      <x:c r="O2153" s="2"/>
      <x:c r="P2153" s="2"/>
      <x:c r="Q2153" s="2"/>
      <x:c r="R2153" s="2"/>
    </x:row>
    <x:row r="2154" ht="22" customHeight="1">
      <x:c r="A2154" s="2" t="n">
        <x:v>102148</x:v>
      </x:c>
      <x:c r="B2154" s="10" t="n">
        <x:v>45171</x:v>
      </x:c>
      <x:c r="C2154" s="2" t="str">
        <x:v>México</x:v>
      </x:c>
      <x:c r="D2154" s="2" t="str">
        <x:v>Moda Infantil</x:v>
      </x:c>
      <x:c r="E2154" s="11" t="n">
        <x:v>18</x:v>
      </x:c>
      <x:c r="F2154" s="12" t="n">
        <x:v>106.91</x:v>
      </x:c>
      <x:c r="G2154" s="12" t="n">
        <x:v>1924.38</x:v>
      </x:c>
      <x:c r="H2154" s="13" t="n">
        <x:v>450</x:v>
      </x:c>
      <x:c r="I2154" s="13" t="n">
        <x:f>YEAR(B2154)</x:f>
        <x:v>2023</x:v>
      </x:c>
      <x:c r="J2154" s="13" t="n">
        <x:f>MONTH(B2154)</x:f>
        <x:v>9</x:v>
      </x:c>
      <x:c r="K2154" s="14" t="n">
        <x:f>ROUND(E2154*F2154-G2154,10)</x:f>
        <x:v>0</x:v>
      </x:c>
      <x:c r="L2154" s="2"/>
      <x:c r="M2154" s="2"/>
      <x:c r="N2154" s="2"/>
      <x:c r="O2154" s="2"/>
      <x:c r="P2154" s="2"/>
      <x:c r="Q2154" s="2"/>
      <x:c r="R2154" s="2"/>
    </x:row>
    <x:row r="2155" ht="22" customHeight="1">
      <x:c r="A2155" s="2" t="n">
        <x:v>102149</x:v>
      </x:c>
      <x:c r="B2155" s="10" t="n">
        <x:v>45493</x:v>
      </x:c>
      <x:c r="C2155" s="2" t="str">
        <x:v>México</x:v>
      </x:c>
      <x:c r="D2155" s="2" t="str">
        <x:v>Moda Masculina</x:v>
      </x:c>
      <x:c r="E2155" s="11" t="n">
        <x:v>14</x:v>
      </x:c>
      <x:c r="F2155" s="12" t="n">
        <x:v>138.68</x:v>
      </x:c>
      <x:c r="G2155" s="12" t="n">
        <x:v>1941.52</x:v>
      </x:c>
      <x:c r="H2155" s="13" t="n">
        <x:v>353</x:v>
      </x:c>
      <x:c r="I2155" s="13" t="n">
        <x:f>YEAR(B2155)</x:f>
        <x:v>2024</x:v>
      </x:c>
      <x:c r="J2155" s="13" t="n">
        <x:f>MONTH(B2155)</x:f>
        <x:v>7</x:v>
      </x:c>
      <x:c r="K2155" s="14" t="n">
        <x:f>ROUND(E2155*F2155-G2155,10)</x:f>
        <x:v>0</x:v>
      </x:c>
      <x:c r="L2155" s="2"/>
      <x:c r="M2155" s="2"/>
      <x:c r="N2155" s="2"/>
      <x:c r="O2155" s="2"/>
      <x:c r="P2155" s="2"/>
      <x:c r="Q2155" s="2"/>
      <x:c r="R2155" s="2"/>
    </x:row>
    <x:row r="2156" ht="22" customHeight="1">
      <x:c r="A2156" s="2" t="n">
        <x:v>102150</x:v>
      </x:c>
      <x:c r="B2156" s="10" t="n">
        <x:v>44998</x:v>
      </x:c>
      <x:c r="C2156" s="2" t="str">
        <x:v>Chile</x:v>
      </x:c>
      <x:c r="D2156" s="2" t="str">
        <x:v>Moda Feminina</x:v>
      </x:c>
      <x:c r="E2156" s="11" t="n">
        <x:v>15</x:v>
      </x:c>
      <x:c r="F2156" s="12" t="n">
        <x:v>111.92</x:v>
      </x:c>
      <x:c r="G2156" s="12" t="n">
        <x:v>1678.8</x:v>
      </x:c>
      <x:c r="H2156" s="13" t="n">
        <x:v>261</x:v>
      </x:c>
      <x:c r="I2156" s="13" t="n">
        <x:f>YEAR(B2156)</x:f>
        <x:v>2023</x:v>
      </x:c>
      <x:c r="J2156" s="13" t="n">
        <x:f>MONTH(B2156)</x:f>
        <x:v>3</x:v>
      </x:c>
      <x:c r="K2156" s="14" t="n">
        <x:f>ROUND(E2156*F2156-G2156,10)</x:f>
        <x:v>0</x:v>
      </x:c>
      <x:c r="L2156" s="2"/>
      <x:c r="M2156" s="2"/>
      <x:c r="N2156" s="2"/>
      <x:c r="O2156" s="2"/>
      <x:c r="P2156" s="2"/>
      <x:c r="Q2156" s="2"/>
      <x:c r="R2156" s="2"/>
    </x:row>
    <x:row r="2157" ht="22" customHeight="1">
      <x:c r="A2157" s="2" t="n">
        <x:v>102151</x:v>
      </x:c>
      <x:c r="B2157" s="10" t="n">
        <x:v>45151</x:v>
      </x:c>
      <x:c r="C2157" s="2" t="str">
        <x:v>México</x:v>
      </x:c>
      <x:c r="D2157" s="2" t="str">
        <x:v>Moda Feminina</x:v>
      </x:c>
      <x:c r="E2157" s="11" t="n">
        <x:v>15</x:v>
      </x:c>
      <x:c r="F2157" s="12" t="n">
        <x:v>105.87</x:v>
      </x:c>
      <x:c r="G2157" s="12" t="n">
        <x:v>1588.05</x:v>
      </x:c>
      <x:c r="H2157" s="13" t="n">
        <x:v>331</x:v>
      </x:c>
      <x:c r="I2157" s="13" t="n">
        <x:f>YEAR(B2157)</x:f>
        <x:v>2023</x:v>
      </x:c>
      <x:c r="J2157" s="13" t="n">
        <x:f>MONTH(B2157)</x:f>
        <x:v>8</x:v>
      </x:c>
      <x:c r="K2157" s="14" t="n">
        <x:f>ROUND(E2157*F2157-G2157,10)</x:f>
        <x:v>0</x:v>
      </x:c>
      <x:c r="L2157" s="2"/>
      <x:c r="M2157" s="2"/>
      <x:c r="N2157" s="2"/>
      <x:c r="O2157" s="2"/>
      <x:c r="P2157" s="2"/>
      <x:c r="Q2157" s="2"/>
      <x:c r="R2157" s="2"/>
    </x:row>
    <x:row r="2158" ht="22" customHeight="1">
      <x:c r="A2158" s="2" t="n">
        <x:v>102152</x:v>
      </x:c>
      <x:c r="B2158" s="10" t="n">
        <x:v>45371</x:v>
      </x:c>
      <x:c r="C2158" s="2" t="str">
        <x:v>Brasil</x:v>
      </x:c>
      <x:c r="D2158" s="2" t="str">
        <x:v>Calçados</x:v>
      </x:c>
      <x:c r="E2158" s="11" t="n">
        <x:v>6</x:v>
      </x:c>
      <x:c r="F2158" s="12" t="n">
        <x:v>170.28</x:v>
      </x:c>
      <x:c r="G2158" s="12" t="n">
        <x:v>1021.68</x:v>
      </x:c>
      <x:c r="H2158" s="13" t="n">
        <x:v>161</x:v>
      </x:c>
      <x:c r="I2158" s="13" t="n">
        <x:f>YEAR(B2158)</x:f>
        <x:v>2024</x:v>
      </x:c>
      <x:c r="J2158" s="13" t="n">
        <x:f>MONTH(B2158)</x:f>
        <x:v>3</x:v>
      </x:c>
      <x:c r="K2158" s="14" t="n">
        <x:f>ROUND(E2158*F2158-G2158,10)</x:f>
        <x:v>0</x:v>
      </x:c>
      <x:c r="L2158" s="2"/>
      <x:c r="M2158" s="2"/>
      <x:c r="N2158" s="2"/>
      <x:c r="O2158" s="2"/>
      <x:c r="P2158" s="2"/>
      <x:c r="Q2158" s="2"/>
      <x:c r="R2158" s="2"/>
    </x:row>
    <x:row r="2159" ht="22" customHeight="1">
      <x:c r="A2159" s="2" t="n">
        <x:v>102153</x:v>
      </x:c>
      <x:c r="B2159" s="10" t="n">
        <x:v>45475</x:v>
      </x:c>
      <x:c r="C2159" s="2" t="str">
        <x:v>Brasil</x:v>
      </x:c>
      <x:c r="D2159" s="2" t="str">
        <x:v>Calçados</x:v>
      </x:c>
      <x:c r="E2159" s="11" t="n">
        <x:v>27</x:v>
      </x:c>
      <x:c r="F2159" s="12" t="n">
        <x:v>156.06</x:v>
      </x:c>
      <x:c r="G2159" s="12" t="n">
        <x:v>4213.62</x:v>
      </x:c>
      <x:c r="H2159" s="13" t="n">
        <x:v>260</x:v>
      </x:c>
      <x:c r="I2159" s="13" t="n">
        <x:f>YEAR(B2159)</x:f>
        <x:v>2024</x:v>
      </x:c>
      <x:c r="J2159" s="13" t="n">
        <x:f>MONTH(B2159)</x:f>
        <x:v>7</x:v>
      </x:c>
      <x:c r="K2159" s="14" t="n">
        <x:f>ROUND(E2159*F2159-G2159,10)</x:f>
        <x:v>0</x:v>
      </x:c>
      <x:c r="L2159" s="2"/>
      <x:c r="M2159" s="2"/>
      <x:c r="N2159" s="2"/>
      <x:c r="O2159" s="2"/>
      <x:c r="P2159" s="2"/>
      <x:c r="Q2159" s="2"/>
      <x:c r="R2159" s="2"/>
    </x:row>
    <x:row r="2160" ht="22" customHeight="1">
      <x:c r="A2160" s="2" t="n">
        <x:v>102154</x:v>
      </x:c>
      <x:c r="B2160" s="10" t="n">
        <x:v>45001</x:v>
      </x:c>
      <x:c r="C2160" s="2" t="str">
        <x:v>Chile</x:v>
      </x:c>
      <x:c r="D2160" s="2" t="str">
        <x:v>Calçados</x:v>
      </x:c>
      <x:c r="E2160" s="11" t="n">
        <x:v>15</x:v>
      </x:c>
      <x:c r="F2160" s="12" t="n">
        <x:v>107.01</x:v>
      </x:c>
      <x:c r="G2160" s="12" t="n">
        <x:v>1605.15</x:v>
      </x:c>
      <x:c r="H2160" s="13" t="n">
        <x:v>427</x:v>
      </x:c>
      <x:c r="I2160" s="13" t="n">
        <x:f>YEAR(B2160)</x:f>
        <x:v>2023</x:v>
      </x:c>
      <x:c r="J2160" s="13" t="n">
        <x:f>MONTH(B2160)</x:f>
        <x:v>3</x:v>
      </x:c>
      <x:c r="K2160" s="14" t="n">
        <x:f>ROUND(E2160*F2160-G2160,10)</x:f>
        <x:v>0</x:v>
      </x:c>
      <x:c r="L2160" s="2"/>
      <x:c r="M2160" s="2"/>
      <x:c r="N2160" s="2"/>
      <x:c r="O2160" s="2"/>
      <x:c r="P2160" s="2"/>
      <x:c r="Q2160" s="2"/>
      <x:c r="R2160" s="2"/>
    </x:row>
    <x:row r="2161" ht="22" customHeight="1">
      <x:c r="A2161" s="2" t="n">
        <x:v>102155</x:v>
      </x:c>
      <x:c r="B2161" s="10" t="n">
        <x:v>45387</x:v>
      </x:c>
      <x:c r="C2161" s="2" t="str">
        <x:v>Peru</x:v>
      </x:c>
      <x:c r="D2161" s="2" t="str">
        <x:v>Moda Feminina</x:v>
      </x:c>
      <x:c r="E2161" s="11" t="n">
        <x:v>36</x:v>
      </x:c>
      <x:c r="F2161" s="12" t="n">
        <x:v>40.09</x:v>
      </x:c>
      <x:c r="G2161" s="12" t="n">
        <x:v>1443.24</x:v>
      </x:c>
      <x:c r="H2161" s="13" t="n">
        <x:v>288</x:v>
      </x:c>
      <x:c r="I2161" s="13" t="n">
        <x:f>YEAR(B2161)</x:f>
        <x:v>2024</x:v>
      </x:c>
      <x:c r="J2161" s="13" t="n">
        <x:f>MONTH(B2161)</x:f>
        <x:v>4</x:v>
      </x:c>
      <x:c r="K2161" s="14" t="n">
        <x:f>ROUND(E2161*F2161-G2161,10)</x:f>
        <x:v>0</x:v>
      </x:c>
      <x:c r="L2161" s="2"/>
      <x:c r="M2161" s="2"/>
      <x:c r="N2161" s="2"/>
      <x:c r="O2161" s="2"/>
      <x:c r="P2161" s="2"/>
      <x:c r="Q2161" s="2"/>
      <x:c r="R2161" s="2"/>
    </x:row>
    <x:row r="2162" ht="22" customHeight="1">
      <x:c r="A2162" s="2" t="n">
        <x:v>102156</x:v>
      </x:c>
      <x:c r="B2162" s="10" t="n">
        <x:v>45315</x:v>
      </x:c>
      <x:c r="C2162" s="2" t="str">
        <x:v>Colômbia</x:v>
      </x:c>
      <x:c r="D2162" s="2" t="str">
        <x:v>Moda Masculina</x:v>
      </x:c>
      <x:c r="E2162" s="11" t="n">
        <x:v>8</x:v>
      </x:c>
      <x:c r="F2162" s="12" t="n">
        <x:v>40.77</x:v>
      </x:c>
      <x:c r="G2162" s="12" t="n">
        <x:v>326.16</x:v>
      </x:c>
      <x:c r="H2162" s="13" t="n">
        <x:v>317</x:v>
      </x:c>
      <x:c r="I2162" s="13" t="n">
        <x:f>YEAR(B2162)</x:f>
        <x:v>2024</x:v>
      </x:c>
      <x:c r="J2162" s="13" t="n">
        <x:f>MONTH(B2162)</x:f>
        <x:v>1</x:v>
      </x:c>
      <x:c r="K2162" s="14" t="n">
        <x:f>ROUND(E2162*F2162-G2162,10)</x:f>
        <x:v>0</x:v>
      </x:c>
      <x:c r="L2162" s="2"/>
      <x:c r="M2162" s="2"/>
      <x:c r="N2162" s="2"/>
      <x:c r="O2162" s="2"/>
      <x:c r="P2162" s="2"/>
      <x:c r="Q2162" s="2"/>
      <x:c r="R2162" s="2"/>
    </x:row>
    <x:row r="2163" ht="22" customHeight="1">
      <x:c r="A2163" s="2" t="n">
        <x:v>102157</x:v>
      </x:c>
      <x:c r="B2163" s="10" t="n">
        <x:v>45094</x:v>
      </x:c>
      <x:c r="C2163" s="2" t="str">
        <x:v>Argentina</x:v>
      </x:c>
      <x:c r="D2163" s="2" t="str">
        <x:v>Acessórios</x:v>
      </x:c>
      <x:c r="E2163" s="11" t="n">
        <x:v>15</x:v>
      </x:c>
      <x:c r="F2163" s="12" t="n">
        <x:v>164.28</x:v>
      </x:c>
      <x:c r="G2163" s="12" t="n">
        <x:v>2464.2</x:v>
      </x:c>
      <x:c r="H2163" s="13" t="n">
        <x:v>454</x:v>
      </x:c>
      <x:c r="I2163" s="13" t="n">
        <x:f>YEAR(B2163)</x:f>
        <x:v>2023</x:v>
      </x:c>
      <x:c r="J2163" s="13" t="n">
        <x:f>MONTH(B2163)</x:f>
        <x:v>6</x:v>
      </x:c>
      <x:c r="K2163" s="14" t="n">
        <x:f>ROUND(E2163*F2163-G2163,10)</x:f>
        <x:v>0</x:v>
      </x:c>
      <x:c r="L2163" s="2"/>
      <x:c r="M2163" s="2"/>
      <x:c r="N2163" s="2"/>
      <x:c r="O2163" s="2"/>
      <x:c r="P2163" s="2"/>
      <x:c r="Q2163" s="2"/>
      <x:c r="R2163" s="2"/>
    </x:row>
    <x:row r="2164" ht="22" customHeight="1">
      <x:c r="A2164" s="2" t="n">
        <x:v>102158</x:v>
      </x:c>
      <x:c r="B2164" s="10" t="n">
        <x:v>45352</x:v>
      </x:c>
      <x:c r="C2164" s="2" t="str">
        <x:v>Colômbia</x:v>
      </x:c>
      <x:c r="D2164" s="2" t="str">
        <x:v>Calçados</x:v>
      </x:c>
      <x:c r="E2164" s="11" t="n">
        <x:v>3</x:v>
      </x:c>
      <x:c r="F2164" s="12" t="n">
        <x:v>115.29</x:v>
      </x:c>
      <x:c r="G2164" s="12" t="n">
        <x:v>345.87</x:v>
      </x:c>
      <x:c r="H2164" s="13" t="n">
        <x:v>347</x:v>
      </x:c>
      <x:c r="I2164" s="13" t="n">
        <x:f>YEAR(B2164)</x:f>
        <x:v>2024</x:v>
      </x:c>
      <x:c r="J2164" s="13" t="n">
        <x:f>MONTH(B2164)</x:f>
        <x:v>3</x:v>
      </x:c>
      <x:c r="K2164" s="14" t="n">
        <x:f>ROUND(E2164*F2164-G2164,10)</x:f>
        <x:v>0</x:v>
      </x:c>
      <x:c r="L2164" s="2"/>
      <x:c r="M2164" s="2"/>
      <x:c r="N2164" s="2"/>
      <x:c r="O2164" s="2"/>
      <x:c r="P2164" s="2"/>
      <x:c r="Q2164" s="2"/>
      <x:c r="R2164" s="2"/>
    </x:row>
    <x:row r="2165" ht="22" customHeight="1">
      <x:c r="A2165" s="2" t="n">
        <x:v>102159</x:v>
      </x:c>
      <x:c r="B2165" s="10" t="n">
        <x:v>45383</x:v>
      </x:c>
      <x:c r="C2165" s="2" t="str">
        <x:v>México</x:v>
      </x:c>
      <x:c r="D2165" s="2" t="str">
        <x:v>Moda Masculina</x:v>
      </x:c>
      <x:c r="E2165" s="11" t="n">
        <x:v>47</x:v>
      </x:c>
      <x:c r="F2165" s="12" t="n">
        <x:v>106.69</x:v>
      </x:c>
      <x:c r="G2165" s="12" t="n">
        <x:v>5014.43</x:v>
      </x:c>
      <x:c r="H2165" s="13" t="n">
        <x:v>366</x:v>
      </x:c>
      <x:c r="I2165" s="13" t="n">
        <x:f>YEAR(B2165)</x:f>
        <x:v>2024</x:v>
      </x:c>
      <x:c r="J2165" s="13" t="n">
        <x:f>MONTH(B2165)</x:f>
        <x:v>4</x:v>
      </x:c>
      <x:c r="K2165" s="14" t="n">
        <x:f>ROUND(E2165*F2165-G2165,10)</x:f>
        <x:v>0</x:v>
      </x:c>
      <x:c r="L2165" s="2"/>
      <x:c r="M2165" s="2"/>
      <x:c r="N2165" s="2"/>
      <x:c r="O2165" s="2"/>
      <x:c r="P2165" s="2"/>
      <x:c r="Q2165" s="2"/>
      <x:c r="R2165" s="2"/>
    </x:row>
    <x:row r="2166" ht="22" customHeight="1">
      <x:c r="A2166" s="2" t="n">
        <x:v>102160</x:v>
      </x:c>
      <x:c r="B2166" s="10" t="n">
        <x:v>45221</x:v>
      </x:c>
      <x:c r="C2166" s="2" t="str">
        <x:v>Argentina</x:v>
      </x:c>
      <x:c r="D2166" s="2" t="str">
        <x:v>Moda Infantil</x:v>
      </x:c>
      <x:c r="E2166" s="11" t="n">
        <x:v>13</x:v>
      </x:c>
      <x:c r="F2166" s="12" t="n">
        <x:v>142.5</x:v>
      </x:c>
      <x:c r="G2166" s="12" t="n">
        <x:v>1852.5</x:v>
      </x:c>
      <x:c r="H2166" s="13" t="n">
        <x:v>107</x:v>
      </x:c>
      <x:c r="I2166" s="13" t="n">
        <x:f>YEAR(B2166)</x:f>
        <x:v>2023</x:v>
      </x:c>
      <x:c r="J2166" s="13" t="n">
        <x:f>MONTH(B2166)</x:f>
        <x:v>10</x:v>
      </x:c>
      <x:c r="K2166" s="14" t="n">
        <x:f>ROUND(E2166*F2166-G2166,10)</x:f>
        <x:v>0</x:v>
      </x:c>
      <x:c r="L2166" s="2"/>
      <x:c r="M2166" s="2"/>
      <x:c r="N2166" s="2"/>
      <x:c r="O2166" s="2"/>
      <x:c r="P2166" s="2"/>
      <x:c r="Q2166" s="2"/>
      <x:c r="R2166" s="2"/>
    </x:row>
    <x:row r="2167" ht="22" customHeight="1">
      <x:c r="A2167" s="2" t="n">
        <x:v>102161</x:v>
      </x:c>
      <x:c r="B2167" s="10" t="n">
        <x:v>45273</x:v>
      </x:c>
      <x:c r="C2167" s="2" t="str">
        <x:v>Chile</x:v>
      </x:c>
      <x:c r="D2167" s="2" t="str">
        <x:v>Calçados</x:v>
      </x:c>
      <x:c r="E2167" s="11" t="n">
        <x:v>41</x:v>
      </x:c>
      <x:c r="F2167" s="12" t="n">
        <x:v>174.59</x:v>
      </x:c>
      <x:c r="G2167" s="12" t="n">
        <x:v>7158.190000000001</x:v>
      </x:c>
      <x:c r="H2167" s="13" t="n">
        <x:v>487</x:v>
      </x:c>
      <x:c r="I2167" s="13" t="n">
        <x:f>YEAR(B2167)</x:f>
        <x:v>2023</x:v>
      </x:c>
      <x:c r="J2167" s="13" t="n">
        <x:f>MONTH(B2167)</x:f>
        <x:v>12</x:v>
      </x:c>
      <x:c r="K2167" s="14" t="n">
        <x:f>ROUND(E2167*F2167-G2167,10)</x:f>
        <x:v>0</x:v>
      </x:c>
      <x:c r="L2167" s="2"/>
      <x:c r="M2167" s="2"/>
      <x:c r="N2167" s="2"/>
      <x:c r="O2167" s="2"/>
      <x:c r="P2167" s="2"/>
      <x:c r="Q2167" s="2"/>
      <x:c r="R2167" s="2"/>
    </x:row>
    <x:row r="2168" ht="22" customHeight="1">
      <x:c r="A2168" s="2" t="n">
        <x:v>102162</x:v>
      </x:c>
      <x:c r="B2168" s="10" t="n">
        <x:v>45115</x:v>
      </x:c>
      <x:c r="C2168" s="2" t="str">
        <x:v>Chile</x:v>
      </x:c>
      <x:c r="D2168" s="2" t="str">
        <x:v>Acessórios</x:v>
      </x:c>
      <x:c r="E2168" s="11" t="n">
        <x:v>34</x:v>
      </x:c>
      <x:c r="F2168" s="12" t="n">
        <x:v>133.2</x:v>
      </x:c>
      <x:c r="G2168" s="12" t="n">
        <x:v>4528.799999999999</x:v>
      </x:c>
      <x:c r="H2168" s="13" t="n">
        <x:v>83</x:v>
      </x:c>
      <x:c r="I2168" s="13" t="n">
        <x:f>YEAR(B2168)</x:f>
        <x:v>2023</x:v>
      </x:c>
      <x:c r="J2168" s="13" t="n">
        <x:f>MONTH(B2168)</x:f>
        <x:v>7</x:v>
      </x:c>
      <x:c r="K2168" s="14" t="n">
        <x:f>ROUND(E2168*F2168-G2168,10)</x:f>
        <x:v>0</x:v>
      </x:c>
      <x:c r="L2168" s="2"/>
      <x:c r="M2168" s="2"/>
      <x:c r="N2168" s="2"/>
      <x:c r="O2168" s="2"/>
      <x:c r="P2168" s="2"/>
      <x:c r="Q2168" s="2"/>
      <x:c r="R2168" s="2"/>
    </x:row>
    <x:row r="2169" ht="22" customHeight="1">
      <x:c r="A2169" s="2" t="n">
        <x:v>102163</x:v>
      </x:c>
      <x:c r="B2169" s="10" t="n">
        <x:v>45604</x:v>
      </x:c>
      <x:c r="C2169" s="2" t="str">
        <x:v>Peru</x:v>
      </x:c>
      <x:c r="D2169" s="2" t="str">
        <x:v>Moda Infantil</x:v>
      </x:c>
      <x:c r="E2169" s="11" t="n">
        <x:v>24</x:v>
      </x:c>
      <x:c r="F2169" s="12" t="n">
        <x:v>157.31</x:v>
      </x:c>
      <x:c r="G2169" s="12" t="n">
        <x:v>3775.44</x:v>
      </x:c>
      <x:c r="H2169" s="13" t="n">
        <x:v>312</x:v>
      </x:c>
      <x:c r="I2169" s="13" t="n">
        <x:f>YEAR(B2169)</x:f>
        <x:v>2024</x:v>
      </x:c>
      <x:c r="J2169" s="13" t="n">
        <x:f>MONTH(B2169)</x:f>
        <x:v>11</x:v>
      </x:c>
      <x:c r="K2169" s="14" t="n">
        <x:f>ROUND(E2169*F2169-G2169,10)</x:f>
        <x:v>0</x:v>
      </x:c>
      <x:c r="L2169" s="2"/>
      <x:c r="M2169" s="2"/>
      <x:c r="N2169" s="2"/>
      <x:c r="O2169" s="2"/>
      <x:c r="P2169" s="2"/>
      <x:c r="Q2169" s="2"/>
      <x:c r="R2169" s="2"/>
    </x:row>
    <x:row r="2170" ht="22" customHeight="1">
      <x:c r="A2170" s="2" t="n">
        <x:v>102164</x:v>
      </x:c>
      <x:c r="B2170" s="10" t="n">
        <x:v>45209</x:v>
      </x:c>
      <x:c r="C2170" s="2" t="str">
        <x:v>Argentina</x:v>
      </x:c>
      <x:c r="D2170" s="2" t="str">
        <x:v>Moda Infantil</x:v>
      </x:c>
      <x:c r="E2170" s="11" t="n">
        <x:v>40</x:v>
      </x:c>
      <x:c r="F2170" s="12" t="n">
        <x:v>157.75</x:v>
      </x:c>
      <x:c r="G2170" s="12" t="n">
        <x:v>6310</x:v>
      </x:c>
      <x:c r="H2170" s="13" t="n">
        <x:v>414</x:v>
      </x:c>
      <x:c r="I2170" s="13" t="n">
        <x:f>YEAR(B2170)</x:f>
        <x:v>2023</x:v>
      </x:c>
      <x:c r="J2170" s="13" t="n">
        <x:f>MONTH(B2170)</x:f>
        <x:v>10</x:v>
      </x:c>
      <x:c r="K2170" s="14" t="n">
        <x:f>ROUND(E2170*F2170-G2170,10)</x:f>
        <x:v>0</x:v>
      </x:c>
      <x:c r="L2170" s="2"/>
      <x:c r="M2170" s="2"/>
      <x:c r="N2170" s="2"/>
      <x:c r="O2170" s="2"/>
      <x:c r="P2170" s="2"/>
      <x:c r="Q2170" s="2"/>
      <x:c r="R2170" s="2"/>
    </x:row>
    <x:row r="2171" ht="22" customHeight="1">
      <x:c r="A2171" s="2" t="n">
        <x:v>102165</x:v>
      </x:c>
      <x:c r="B2171" s="10" t="n">
        <x:v>45252</x:v>
      </x:c>
      <x:c r="C2171" s="2" t="str">
        <x:v>Brasil</x:v>
      </x:c>
      <x:c r="D2171" s="2" t="str">
        <x:v>Acessórios</x:v>
      </x:c>
      <x:c r="E2171" s="11" t="n">
        <x:v>32</x:v>
      </x:c>
      <x:c r="F2171" s="12" t="n">
        <x:v>84.13</x:v>
      </x:c>
      <x:c r="G2171" s="12" t="n">
        <x:v>2692.16</x:v>
      </x:c>
      <x:c r="H2171" s="13" t="n">
        <x:v>84</x:v>
      </x:c>
      <x:c r="I2171" s="13" t="n">
        <x:f>YEAR(B2171)</x:f>
        <x:v>2023</x:v>
      </x:c>
      <x:c r="J2171" s="13" t="n">
        <x:f>MONTH(B2171)</x:f>
        <x:v>11</x:v>
      </x:c>
      <x:c r="K2171" s="14" t="n">
        <x:f>ROUND(E2171*F2171-G2171,10)</x:f>
        <x:v>0</x:v>
      </x:c>
      <x:c r="L2171" s="2"/>
      <x:c r="M2171" s="2"/>
      <x:c r="N2171" s="2"/>
      <x:c r="O2171" s="2"/>
      <x:c r="P2171" s="2"/>
      <x:c r="Q2171" s="2"/>
      <x:c r="R2171" s="2"/>
    </x:row>
    <x:row r="2172" ht="22" customHeight="1">
      <x:c r="A2172" s="2" t="n">
        <x:v>102166</x:v>
      </x:c>
      <x:c r="B2172" s="10" t="n">
        <x:v>45478</x:v>
      </x:c>
      <x:c r="C2172" s="2" t="str">
        <x:v>Argentina</x:v>
      </x:c>
      <x:c r="D2172" s="2" t="str">
        <x:v>Calçados</x:v>
      </x:c>
      <x:c r="E2172" s="11" t="n">
        <x:v>32</x:v>
      </x:c>
      <x:c r="F2172" s="12" t="n">
        <x:v>69.33</x:v>
      </x:c>
      <x:c r="G2172" s="12" t="n">
        <x:v>2218.56</x:v>
      </x:c>
      <x:c r="H2172" s="13" t="n">
        <x:v>320</x:v>
      </x:c>
      <x:c r="I2172" s="13" t="n">
        <x:f>YEAR(B2172)</x:f>
        <x:v>2024</x:v>
      </x:c>
      <x:c r="J2172" s="13" t="n">
        <x:f>MONTH(B2172)</x:f>
        <x:v>7</x:v>
      </x:c>
      <x:c r="K2172" s="14" t="n">
        <x:f>ROUND(E2172*F2172-G2172,10)</x:f>
        <x:v>0</x:v>
      </x:c>
      <x:c r="L2172" s="2"/>
      <x:c r="M2172" s="2"/>
      <x:c r="N2172" s="2"/>
      <x:c r="O2172" s="2"/>
      <x:c r="P2172" s="2"/>
      <x:c r="Q2172" s="2"/>
      <x:c r="R2172" s="2"/>
    </x:row>
    <x:row r="2173" ht="22" customHeight="1">
      <x:c r="A2173" s="2" t="n">
        <x:v>102167</x:v>
      </x:c>
      <x:c r="B2173" s="10" t="n">
        <x:v>45477</x:v>
      </x:c>
      <x:c r="C2173" s="2" t="str">
        <x:v>México</x:v>
      </x:c>
      <x:c r="D2173" s="2" t="str">
        <x:v>Moda Feminina</x:v>
      </x:c>
      <x:c r="E2173" s="11" t="n">
        <x:v>30</x:v>
      </x:c>
      <x:c r="F2173" s="12" t="n">
        <x:v>164.21</x:v>
      </x:c>
      <x:c r="G2173" s="12" t="n">
        <x:v>4926.3</x:v>
      </x:c>
      <x:c r="H2173" s="13" t="n">
        <x:v>498</x:v>
      </x:c>
      <x:c r="I2173" s="13" t="n">
        <x:f>YEAR(B2173)</x:f>
        <x:v>2024</x:v>
      </x:c>
      <x:c r="J2173" s="13" t="n">
        <x:f>MONTH(B2173)</x:f>
        <x:v>7</x:v>
      </x:c>
      <x:c r="K2173" s="14" t="n">
        <x:f>ROUND(E2173*F2173-G2173,10)</x:f>
        <x:v>0</x:v>
      </x:c>
      <x:c r="L2173" s="2"/>
      <x:c r="M2173" s="2"/>
      <x:c r="N2173" s="2"/>
      <x:c r="O2173" s="2"/>
      <x:c r="P2173" s="2"/>
      <x:c r="Q2173" s="2"/>
      <x:c r="R2173" s="2"/>
    </x:row>
    <x:row r="2174" ht="22" customHeight="1">
      <x:c r="A2174" s="2" t="n">
        <x:v>102168</x:v>
      </x:c>
      <x:c r="B2174" s="10" t="n">
        <x:v>44987</x:v>
      </x:c>
      <x:c r="C2174" s="2" t="str">
        <x:v>Brasil</x:v>
      </x:c>
      <x:c r="D2174" s="2" t="str">
        <x:v>Acessórios</x:v>
      </x:c>
      <x:c r="E2174" s="11" t="n">
        <x:v>49</x:v>
      </x:c>
      <x:c r="F2174" s="12" t="n">
        <x:v>87.89</x:v>
      </x:c>
      <x:c r="G2174" s="12" t="n">
        <x:v>4306.61</x:v>
      </x:c>
      <x:c r="H2174" s="13" t="n">
        <x:v>276</x:v>
      </x:c>
      <x:c r="I2174" s="13" t="n">
        <x:f>YEAR(B2174)</x:f>
        <x:v>2023</x:v>
      </x:c>
      <x:c r="J2174" s="13" t="n">
        <x:f>MONTH(B2174)</x:f>
        <x:v>3</x:v>
      </x:c>
      <x:c r="K2174" s="14" t="n">
        <x:f>ROUND(E2174*F2174-G2174,10)</x:f>
        <x:v>0</x:v>
      </x:c>
      <x:c r="L2174" s="2"/>
      <x:c r="M2174" s="2"/>
      <x:c r="N2174" s="2"/>
      <x:c r="O2174" s="2"/>
      <x:c r="P2174" s="2"/>
      <x:c r="Q2174" s="2"/>
      <x:c r="R2174" s="2"/>
    </x:row>
    <x:row r="2175" ht="22" customHeight="1">
      <x:c r="A2175" s="2" t="n">
        <x:v>102169</x:v>
      </x:c>
      <x:c r="B2175" s="10" t="n">
        <x:v>45644</x:v>
      </x:c>
      <x:c r="C2175" s="2" t="str">
        <x:v>Chile</x:v>
      </x:c>
      <x:c r="D2175" s="2" t="str">
        <x:v>Acessórios</x:v>
      </x:c>
      <x:c r="E2175" s="11" t="n">
        <x:v>13</x:v>
      </x:c>
      <x:c r="F2175" s="12" t="n">
        <x:v>182.6</x:v>
      </x:c>
      <x:c r="G2175" s="12" t="n">
        <x:v>2373.8</x:v>
      </x:c>
      <x:c r="H2175" s="13" t="n">
        <x:v>74</x:v>
      </x:c>
      <x:c r="I2175" s="13" t="n">
        <x:f>YEAR(B2175)</x:f>
        <x:v>2024</x:v>
      </x:c>
      <x:c r="J2175" s="13" t="n">
        <x:f>MONTH(B2175)</x:f>
        <x:v>12</x:v>
      </x:c>
      <x:c r="K2175" s="14" t="n">
        <x:f>ROUND(E2175*F2175-G2175,10)</x:f>
        <x:v>0</x:v>
      </x:c>
      <x:c r="L2175" s="2"/>
      <x:c r="M2175" s="2"/>
      <x:c r="N2175" s="2"/>
      <x:c r="O2175" s="2"/>
      <x:c r="P2175" s="2"/>
      <x:c r="Q2175" s="2"/>
      <x:c r="R2175" s="2"/>
    </x:row>
    <x:row r="2176" ht="22" customHeight="1">
      <x:c r="A2176" s="2" t="n">
        <x:v>102170</x:v>
      </x:c>
      <x:c r="B2176" s="10" t="n">
        <x:v>44961</x:v>
      </x:c>
      <x:c r="C2176" s="2" t="str">
        <x:v>Argentina</x:v>
      </x:c>
      <x:c r="D2176" s="2" t="str">
        <x:v>Acessórios</x:v>
      </x:c>
      <x:c r="E2176" s="11" t="n">
        <x:v>1</x:v>
      </x:c>
      <x:c r="F2176" s="12" t="n">
        <x:v>32.54</x:v>
      </x:c>
      <x:c r="G2176" s="12" t="n">
        <x:v>32.54</x:v>
      </x:c>
      <x:c r="H2176" s="13" t="n">
        <x:v>283</x:v>
      </x:c>
      <x:c r="I2176" s="13" t="n">
        <x:f>YEAR(B2176)</x:f>
        <x:v>2023</x:v>
      </x:c>
      <x:c r="J2176" s="13" t="n">
        <x:f>MONTH(B2176)</x:f>
        <x:v>2</x:v>
      </x:c>
      <x:c r="K2176" s="14" t="n">
        <x:f>ROUND(E2176*F2176-G2176,10)</x:f>
        <x:v>0</x:v>
      </x:c>
      <x:c r="L2176" s="2"/>
      <x:c r="M2176" s="2"/>
      <x:c r="N2176" s="2"/>
      <x:c r="O2176" s="2"/>
      <x:c r="P2176" s="2"/>
      <x:c r="Q2176" s="2"/>
      <x:c r="R2176" s="2"/>
    </x:row>
    <x:row r="2177" ht="22" customHeight="1">
      <x:c r="A2177" s="2" t="n">
        <x:v>102171</x:v>
      </x:c>
      <x:c r="B2177" s="10" t="n">
        <x:v>45429</x:v>
      </x:c>
      <x:c r="C2177" s="2" t="str">
        <x:v>Colômbia</x:v>
      </x:c>
      <x:c r="D2177" s="2" t="str">
        <x:v>Moda Infantil</x:v>
      </x:c>
      <x:c r="E2177" s="11" t="n">
        <x:v>34</x:v>
      </x:c>
      <x:c r="F2177" s="12" t="n">
        <x:v>30.48</x:v>
      </x:c>
      <x:c r="G2177" s="12" t="n">
        <x:v>1036.32</x:v>
      </x:c>
      <x:c r="H2177" s="13" t="n">
        <x:v>108</x:v>
      </x:c>
      <x:c r="I2177" s="13" t="n">
        <x:f>YEAR(B2177)</x:f>
        <x:v>2024</x:v>
      </x:c>
      <x:c r="J2177" s="13" t="n">
        <x:f>MONTH(B2177)</x:f>
        <x:v>5</x:v>
      </x:c>
      <x:c r="K2177" s="14" t="n">
        <x:f>ROUND(E2177*F2177-G2177,10)</x:f>
        <x:v>0</x:v>
      </x:c>
      <x:c r="L2177" s="2"/>
      <x:c r="M2177" s="2"/>
      <x:c r="N2177" s="2"/>
      <x:c r="O2177" s="2"/>
      <x:c r="P2177" s="2"/>
      <x:c r="Q2177" s="2"/>
      <x:c r="R2177" s="2"/>
    </x:row>
    <x:row r="2178" ht="22" customHeight="1">
      <x:c r="A2178" s="2" t="n">
        <x:v>102172</x:v>
      </x:c>
      <x:c r="B2178" s="10" t="n">
        <x:v>45432</x:v>
      </x:c>
      <x:c r="C2178" s="2" t="str">
        <x:v>Peru</x:v>
      </x:c>
      <x:c r="D2178" s="2" t="str">
        <x:v>Moda Masculina</x:v>
      </x:c>
      <x:c r="E2178" s="11" t="n">
        <x:v>15</x:v>
      </x:c>
      <x:c r="F2178" s="12" t="n">
        <x:v>186.86</x:v>
      </x:c>
      <x:c r="G2178" s="12" t="n">
        <x:v>2802.9</x:v>
      </x:c>
      <x:c r="H2178" s="13" t="n">
        <x:v>300</x:v>
      </x:c>
      <x:c r="I2178" s="13" t="n">
        <x:f>YEAR(B2178)</x:f>
        <x:v>2024</x:v>
      </x:c>
      <x:c r="J2178" s="13" t="n">
        <x:f>MONTH(B2178)</x:f>
        <x:v>5</x:v>
      </x:c>
      <x:c r="K2178" s="14" t="n">
        <x:f>ROUND(E2178*F2178-G2178,10)</x:f>
        <x:v>0</x:v>
      </x:c>
      <x:c r="L2178" s="2"/>
      <x:c r="M2178" s="2"/>
      <x:c r="N2178" s="2"/>
      <x:c r="O2178" s="2"/>
      <x:c r="P2178" s="2"/>
      <x:c r="Q2178" s="2"/>
      <x:c r="R2178" s="2"/>
    </x:row>
    <x:row r="2179" ht="22" customHeight="1">
      <x:c r="A2179" s="2" t="n">
        <x:v>102173</x:v>
      </x:c>
      <x:c r="B2179" s="10" t="n">
        <x:v>45294</x:v>
      </x:c>
      <x:c r="C2179" s="2" t="str">
        <x:v>Colômbia</x:v>
      </x:c>
      <x:c r="D2179" s="2" t="str">
        <x:v>Moda Feminina</x:v>
      </x:c>
      <x:c r="E2179" s="11" t="n">
        <x:v>44</x:v>
      </x:c>
      <x:c r="F2179" s="12" t="n">
        <x:v>136.72</x:v>
      </x:c>
      <x:c r="G2179" s="12" t="n">
        <x:v>6015.68</x:v>
      </x:c>
      <x:c r="H2179" s="13" t="n">
        <x:v>384</x:v>
      </x:c>
      <x:c r="I2179" s="13" t="n">
        <x:f>YEAR(B2179)</x:f>
        <x:v>2024</x:v>
      </x:c>
      <x:c r="J2179" s="13" t="n">
        <x:f>MONTH(B2179)</x:f>
        <x:v>1</x:v>
      </x:c>
      <x:c r="K2179" s="14" t="n">
        <x:f>ROUND(E2179*F2179-G2179,10)</x:f>
        <x:v>0</x:v>
      </x:c>
      <x:c r="L2179" s="2"/>
      <x:c r="M2179" s="2"/>
      <x:c r="N2179" s="2"/>
      <x:c r="O2179" s="2"/>
      <x:c r="P2179" s="2"/>
      <x:c r="Q2179" s="2"/>
      <x:c r="R2179" s="2"/>
    </x:row>
    <x:row r="2180" ht="22" customHeight="1">
      <x:c r="A2180" s="2" t="n">
        <x:v>102174</x:v>
      </x:c>
      <x:c r="B2180" s="10" t="n">
        <x:v>45591</x:v>
      </x:c>
      <x:c r="C2180" s="2" t="str">
        <x:v>Peru</x:v>
      </x:c>
      <x:c r="D2180" s="2" t="str">
        <x:v>Calçados</x:v>
      </x:c>
      <x:c r="E2180" s="11" t="n">
        <x:v>14</x:v>
      </x:c>
      <x:c r="F2180" s="12" t="n">
        <x:v>88.33</x:v>
      </x:c>
      <x:c r="G2180" s="12" t="n">
        <x:v>1236.62</x:v>
      </x:c>
      <x:c r="H2180" s="13" t="n">
        <x:v>135</x:v>
      </x:c>
      <x:c r="I2180" s="13" t="n">
        <x:f>YEAR(B2180)</x:f>
        <x:v>2024</x:v>
      </x:c>
      <x:c r="J2180" s="13" t="n">
        <x:f>MONTH(B2180)</x:f>
        <x:v>10</x:v>
      </x:c>
      <x:c r="K2180" s="14" t="n">
        <x:f>ROUND(E2180*F2180-G2180,10)</x:f>
        <x:v>0</x:v>
      </x:c>
      <x:c r="L2180" s="2"/>
      <x:c r="M2180" s="2"/>
      <x:c r="N2180" s="2"/>
      <x:c r="O2180" s="2"/>
      <x:c r="P2180" s="2"/>
      <x:c r="Q2180" s="2"/>
      <x:c r="R2180" s="2"/>
    </x:row>
    <x:row r="2181" ht="22" customHeight="1">
      <x:c r="A2181" s="2" t="n">
        <x:v>102175</x:v>
      </x:c>
      <x:c r="B2181" s="10" t="n">
        <x:v>45468</x:v>
      </x:c>
      <x:c r="C2181" s="2" t="str">
        <x:v>México</x:v>
      </x:c>
      <x:c r="D2181" s="2" t="str">
        <x:v>Calçados</x:v>
      </x:c>
      <x:c r="E2181" s="11" t="n">
        <x:v>29</x:v>
      </x:c>
      <x:c r="F2181" s="12" t="n">
        <x:v>155.91</x:v>
      </x:c>
      <x:c r="G2181" s="12" t="n">
        <x:v>4521.39</x:v>
      </x:c>
      <x:c r="H2181" s="13" t="n">
        <x:v>300</x:v>
      </x:c>
      <x:c r="I2181" s="13" t="n">
        <x:f>YEAR(B2181)</x:f>
        <x:v>2024</x:v>
      </x:c>
      <x:c r="J2181" s="13" t="n">
        <x:f>MONTH(B2181)</x:f>
        <x:v>6</x:v>
      </x:c>
      <x:c r="K2181" s="14" t="n">
        <x:f>ROUND(E2181*F2181-G2181,10)</x:f>
        <x:v>0</x:v>
      </x:c>
      <x:c r="L2181" s="2"/>
      <x:c r="M2181" s="2"/>
      <x:c r="N2181" s="2"/>
      <x:c r="O2181" s="2"/>
      <x:c r="P2181" s="2"/>
      <x:c r="Q2181" s="2"/>
      <x:c r="R2181" s="2"/>
    </x:row>
    <x:row r="2182" ht="22" customHeight="1">
      <x:c r="A2182" s="2" t="n">
        <x:v>102176</x:v>
      </x:c>
      <x:c r="B2182" s="10" t="n">
        <x:v>45588</x:v>
      </x:c>
      <x:c r="C2182" s="2" t="str">
        <x:v>Colômbia</x:v>
      </x:c>
      <x:c r="D2182" s="2" t="str">
        <x:v>Moda Masculina</x:v>
      </x:c>
      <x:c r="E2182" s="11" t="n">
        <x:v>34</x:v>
      </x:c>
      <x:c r="F2182" s="12" t="n">
        <x:v>141.02</x:v>
      </x:c>
      <x:c r="G2182" s="12" t="n">
        <x:v>4794.68</x:v>
      </x:c>
      <x:c r="H2182" s="13" t="n">
        <x:v>439</x:v>
      </x:c>
      <x:c r="I2182" s="13" t="n">
        <x:f>YEAR(B2182)</x:f>
        <x:v>2024</x:v>
      </x:c>
      <x:c r="J2182" s="13" t="n">
        <x:f>MONTH(B2182)</x:f>
        <x:v>10</x:v>
      </x:c>
      <x:c r="K2182" s="14" t="n">
        <x:f>ROUND(E2182*F2182-G2182,10)</x:f>
        <x:v>0</x:v>
      </x:c>
      <x:c r="L2182" s="2"/>
      <x:c r="M2182" s="2"/>
      <x:c r="N2182" s="2"/>
      <x:c r="O2182" s="2"/>
      <x:c r="P2182" s="2"/>
      <x:c r="Q2182" s="2"/>
      <x:c r="R2182" s="2"/>
    </x:row>
    <x:row r="2183" ht="22" customHeight="1">
      <x:c r="A2183" s="2" t="n">
        <x:v>102177</x:v>
      </x:c>
      <x:c r="B2183" s="10" t="n">
        <x:v>45203</x:v>
      </x:c>
      <x:c r="C2183" s="2" t="str">
        <x:v>Argentina</x:v>
      </x:c>
      <x:c r="D2183" s="2" t="str">
        <x:v>Acessórios</x:v>
      </x:c>
      <x:c r="E2183" s="11" t="n">
        <x:v>18</x:v>
      </x:c>
      <x:c r="F2183" s="12" t="n">
        <x:v>115.62</x:v>
      </x:c>
      <x:c r="G2183" s="12" t="n">
        <x:v>2081.16</x:v>
      </x:c>
      <x:c r="H2183" s="13" t="n">
        <x:v>229</x:v>
      </x:c>
      <x:c r="I2183" s="13" t="n">
        <x:f>YEAR(B2183)</x:f>
        <x:v>2023</x:v>
      </x:c>
      <x:c r="J2183" s="13" t="n">
        <x:f>MONTH(B2183)</x:f>
        <x:v>10</x:v>
      </x:c>
      <x:c r="K2183" s="14" t="n">
        <x:f>ROUND(E2183*F2183-G2183,10)</x:f>
        <x:v>0</x:v>
      </x:c>
      <x:c r="L2183" s="2"/>
      <x:c r="M2183" s="2"/>
      <x:c r="N2183" s="2"/>
      <x:c r="O2183" s="2"/>
      <x:c r="P2183" s="2"/>
      <x:c r="Q2183" s="2"/>
      <x:c r="R2183" s="2"/>
    </x:row>
    <x:row r="2184" ht="22" customHeight="1">
      <x:c r="A2184" s="2" t="n">
        <x:v>102178</x:v>
      </x:c>
      <x:c r="B2184" s="10" t="n">
        <x:v>45100</x:v>
      </x:c>
      <x:c r="C2184" s="2" t="str">
        <x:v>Argentina</x:v>
      </x:c>
      <x:c r="D2184" s="2" t="str">
        <x:v>Moda Feminina</x:v>
      </x:c>
      <x:c r="E2184" s="11" t="n">
        <x:v>7</x:v>
      </x:c>
      <x:c r="F2184" s="12" t="n">
        <x:v>37.8</x:v>
      </x:c>
      <x:c r="G2184" s="12" t="n">
        <x:v>264.6</x:v>
      </x:c>
      <x:c r="H2184" s="13" t="n">
        <x:v>256</x:v>
      </x:c>
      <x:c r="I2184" s="13" t="n">
        <x:f>YEAR(B2184)</x:f>
        <x:v>2023</x:v>
      </x:c>
      <x:c r="J2184" s="13" t="n">
        <x:f>MONTH(B2184)</x:f>
        <x:v>6</x:v>
      </x:c>
      <x:c r="K2184" s="14" t="n">
        <x:f>ROUND(E2184*F2184-G2184,10)</x:f>
        <x:v>0</x:v>
      </x:c>
      <x:c r="L2184" s="2"/>
      <x:c r="M2184" s="2"/>
      <x:c r="N2184" s="2"/>
      <x:c r="O2184" s="2"/>
      <x:c r="P2184" s="2"/>
      <x:c r="Q2184" s="2"/>
      <x:c r="R2184" s="2"/>
    </x:row>
    <x:row r="2185" ht="22" customHeight="1">
      <x:c r="A2185" s="2" t="n">
        <x:v>102179</x:v>
      </x:c>
      <x:c r="B2185" s="10" t="n">
        <x:v>44933</x:v>
      </x:c>
      <x:c r="C2185" s="2" t="str">
        <x:v>Colômbia</x:v>
      </x:c>
      <x:c r="D2185" s="2" t="str">
        <x:v>Calçados</x:v>
      </x:c>
      <x:c r="E2185" s="11" t="n">
        <x:v>29</x:v>
      </x:c>
      <x:c r="F2185" s="12" t="n">
        <x:v>166.19</x:v>
      </x:c>
      <x:c r="G2185" s="12" t="n">
        <x:v>4819.51</x:v>
      </x:c>
      <x:c r="H2185" s="13" t="n">
        <x:v>393</x:v>
      </x:c>
      <x:c r="I2185" s="13" t="n">
        <x:f>YEAR(B2185)</x:f>
        <x:v>2023</x:v>
      </x:c>
      <x:c r="J2185" s="13" t="n">
        <x:f>MONTH(B2185)</x:f>
        <x:v>1</x:v>
      </x:c>
      <x:c r="K2185" s="14" t="n">
        <x:f>ROUND(E2185*F2185-G2185,10)</x:f>
        <x:v>0</x:v>
      </x:c>
      <x:c r="L2185" s="2"/>
      <x:c r="M2185" s="2"/>
      <x:c r="N2185" s="2"/>
      <x:c r="O2185" s="2"/>
      <x:c r="P2185" s="2"/>
      <x:c r="Q2185" s="2"/>
      <x:c r="R2185" s="2"/>
    </x:row>
    <x:row r="2186" ht="22" customHeight="1">
      <x:c r="A2186" s="2" t="n">
        <x:v>102180</x:v>
      </x:c>
      <x:c r="B2186" s="10" t="n">
        <x:v>45546</x:v>
      </x:c>
      <x:c r="C2186" s="2" t="str">
        <x:v>Argentina</x:v>
      </x:c>
      <x:c r="D2186" s="2" t="str">
        <x:v>Calçados</x:v>
      </x:c>
      <x:c r="E2186" s="11" t="n">
        <x:v>31</x:v>
      </x:c>
      <x:c r="F2186" s="12" t="n">
        <x:v>175.88</x:v>
      </x:c>
      <x:c r="G2186" s="12" t="n">
        <x:v>5452.28</x:v>
      </x:c>
      <x:c r="H2186" s="13" t="n">
        <x:v>198</x:v>
      </x:c>
      <x:c r="I2186" s="13" t="n">
        <x:f>YEAR(B2186)</x:f>
        <x:v>2024</x:v>
      </x:c>
      <x:c r="J2186" s="13" t="n">
        <x:f>MONTH(B2186)</x:f>
        <x:v>9</x:v>
      </x:c>
      <x:c r="K2186" s="14" t="n">
        <x:f>ROUND(E2186*F2186-G2186,10)</x:f>
        <x:v>0</x:v>
      </x:c>
      <x:c r="L2186" s="2"/>
      <x:c r="M2186" s="2"/>
      <x:c r="N2186" s="2"/>
      <x:c r="O2186" s="2"/>
      <x:c r="P2186" s="2"/>
      <x:c r="Q2186" s="2"/>
      <x:c r="R2186" s="2"/>
    </x:row>
    <x:row r="2187" ht="22" customHeight="1">
      <x:c r="A2187" s="2" t="n">
        <x:v>102181</x:v>
      </x:c>
      <x:c r="B2187" s="10" t="n">
        <x:v>44935</x:v>
      </x:c>
      <x:c r="C2187" s="2" t="str">
        <x:v>México</x:v>
      </x:c>
      <x:c r="D2187" s="2" t="str">
        <x:v>Acessórios</x:v>
      </x:c>
      <x:c r="E2187" s="11" t="n">
        <x:v>25</x:v>
      </x:c>
      <x:c r="F2187" s="12" t="n">
        <x:v>50.99</x:v>
      </x:c>
      <x:c r="G2187" s="12" t="n">
        <x:v>1274.75</x:v>
      </x:c>
      <x:c r="H2187" s="13" t="n">
        <x:v>120</x:v>
      </x:c>
      <x:c r="I2187" s="13" t="n">
        <x:f>YEAR(B2187)</x:f>
        <x:v>2023</x:v>
      </x:c>
      <x:c r="J2187" s="13" t="n">
        <x:f>MONTH(B2187)</x:f>
        <x:v>1</x:v>
      </x:c>
      <x:c r="K2187" s="14" t="n">
        <x:f>ROUND(E2187*F2187-G2187,10)</x:f>
        <x:v>0</x:v>
      </x:c>
      <x:c r="L2187" s="2"/>
      <x:c r="M2187" s="2"/>
      <x:c r="N2187" s="2"/>
      <x:c r="O2187" s="2"/>
      <x:c r="P2187" s="2"/>
      <x:c r="Q2187" s="2"/>
      <x:c r="R2187" s="2"/>
    </x:row>
    <x:row r="2188" ht="22" customHeight="1">
      <x:c r="A2188" s="2" t="n">
        <x:v>102182</x:v>
      </x:c>
      <x:c r="B2188" s="10" t="n">
        <x:v>45158</x:v>
      </x:c>
      <x:c r="C2188" s="2" t="str">
        <x:v>Brasil</x:v>
      </x:c>
      <x:c r="D2188" s="2" t="str">
        <x:v>Moda Masculina</x:v>
      </x:c>
      <x:c r="E2188" s="11" t="n">
        <x:v>38</x:v>
      </x:c>
      <x:c r="F2188" s="12" t="n">
        <x:v>173.09</x:v>
      </x:c>
      <x:c r="G2188" s="12" t="n">
        <x:v>6577.42</x:v>
      </x:c>
      <x:c r="H2188" s="13" t="n">
        <x:v>170</x:v>
      </x:c>
      <x:c r="I2188" s="13" t="n">
        <x:f>YEAR(B2188)</x:f>
        <x:v>2023</x:v>
      </x:c>
      <x:c r="J2188" s="13" t="n">
        <x:f>MONTH(B2188)</x:f>
        <x:v>8</x:v>
      </x:c>
      <x:c r="K2188" s="14" t="n">
        <x:f>ROUND(E2188*F2188-G2188,10)</x:f>
        <x:v>0</x:v>
      </x:c>
      <x:c r="L2188" s="2"/>
      <x:c r="M2188" s="2"/>
      <x:c r="N2188" s="2"/>
      <x:c r="O2188" s="2"/>
      <x:c r="P2188" s="2"/>
      <x:c r="Q2188" s="2"/>
      <x:c r="R2188" s="2"/>
    </x:row>
    <x:row r="2189" ht="22" customHeight="1">
      <x:c r="A2189" s="2" t="n">
        <x:v>102183</x:v>
      </x:c>
      <x:c r="B2189" s="10" t="n">
        <x:v>44976</x:v>
      </x:c>
      <x:c r="C2189" s="2" t="str">
        <x:v>México</x:v>
      </x:c>
      <x:c r="D2189" s="2" t="str">
        <x:v>Moda Feminina</x:v>
      </x:c>
      <x:c r="E2189" s="11" t="n">
        <x:v>14</x:v>
      </x:c>
      <x:c r="F2189" s="12" t="n">
        <x:v>178.01</x:v>
      </x:c>
      <x:c r="G2189" s="12" t="n">
        <x:v>2492.14</x:v>
      </x:c>
      <x:c r="H2189" s="13" t="n">
        <x:v>302</x:v>
      </x:c>
      <x:c r="I2189" s="13" t="n">
        <x:f>YEAR(B2189)</x:f>
        <x:v>2023</x:v>
      </x:c>
      <x:c r="J2189" s="13" t="n">
        <x:f>MONTH(B2189)</x:f>
        <x:v>2</x:v>
      </x:c>
      <x:c r="K2189" s="14" t="n">
        <x:f>ROUND(E2189*F2189-G2189,10)</x:f>
        <x:v>0</x:v>
      </x:c>
      <x:c r="L2189" s="2"/>
      <x:c r="M2189" s="2"/>
      <x:c r="N2189" s="2"/>
      <x:c r="O2189" s="2"/>
      <x:c r="P2189" s="2"/>
      <x:c r="Q2189" s="2"/>
      <x:c r="R2189" s="2"/>
    </x:row>
    <x:row r="2190" ht="22" customHeight="1">
      <x:c r="A2190" s="2" t="n">
        <x:v>102184</x:v>
      </x:c>
      <x:c r="B2190" s="10" t="n">
        <x:v>45413</x:v>
      </x:c>
      <x:c r="C2190" s="2" t="str">
        <x:v>Peru</x:v>
      </x:c>
      <x:c r="D2190" s="2" t="str">
        <x:v>Moda Masculina</x:v>
      </x:c>
      <x:c r="E2190" s="11" t="n">
        <x:v>8</x:v>
      </x:c>
      <x:c r="F2190" s="12" t="n">
        <x:v>118.9</x:v>
      </x:c>
      <x:c r="G2190" s="12" t="n">
        <x:v>951.2</x:v>
      </x:c>
      <x:c r="H2190" s="13" t="n">
        <x:v>142</x:v>
      </x:c>
      <x:c r="I2190" s="13" t="n">
        <x:f>YEAR(B2190)</x:f>
        <x:v>2024</x:v>
      </x:c>
      <x:c r="J2190" s="13" t="n">
        <x:f>MONTH(B2190)</x:f>
        <x:v>5</x:v>
      </x:c>
      <x:c r="K2190" s="14" t="n">
        <x:f>ROUND(E2190*F2190-G2190,10)</x:f>
        <x:v>0</x:v>
      </x:c>
      <x:c r="L2190" s="2"/>
      <x:c r="M2190" s="2"/>
      <x:c r="N2190" s="2"/>
      <x:c r="O2190" s="2"/>
      <x:c r="P2190" s="2"/>
      <x:c r="Q2190" s="2"/>
      <x:c r="R2190" s="2"/>
    </x:row>
    <x:row r="2191" ht="22" customHeight="1">
      <x:c r="A2191" s="2" t="n">
        <x:v>102185</x:v>
      </x:c>
      <x:c r="B2191" s="10" t="n">
        <x:v>45116</x:v>
      </x:c>
      <x:c r="C2191" s="2" t="str">
        <x:v>México</x:v>
      </x:c>
      <x:c r="D2191" s="2" t="str">
        <x:v>Moda Masculina</x:v>
      </x:c>
      <x:c r="E2191" s="11" t="n">
        <x:v>27</x:v>
      </x:c>
      <x:c r="F2191" s="12" t="n">
        <x:v>138.11</x:v>
      </x:c>
      <x:c r="G2191" s="12" t="n">
        <x:v>3728.97</x:v>
      </x:c>
      <x:c r="H2191" s="13" t="n">
        <x:v>305</x:v>
      </x:c>
      <x:c r="I2191" s="13" t="n">
        <x:f>YEAR(B2191)</x:f>
        <x:v>2023</x:v>
      </x:c>
      <x:c r="J2191" s="13" t="n">
        <x:f>MONTH(B2191)</x:f>
        <x:v>7</x:v>
      </x:c>
      <x:c r="K2191" s="14" t="n">
        <x:f>ROUND(E2191*F2191-G2191,10)</x:f>
        <x:v>0</x:v>
      </x:c>
      <x:c r="L2191" s="2"/>
      <x:c r="M2191" s="2"/>
      <x:c r="N2191" s="2"/>
      <x:c r="O2191" s="2"/>
      <x:c r="P2191" s="2"/>
      <x:c r="Q2191" s="2"/>
      <x:c r="R2191" s="2"/>
    </x:row>
    <x:row r="2192" ht="22" customHeight="1">
      <x:c r="A2192" s="2" t="n">
        <x:v>102186</x:v>
      </x:c>
      <x:c r="B2192" s="10" t="n">
        <x:v>45269</x:v>
      </x:c>
      <x:c r="C2192" s="2" t="str">
        <x:v>Peru</x:v>
      </x:c>
      <x:c r="D2192" s="2" t="str">
        <x:v>Moda Feminina</x:v>
      </x:c>
      <x:c r="E2192" s="11" t="n">
        <x:v>2</x:v>
      </x:c>
      <x:c r="F2192" s="12" t="n">
        <x:v>88.8</x:v>
      </x:c>
      <x:c r="G2192" s="12" t="n">
        <x:v>177.6</x:v>
      </x:c>
      <x:c r="H2192" s="13" t="n">
        <x:v>303</x:v>
      </x:c>
      <x:c r="I2192" s="13" t="n">
        <x:f>YEAR(B2192)</x:f>
        <x:v>2023</x:v>
      </x:c>
      <x:c r="J2192" s="13" t="n">
        <x:f>MONTH(B2192)</x:f>
        <x:v>12</x:v>
      </x:c>
      <x:c r="K2192" s="14" t="n">
        <x:f>ROUND(E2192*F2192-G2192,10)</x:f>
        <x:v>0</x:v>
      </x:c>
      <x:c r="L2192" s="2"/>
      <x:c r="M2192" s="2"/>
      <x:c r="N2192" s="2"/>
      <x:c r="O2192" s="2"/>
      <x:c r="P2192" s="2"/>
      <x:c r="Q2192" s="2"/>
      <x:c r="R2192" s="2"/>
    </x:row>
    <x:row r="2193" ht="22" customHeight="1">
      <x:c r="A2193" s="2" t="n">
        <x:v>102187</x:v>
      </x:c>
      <x:c r="B2193" s="10" t="n">
        <x:v>45140</x:v>
      </x:c>
      <x:c r="C2193" s="2" t="str">
        <x:v>Argentina</x:v>
      </x:c>
      <x:c r="D2193" s="2" t="str">
        <x:v>Moda Feminina</x:v>
      </x:c>
      <x:c r="E2193" s="11" t="n">
        <x:v>17</x:v>
      </x:c>
      <x:c r="F2193" s="12" t="n">
        <x:v>70.72</x:v>
      </x:c>
      <x:c r="G2193" s="12" t="n">
        <x:v>1202.24</x:v>
      </x:c>
      <x:c r="H2193" s="13" t="n">
        <x:v>401</x:v>
      </x:c>
      <x:c r="I2193" s="13" t="n">
        <x:f>YEAR(B2193)</x:f>
        <x:v>2023</x:v>
      </x:c>
      <x:c r="J2193" s="13" t="n">
        <x:f>MONTH(B2193)</x:f>
        <x:v>8</x:v>
      </x:c>
      <x:c r="K2193" s="14" t="n">
        <x:f>ROUND(E2193*F2193-G2193,10)</x:f>
        <x:v>0</x:v>
      </x:c>
      <x:c r="L2193" s="2"/>
      <x:c r="M2193" s="2"/>
      <x:c r="N2193" s="2"/>
      <x:c r="O2193" s="2"/>
      <x:c r="P2193" s="2"/>
      <x:c r="Q2193" s="2"/>
      <x:c r="R2193" s="2"/>
    </x:row>
    <x:row r="2194" ht="22" customHeight="1">
      <x:c r="A2194" s="2" t="n">
        <x:v>102188</x:v>
      </x:c>
      <x:c r="B2194" s="10" t="n">
        <x:v>45597</x:v>
      </x:c>
      <x:c r="C2194" s="2" t="str">
        <x:v>Brasil</x:v>
      </x:c>
      <x:c r="D2194" s="2" t="str">
        <x:v>Calçados</x:v>
      </x:c>
      <x:c r="E2194" s="11" t="n">
        <x:v>37</x:v>
      </x:c>
      <x:c r="F2194" s="12" t="n">
        <x:v>149.96</x:v>
      </x:c>
      <x:c r="G2194" s="12" t="n">
        <x:v>5548.52</x:v>
      </x:c>
      <x:c r="H2194" s="13" t="n">
        <x:v>337</x:v>
      </x:c>
      <x:c r="I2194" s="13" t="n">
        <x:f>YEAR(B2194)</x:f>
        <x:v>2024</x:v>
      </x:c>
      <x:c r="J2194" s="13" t="n">
        <x:f>MONTH(B2194)</x:f>
        <x:v>11</x:v>
      </x:c>
      <x:c r="K2194" s="14" t="n">
        <x:f>ROUND(E2194*F2194-G2194,10)</x:f>
        <x:v>0</x:v>
      </x:c>
      <x:c r="L2194" s="2"/>
      <x:c r="M2194" s="2"/>
      <x:c r="N2194" s="2"/>
      <x:c r="O2194" s="2"/>
      <x:c r="P2194" s="2"/>
      <x:c r="Q2194" s="2"/>
      <x:c r="R2194" s="2"/>
    </x:row>
    <x:row r="2195" ht="22" customHeight="1">
      <x:c r="A2195" s="2" t="n">
        <x:v>102189</x:v>
      </x:c>
      <x:c r="B2195" s="10" t="n">
        <x:v>45568</x:v>
      </x:c>
      <x:c r="C2195" s="2" t="str">
        <x:v>Argentina</x:v>
      </x:c>
      <x:c r="D2195" s="2" t="str">
        <x:v>Calçados</x:v>
      </x:c>
      <x:c r="E2195" s="11" t="n">
        <x:v>14</x:v>
      </x:c>
      <x:c r="F2195" s="12" t="n">
        <x:v>175.14</x:v>
      </x:c>
      <x:c r="G2195" s="12" t="n">
        <x:v>2451.96</x:v>
      </x:c>
      <x:c r="H2195" s="13" t="n">
        <x:v>358</x:v>
      </x:c>
      <x:c r="I2195" s="13" t="n">
        <x:f>YEAR(B2195)</x:f>
        <x:v>2024</x:v>
      </x:c>
      <x:c r="J2195" s="13" t="n">
        <x:f>MONTH(B2195)</x:f>
        <x:v>10</x:v>
      </x:c>
      <x:c r="K2195" s="14" t="n">
        <x:f>ROUND(E2195*F2195-G2195,10)</x:f>
        <x:v>0</x:v>
      </x:c>
      <x:c r="L2195" s="2"/>
      <x:c r="M2195" s="2"/>
      <x:c r="N2195" s="2"/>
      <x:c r="O2195" s="2"/>
      <x:c r="P2195" s="2"/>
      <x:c r="Q2195" s="2"/>
      <x:c r="R2195" s="2"/>
    </x:row>
    <x:row r="2196" ht="22" customHeight="1">
      <x:c r="A2196" s="2" t="n">
        <x:v>102190</x:v>
      </x:c>
      <x:c r="B2196" s="10" t="n">
        <x:v>44994</x:v>
      </x:c>
      <x:c r="C2196" s="2" t="str">
        <x:v>Chile</x:v>
      </x:c>
      <x:c r="D2196" s="2" t="str">
        <x:v>Moda Feminina</x:v>
      </x:c>
      <x:c r="E2196" s="11" t="n">
        <x:v>25</x:v>
      </x:c>
      <x:c r="F2196" s="12" t="n">
        <x:v>137.73</x:v>
      </x:c>
      <x:c r="G2196" s="12" t="n">
        <x:v>3443.25</x:v>
      </x:c>
      <x:c r="H2196" s="13" t="n">
        <x:v>108</x:v>
      </x:c>
      <x:c r="I2196" s="13" t="n">
        <x:f>YEAR(B2196)</x:f>
        <x:v>2023</x:v>
      </x:c>
      <x:c r="J2196" s="13" t="n">
        <x:f>MONTH(B2196)</x:f>
        <x:v>3</x:v>
      </x:c>
      <x:c r="K2196" s="14" t="n">
        <x:f>ROUND(E2196*F2196-G2196,10)</x:f>
        <x:v>0</x:v>
      </x:c>
      <x:c r="L2196" s="2"/>
      <x:c r="M2196" s="2"/>
      <x:c r="N2196" s="2"/>
      <x:c r="O2196" s="2"/>
      <x:c r="P2196" s="2"/>
      <x:c r="Q2196" s="2"/>
      <x:c r="R2196" s="2"/>
    </x:row>
    <x:row r="2197" ht="22" customHeight="1">
      <x:c r="A2197" s="2" t="n">
        <x:v>102191</x:v>
      </x:c>
      <x:c r="B2197" s="10" t="n">
        <x:v>45295</x:v>
      </x:c>
      <x:c r="C2197" s="2" t="str">
        <x:v>Argentina</x:v>
      </x:c>
      <x:c r="D2197" s="2" t="str">
        <x:v>Moda Infantil</x:v>
      </x:c>
      <x:c r="E2197" s="11" t="n">
        <x:v>30</x:v>
      </x:c>
      <x:c r="F2197" s="12" t="n">
        <x:v>112.09</x:v>
      </x:c>
      <x:c r="G2197" s="12" t="n">
        <x:v>3362.7</x:v>
      </x:c>
      <x:c r="H2197" s="13" t="n">
        <x:v>118</x:v>
      </x:c>
      <x:c r="I2197" s="13" t="n">
        <x:f>YEAR(B2197)</x:f>
        <x:v>2024</x:v>
      </x:c>
      <x:c r="J2197" s="13" t="n">
        <x:f>MONTH(B2197)</x:f>
        <x:v>1</x:v>
      </x:c>
      <x:c r="K2197" s="14" t="n">
        <x:f>ROUND(E2197*F2197-G2197,10)</x:f>
        <x:v>0</x:v>
      </x:c>
      <x:c r="L2197" s="2"/>
      <x:c r="M2197" s="2"/>
      <x:c r="N2197" s="2"/>
      <x:c r="O2197" s="2"/>
      <x:c r="P2197" s="2"/>
      <x:c r="Q2197" s="2"/>
      <x:c r="R2197" s="2"/>
    </x:row>
    <x:row r="2198" ht="22" customHeight="1">
      <x:c r="A2198" s="2" t="n">
        <x:v>102192</x:v>
      </x:c>
      <x:c r="B2198" s="10" t="n">
        <x:v>45431</x:v>
      </x:c>
      <x:c r="C2198" s="2" t="str">
        <x:v>Peru</x:v>
      </x:c>
      <x:c r="D2198" s="2" t="str">
        <x:v>Calçados</x:v>
      </x:c>
      <x:c r="E2198" s="11" t="n">
        <x:v>29</x:v>
      </x:c>
      <x:c r="F2198" s="12" t="n">
        <x:v>48.61</x:v>
      </x:c>
      <x:c r="G2198" s="12" t="n">
        <x:v>1409.69</x:v>
      </x:c>
      <x:c r="H2198" s="13" t="n">
        <x:v>495</x:v>
      </x:c>
      <x:c r="I2198" s="13" t="n">
        <x:f>YEAR(B2198)</x:f>
        <x:v>2024</x:v>
      </x:c>
      <x:c r="J2198" s="13" t="n">
        <x:f>MONTH(B2198)</x:f>
        <x:v>5</x:v>
      </x:c>
      <x:c r="K2198" s="14" t="n">
        <x:f>ROUND(E2198*F2198-G2198,10)</x:f>
        <x:v>0</x:v>
      </x:c>
      <x:c r="L2198" s="2"/>
      <x:c r="M2198" s="2"/>
      <x:c r="N2198" s="2"/>
      <x:c r="O2198" s="2"/>
      <x:c r="P2198" s="2"/>
      <x:c r="Q2198" s="2"/>
      <x:c r="R2198" s="2"/>
    </x:row>
    <x:row r="2199" ht="22" customHeight="1">
      <x:c r="A2199" s="2" t="n">
        <x:v>102193</x:v>
      </x:c>
      <x:c r="B2199" s="10" t="n">
        <x:v>45079</x:v>
      </x:c>
      <x:c r="C2199" s="2" t="str">
        <x:v>Argentina</x:v>
      </x:c>
      <x:c r="D2199" s="2" t="str">
        <x:v>Moda Infantil</x:v>
      </x:c>
      <x:c r="E2199" s="11" t="n">
        <x:v>20</x:v>
      </x:c>
      <x:c r="F2199" s="12" t="n">
        <x:v>29.62</x:v>
      </x:c>
      <x:c r="G2199" s="12" t="n">
        <x:v>592.4</x:v>
      </x:c>
      <x:c r="H2199" s="13" t="n">
        <x:v>437</x:v>
      </x:c>
      <x:c r="I2199" s="13" t="n">
        <x:f>YEAR(B2199)</x:f>
        <x:v>2023</x:v>
      </x:c>
      <x:c r="J2199" s="13" t="n">
        <x:f>MONTH(B2199)</x:f>
        <x:v>6</x:v>
      </x:c>
      <x:c r="K2199" s="14" t="n">
        <x:f>ROUND(E2199*F2199-G2199,10)</x:f>
        <x:v>0</x:v>
      </x:c>
      <x:c r="L2199" s="2"/>
      <x:c r="M2199" s="2"/>
      <x:c r="N2199" s="2"/>
      <x:c r="O2199" s="2"/>
      <x:c r="P2199" s="2"/>
      <x:c r="Q2199" s="2"/>
      <x:c r="R2199" s="2"/>
    </x:row>
    <x:row r="2200" ht="22" customHeight="1">
      <x:c r="A2200" s="2" t="n">
        <x:v>102194</x:v>
      </x:c>
      <x:c r="B2200" s="10" t="n">
        <x:v>45479</x:v>
      </x:c>
      <x:c r="C2200" s="2" t="str">
        <x:v>Argentina</x:v>
      </x:c>
      <x:c r="D2200" s="2" t="str">
        <x:v>Moda Feminina</x:v>
      </x:c>
      <x:c r="E2200" s="11" t="n">
        <x:v>21</x:v>
      </x:c>
      <x:c r="F2200" s="12" t="n">
        <x:v>100.22</x:v>
      </x:c>
      <x:c r="G2200" s="12" t="n">
        <x:v>2104.62</x:v>
      </x:c>
      <x:c r="H2200" s="13" t="n">
        <x:v>135</x:v>
      </x:c>
      <x:c r="I2200" s="13" t="n">
        <x:f>YEAR(B2200)</x:f>
        <x:v>2024</x:v>
      </x:c>
      <x:c r="J2200" s="13" t="n">
        <x:f>MONTH(B2200)</x:f>
        <x:v>7</x:v>
      </x:c>
      <x:c r="K2200" s="14" t="n">
        <x:f>ROUND(E2200*F2200-G2200,10)</x:f>
        <x:v>0</x:v>
      </x:c>
      <x:c r="L2200" s="2"/>
      <x:c r="M2200" s="2"/>
      <x:c r="N2200" s="2"/>
      <x:c r="O2200" s="2"/>
      <x:c r="P2200" s="2"/>
      <x:c r="Q2200" s="2"/>
      <x:c r="R2200" s="2"/>
    </x:row>
    <x:row r="2201" ht="22" customHeight="1">
      <x:c r="A2201" s="2" t="n">
        <x:v>102195</x:v>
      </x:c>
      <x:c r="B2201" s="10" t="n">
        <x:v>44989</x:v>
      </x:c>
      <x:c r="C2201" s="2" t="str">
        <x:v>Brasil</x:v>
      </x:c>
      <x:c r="D2201" s="2" t="str">
        <x:v>Calçados</x:v>
      </x:c>
      <x:c r="E2201" s="11" t="n">
        <x:v>22</x:v>
      </x:c>
      <x:c r="F2201" s="12" t="n">
        <x:v>28.88</x:v>
      </x:c>
      <x:c r="G2201" s="12" t="n">
        <x:v>635.36</x:v>
      </x:c>
      <x:c r="H2201" s="13" t="n">
        <x:v>323</x:v>
      </x:c>
      <x:c r="I2201" s="13" t="n">
        <x:f>YEAR(B2201)</x:f>
        <x:v>2023</x:v>
      </x:c>
      <x:c r="J2201" s="13" t="n">
        <x:f>MONTH(B2201)</x:f>
        <x:v>3</x:v>
      </x:c>
      <x:c r="K2201" s="14" t="n">
        <x:f>ROUND(E2201*F2201-G2201,10)</x:f>
        <x:v>0</x:v>
      </x:c>
      <x:c r="L2201" s="2"/>
      <x:c r="M2201" s="2"/>
      <x:c r="N2201" s="2"/>
      <x:c r="O2201" s="2"/>
      <x:c r="P2201" s="2"/>
      <x:c r="Q2201" s="2"/>
      <x:c r="R2201" s="2"/>
    </x:row>
    <x:row r="2202" ht="22" customHeight="1">
      <x:c r="A2202" s="2" t="n">
        <x:v>102196</x:v>
      </x:c>
      <x:c r="B2202" s="10" t="n">
        <x:v>44931</x:v>
      </x:c>
      <x:c r="C2202" s="2" t="str">
        <x:v>Argentina</x:v>
      </x:c>
      <x:c r="D2202" s="2" t="str">
        <x:v>Moda Masculina</x:v>
      </x:c>
      <x:c r="E2202" s="11" t="n">
        <x:v>35</x:v>
      </x:c>
      <x:c r="F2202" s="12" t="n">
        <x:v>122.48</x:v>
      </x:c>
      <x:c r="G2202" s="12" t="n">
        <x:v>4286.8</x:v>
      </x:c>
      <x:c r="H2202" s="13" t="n">
        <x:v>276</x:v>
      </x:c>
      <x:c r="I2202" s="13" t="n">
        <x:f>YEAR(B2202)</x:f>
        <x:v>2023</x:v>
      </x:c>
      <x:c r="J2202" s="13" t="n">
        <x:f>MONTH(B2202)</x:f>
        <x:v>1</x:v>
      </x:c>
      <x:c r="K2202" s="14" t="n">
        <x:f>ROUND(E2202*F2202-G2202,10)</x:f>
        <x:v>0</x:v>
      </x:c>
      <x:c r="L2202" s="2"/>
      <x:c r="M2202" s="2"/>
      <x:c r="N2202" s="2"/>
      <x:c r="O2202" s="2"/>
      <x:c r="P2202" s="2"/>
      <x:c r="Q2202" s="2"/>
      <x:c r="R2202" s="2"/>
    </x:row>
    <x:row r="2203" ht="22" customHeight="1">
      <x:c r="A2203" s="2" t="n">
        <x:v>102197</x:v>
      </x:c>
      <x:c r="B2203" s="10" t="n">
        <x:v>45431</x:v>
      </x:c>
      <x:c r="C2203" s="2" t="str">
        <x:v>Brasil</x:v>
      </x:c>
      <x:c r="D2203" s="2" t="str">
        <x:v>Moda Feminina</x:v>
      </x:c>
      <x:c r="E2203" s="11" t="n">
        <x:v>37</x:v>
      </x:c>
      <x:c r="F2203" s="12" t="n">
        <x:v>88.89</x:v>
      </x:c>
      <x:c r="G2203" s="12" t="n">
        <x:v>3288.93</x:v>
      </x:c>
      <x:c r="H2203" s="13" t="n">
        <x:v>130</x:v>
      </x:c>
      <x:c r="I2203" s="13" t="n">
        <x:f>YEAR(B2203)</x:f>
        <x:v>2024</x:v>
      </x:c>
      <x:c r="J2203" s="13" t="n">
        <x:f>MONTH(B2203)</x:f>
        <x:v>5</x:v>
      </x:c>
      <x:c r="K2203" s="14" t="n">
        <x:f>ROUND(E2203*F2203-G2203,10)</x:f>
        <x:v>0</x:v>
      </x:c>
      <x:c r="L2203" s="2"/>
      <x:c r="M2203" s="2"/>
      <x:c r="N2203" s="2"/>
      <x:c r="O2203" s="2"/>
      <x:c r="P2203" s="2"/>
      <x:c r="Q2203" s="2"/>
      <x:c r="R2203" s="2"/>
    </x:row>
    <x:row r="2204" ht="22" customHeight="1">
      <x:c r="A2204" s="2" t="n">
        <x:v>102198</x:v>
      </x:c>
      <x:c r="B2204" s="10" t="n">
        <x:v>45580</x:v>
      </x:c>
      <x:c r="C2204" s="2" t="str">
        <x:v>Colômbia</x:v>
      </x:c>
      <x:c r="D2204" s="2" t="str">
        <x:v>Acessórios</x:v>
      </x:c>
      <x:c r="E2204" s="11" t="n">
        <x:v>16</x:v>
      </x:c>
      <x:c r="F2204" s="12" t="n">
        <x:v>156.29</x:v>
      </x:c>
      <x:c r="G2204" s="12" t="n">
        <x:v>2500.64</x:v>
      </x:c>
      <x:c r="H2204" s="13" t="n">
        <x:v>163</x:v>
      </x:c>
      <x:c r="I2204" s="13" t="n">
        <x:f>YEAR(B2204)</x:f>
        <x:v>2024</x:v>
      </x:c>
      <x:c r="J2204" s="13" t="n">
        <x:f>MONTH(B2204)</x:f>
        <x:v>10</x:v>
      </x:c>
      <x:c r="K2204" s="14" t="n">
        <x:f>ROUND(E2204*F2204-G2204,10)</x:f>
        <x:v>0</x:v>
      </x:c>
      <x:c r="L2204" s="2"/>
      <x:c r="M2204" s="2"/>
      <x:c r="N2204" s="2"/>
      <x:c r="O2204" s="2"/>
      <x:c r="P2204" s="2"/>
      <x:c r="Q2204" s="2"/>
      <x:c r="R2204" s="2"/>
    </x:row>
    <x:row r="2205" ht="22" customHeight="1">
      <x:c r="A2205" s="2" t="n">
        <x:v>102199</x:v>
      </x:c>
      <x:c r="B2205" s="10" t="n">
        <x:v>45636</x:v>
      </x:c>
      <x:c r="C2205" s="2" t="str">
        <x:v>Chile</x:v>
      </x:c>
      <x:c r="D2205" s="2" t="str">
        <x:v>Moda Infantil</x:v>
      </x:c>
      <x:c r="E2205" s="11" t="n">
        <x:v>49</x:v>
      </x:c>
      <x:c r="F2205" s="12" t="n">
        <x:v>75.02</x:v>
      </x:c>
      <x:c r="G2205" s="12" t="n">
        <x:v>3675.98</x:v>
      </x:c>
      <x:c r="H2205" s="13" t="n">
        <x:v>233</x:v>
      </x:c>
      <x:c r="I2205" s="13" t="n">
        <x:f>YEAR(B2205)</x:f>
        <x:v>2024</x:v>
      </x:c>
      <x:c r="J2205" s="13" t="n">
        <x:f>MONTH(B2205)</x:f>
        <x:v>12</x:v>
      </x:c>
      <x:c r="K2205" s="14" t="n">
        <x:f>ROUND(E2205*F2205-G2205,10)</x:f>
        <x:v>0</x:v>
      </x:c>
      <x:c r="L2205" s="2"/>
      <x:c r="M2205" s="2"/>
      <x:c r="N2205" s="2"/>
      <x:c r="O2205" s="2"/>
      <x:c r="P2205" s="2"/>
      <x:c r="Q2205" s="2"/>
      <x:c r="R2205" s="2"/>
    </x:row>
    <x:row r="2206" ht="22" customHeight="1">
      <x:c r="A2206" s="2" t="n">
        <x:v>102200</x:v>
      </x:c>
      <x:c r="B2206" s="10" t="n">
        <x:v>45034</x:v>
      </x:c>
      <x:c r="C2206" s="2" t="str">
        <x:v>Brasil</x:v>
      </x:c>
      <x:c r="D2206" s="2" t="str">
        <x:v>Moda Feminina</x:v>
      </x:c>
      <x:c r="E2206" s="11" t="n">
        <x:v>43</x:v>
      </x:c>
      <x:c r="F2206" s="12" t="n">
        <x:v>126.74</x:v>
      </x:c>
      <x:c r="G2206" s="12" t="n">
        <x:v>5449.82</x:v>
      </x:c>
      <x:c r="H2206" s="13" t="n">
        <x:v>329</x:v>
      </x:c>
      <x:c r="I2206" s="13" t="n">
        <x:f>YEAR(B2206)</x:f>
        <x:v>2023</x:v>
      </x:c>
      <x:c r="J2206" s="13" t="n">
        <x:f>MONTH(B2206)</x:f>
        <x:v>4</x:v>
      </x:c>
      <x:c r="K2206" s="14" t="n">
        <x:f>ROUND(E2206*F2206-G2206,10)</x:f>
        <x:v>0</x:v>
      </x:c>
      <x:c r="L2206" s="2"/>
      <x:c r="M2206" s="2"/>
      <x:c r="N2206" s="2"/>
      <x:c r="O2206" s="2"/>
      <x:c r="P2206" s="2"/>
      <x:c r="Q2206" s="2"/>
      <x:c r="R2206" s="2"/>
    </x:row>
    <x:row r="2207" ht="22" customHeight="1">
      <x:c r="A2207" s="2" t="n">
        <x:v>102201</x:v>
      </x:c>
      <x:c r="B2207" s="10" t="n">
        <x:v>45354</x:v>
      </x:c>
      <x:c r="C2207" s="2" t="str">
        <x:v>Peru</x:v>
      </x:c>
      <x:c r="D2207" s="2" t="str">
        <x:v>Moda Feminina</x:v>
      </x:c>
      <x:c r="E2207" s="11" t="n">
        <x:v>17</x:v>
      </x:c>
      <x:c r="F2207" s="12" t="n">
        <x:v>116.78</x:v>
      </x:c>
      <x:c r="G2207" s="12" t="n">
        <x:v>1985.26</x:v>
      </x:c>
      <x:c r="H2207" s="13" t="n">
        <x:v>371</x:v>
      </x:c>
      <x:c r="I2207" s="13" t="n">
        <x:f>YEAR(B2207)</x:f>
        <x:v>2024</x:v>
      </x:c>
      <x:c r="J2207" s="13" t="n">
        <x:f>MONTH(B2207)</x:f>
        <x:v>3</x:v>
      </x:c>
      <x:c r="K2207" s="14" t="n">
        <x:f>ROUND(E2207*F2207-G2207,10)</x:f>
        <x:v>0</x:v>
      </x:c>
      <x:c r="L2207" s="2"/>
      <x:c r="M2207" s="2"/>
      <x:c r="N2207" s="2"/>
      <x:c r="O2207" s="2"/>
      <x:c r="P2207" s="2"/>
      <x:c r="Q2207" s="2"/>
      <x:c r="R2207" s="2"/>
    </x:row>
    <x:row r="2208" ht="22" customHeight="1">
      <x:c r="A2208" s="2" t="n">
        <x:v>102202</x:v>
      </x:c>
      <x:c r="B2208" s="10" t="n">
        <x:v>45642</x:v>
      </x:c>
      <x:c r="C2208" s="2" t="str">
        <x:v>Colômbia</x:v>
      </x:c>
      <x:c r="D2208" s="2" t="str">
        <x:v>Calçados</x:v>
      </x:c>
      <x:c r="E2208" s="11" t="n">
        <x:v>16</x:v>
      </x:c>
      <x:c r="F2208" s="12" t="n">
        <x:v>20.85</x:v>
      </x:c>
      <x:c r="G2208" s="12" t="n">
        <x:v>333.6</x:v>
      </x:c>
      <x:c r="H2208" s="13" t="n">
        <x:v>446</x:v>
      </x:c>
      <x:c r="I2208" s="13" t="n">
        <x:f>YEAR(B2208)</x:f>
        <x:v>2024</x:v>
      </x:c>
      <x:c r="J2208" s="13" t="n">
        <x:f>MONTH(B2208)</x:f>
        <x:v>12</x:v>
      </x:c>
      <x:c r="K2208" s="14" t="n">
        <x:f>ROUND(E2208*F2208-G2208,10)</x:f>
        <x:v>0</x:v>
      </x:c>
      <x:c r="L2208" s="2"/>
      <x:c r="M2208" s="2"/>
      <x:c r="N2208" s="2"/>
      <x:c r="O2208" s="2"/>
      <x:c r="P2208" s="2"/>
      <x:c r="Q2208" s="2"/>
      <x:c r="R2208" s="2"/>
    </x:row>
    <x:row r="2209" ht="22" customHeight="1">
      <x:c r="A2209" s="2" t="n">
        <x:v>102203</x:v>
      </x:c>
      <x:c r="B2209" s="10" t="n">
        <x:v>45516</x:v>
      </x:c>
      <x:c r="C2209" s="2" t="str">
        <x:v>Brasil</x:v>
      </x:c>
      <x:c r="D2209" s="2" t="str">
        <x:v>Calçados</x:v>
      </x:c>
      <x:c r="E2209" s="11" t="n">
        <x:v>2</x:v>
      </x:c>
      <x:c r="F2209" s="12" t="n">
        <x:v>33.03</x:v>
      </x:c>
      <x:c r="G2209" s="12" t="n">
        <x:v>66.06</x:v>
      </x:c>
      <x:c r="H2209" s="13" t="n">
        <x:v>367</x:v>
      </x:c>
      <x:c r="I2209" s="13" t="n">
        <x:f>YEAR(B2209)</x:f>
        <x:v>2024</x:v>
      </x:c>
      <x:c r="J2209" s="13" t="n">
        <x:f>MONTH(B2209)</x:f>
        <x:v>8</x:v>
      </x:c>
      <x:c r="K2209" s="14" t="n">
        <x:f>ROUND(E2209*F2209-G2209,10)</x:f>
        <x:v>0</x:v>
      </x:c>
      <x:c r="L2209" s="2"/>
      <x:c r="M2209" s="2"/>
      <x:c r="N2209" s="2"/>
      <x:c r="O2209" s="2"/>
      <x:c r="P2209" s="2"/>
      <x:c r="Q2209" s="2"/>
      <x:c r="R2209" s="2"/>
    </x:row>
    <x:row r="2210" ht="22" customHeight="1">
      <x:c r="A2210" s="2" t="n">
        <x:v>102204</x:v>
      </x:c>
      <x:c r="B2210" s="10" t="n">
        <x:v>45431</x:v>
      </x:c>
      <x:c r="C2210" s="2" t="str">
        <x:v>Brasil</x:v>
      </x:c>
      <x:c r="D2210" s="2" t="str">
        <x:v>Calçados</x:v>
      </x:c>
      <x:c r="E2210" s="11" t="n">
        <x:v>4</x:v>
      </x:c>
      <x:c r="F2210" s="12" t="n">
        <x:v>72.27</x:v>
      </x:c>
      <x:c r="G2210" s="12" t="n">
        <x:v>289.08</x:v>
      </x:c>
      <x:c r="H2210" s="13" t="n">
        <x:v>103</x:v>
      </x:c>
      <x:c r="I2210" s="13" t="n">
        <x:f>YEAR(B2210)</x:f>
        <x:v>2024</x:v>
      </x:c>
      <x:c r="J2210" s="13" t="n">
        <x:f>MONTH(B2210)</x:f>
        <x:v>5</x:v>
      </x:c>
      <x:c r="K2210" s="14" t="n">
        <x:f>ROUND(E2210*F2210-G2210,10)</x:f>
        <x:v>0</x:v>
      </x:c>
      <x:c r="L2210" s="2"/>
      <x:c r="M2210" s="2"/>
      <x:c r="N2210" s="2"/>
      <x:c r="O2210" s="2"/>
      <x:c r="P2210" s="2"/>
      <x:c r="Q2210" s="2"/>
      <x:c r="R2210" s="2"/>
    </x:row>
    <x:row r="2211" ht="22" customHeight="1">
      <x:c r="A2211" s="2" t="n">
        <x:v>102205</x:v>
      </x:c>
      <x:c r="B2211" s="10" t="n">
        <x:v>45227</x:v>
      </x:c>
      <x:c r="C2211" s="2" t="str">
        <x:v>Chile</x:v>
      </x:c>
      <x:c r="D2211" s="2" t="str">
        <x:v>Acessórios</x:v>
      </x:c>
      <x:c r="E2211" s="11" t="n">
        <x:v>21</x:v>
      </x:c>
      <x:c r="F2211" s="12" t="n">
        <x:v>178.8</x:v>
      </x:c>
      <x:c r="G2211" s="12" t="n">
        <x:v>3754.8</x:v>
      </x:c>
      <x:c r="H2211" s="13" t="n">
        <x:v>448</x:v>
      </x:c>
      <x:c r="I2211" s="13" t="n">
        <x:f>YEAR(B2211)</x:f>
        <x:v>2023</x:v>
      </x:c>
      <x:c r="J2211" s="13" t="n">
        <x:f>MONTH(B2211)</x:f>
        <x:v>10</x:v>
      </x:c>
      <x:c r="K2211" s="14" t="n">
        <x:f>ROUND(E2211*F2211-G2211,10)</x:f>
        <x:v>0</x:v>
      </x:c>
      <x:c r="L2211" s="2"/>
      <x:c r="M2211" s="2"/>
      <x:c r="N2211" s="2"/>
      <x:c r="O2211" s="2"/>
      <x:c r="P2211" s="2"/>
      <x:c r="Q2211" s="2"/>
      <x:c r="R2211" s="2"/>
    </x:row>
    <x:row r="2212" ht="22" customHeight="1">
      <x:c r="A2212" s="2" t="n">
        <x:v>102206</x:v>
      </x:c>
      <x:c r="B2212" s="10" t="n">
        <x:v>45166</x:v>
      </x:c>
      <x:c r="C2212" s="2" t="str">
        <x:v>Peru</x:v>
      </x:c>
      <x:c r="D2212" s="2" t="str">
        <x:v>Calçados</x:v>
      </x:c>
      <x:c r="E2212" s="11" t="n">
        <x:v>39</x:v>
      </x:c>
      <x:c r="F2212" s="12" t="n">
        <x:v>46.46</x:v>
      </x:c>
      <x:c r="G2212" s="12" t="n">
        <x:v>1811.94</x:v>
      </x:c>
      <x:c r="H2212" s="13" t="n">
        <x:v>246</x:v>
      </x:c>
      <x:c r="I2212" s="13" t="n">
        <x:f>YEAR(B2212)</x:f>
        <x:v>2023</x:v>
      </x:c>
      <x:c r="J2212" s="13" t="n">
        <x:f>MONTH(B2212)</x:f>
        <x:v>8</x:v>
      </x:c>
      <x:c r="K2212" s="14" t="n">
        <x:f>ROUND(E2212*F2212-G2212,10)</x:f>
        <x:v>0</x:v>
      </x:c>
      <x:c r="L2212" s="2"/>
      <x:c r="M2212" s="2"/>
      <x:c r="N2212" s="2"/>
      <x:c r="O2212" s="2"/>
      <x:c r="P2212" s="2"/>
      <x:c r="Q2212" s="2"/>
      <x:c r="R2212" s="2"/>
    </x:row>
    <x:row r="2213" ht="22" customHeight="1">
      <x:c r="A2213" s="2" t="n">
        <x:v>102207</x:v>
      </x:c>
      <x:c r="B2213" s="10" t="n">
        <x:v>45117</x:v>
      </x:c>
      <x:c r="C2213" s="2" t="str">
        <x:v>México</x:v>
      </x:c>
      <x:c r="D2213" s="2" t="str">
        <x:v>Moda Feminina</x:v>
      </x:c>
      <x:c r="E2213" s="11" t="n">
        <x:v>34</x:v>
      </x:c>
      <x:c r="F2213" s="12" t="n">
        <x:v>147.96</x:v>
      </x:c>
      <x:c r="G2213" s="12" t="n">
        <x:v>5030.64</x:v>
      </x:c>
      <x:c r="H2213" s="13" t="n">
        <x:v>436</x:v>
      </x:c>
      <x:c r="I2213" s="13" t="n">
        <x:f>YEAR(B2213)</x:f>
        <x:v>2023</x:v>
      </x:c>
      <x:c r="J2213" s="13" t="n">
        <x:f>MONTH(B2213)</x:f>
        <x:v>7</x:v>
      </x:c>
      <x:c r="K2213" s="14" t="n">
        <x:f>ROUND(E2213*F2213-G2213,10)</x:f>
        <x:v>0</x:v>
      </x:c>
      <x:c r="L2213" s="2"/>
      <x:c r="M2213" s="2"/>
      <x:c r="N2213" s="2"/>
      <x:c r="O2213" s="2"/>
      <x:c r="P2213" s="2"/>
      <x:c r="Q2213" s="2"/>
      <x:c r="R2213" s="2"/>
    </x:row>
    <x:row r="2214" ht="22" customHeight="1">
      <x:c r="A2214" s="2" t="n">
        <x:v>102208</x:v>
      </x:c>
      <x:c r="B2214" s="10" t="n">
        <x:v>45270</x:v>
      </x:c>
      <x:c r="C2214" s="2" t="str">
        <x:v>México</x:v>
      </x:c>
      <x:c r="D2214" s="2" t="str">
        <x:v>Calçados</x:v>
      </x:c>
      <x:c r="E2214" s="11" t="n">
        <x:v>30</x:v>
      </x:c>
      <x:c r="F2214" s="12" t="n">
        <x:v>195.21</x:v>
      </x:c>
      <x:c r="G2214" s="12" t="n">
        <x:v>5856.3</x:v>
      </x:c>
      <x:c r="H2214" s="13" t="n">
        <x:v>342</x:v>
      </x:c>
      <x:c r="I2214" s="13" t="n">
        <x:f>YEAR(B2214)</x:f>
        <x:v>2023</x:v>
      </x:c>
      <x:c r="J2214" s="13" t="n">
        <x:f>MONTH(B2214)</x:f>
        <x:v>12</x:v>
      </x:c>
      <x:c r="K2214" s="14" t="n">
        <x:f>ROUND(E2214*F2214-G2214,10)</x:f>
        <x:v>0</x:v>
      </x:c>
      <x:c r="L2214" s="2"/>
      <x:c r="M2214" s="2"/>
      <x:c r="N2214" s="2"/>
      <x:c r="O2214" s="2"/>
      <x:c r="P2214" s="2"/>
      <x:c r="Q2214" s="2"/>
      <x:c r="R2214" s="2"/>
    </x:row>
    <x:row r="2215" ht="22" customHeight="1">
      <x:c r="A2215" s="2" t="n">
        <x:v>102209</x:v>
      </x:c>
      <x:c r="B2215" s="10" t="n">
        <x:v>45002</x:v>
      </x:c>
      <x:c r="C2215" s="2" t="str">
        <x:v>Brasil</x:v>
      </x:c>
      <x:c r="D2215" s="2" t="str">
        <x:v>Moda Masculina</x:v>
      </x:c>
      <x:c r="E2215" s="11" t="n">
        <x:v>6</x:v>
      </x:c>
      <x:c r="F2215" s="12" t="n">
        <x:v>162.3</x:v>
      </x:c>
      <x:c r="G2215" s="12" t="n">
        <x:v>973.8000000000001</x:v>
      </x:c>
      <x:c r="H2215" s="13" t="n">
        <x:v>342</x:v>
      </x:c>
      <x:c r="I2215" s="13" t="n">
        <x:f>YEAR(B2215)</x:f>
        <x:v>2023</x:v>
      </x:c>
      <x:c r="J2215" s="13" t="n">
        <x:f>MONTH(B2215)</x:f>
        <x:v>3</x:v>
      </x:c>
      <x:c r="K2215" s="14" t="n">
        <x:f>ROUND(E2215*F2215-G2215,10)</x:f>
        <x:v>0</x:v>
      </x:c>
      <x:c r="L2215" s="2"/>
      <x:c r="M2215" s="2"/>
      <x:c r="N2215" s="2"/>
      <x:c r="O2215" s="2"/>
      <x:c r="P2215" s="2"/>
      <x:c r="Q2215" s="2"/>
      <x:c r="R2215" s="2"/>
    </x:row>
    <x:row r="2216" ht="22" customHeight="1">
      <x:c r="A2216" s="2" t="n">
        <x:v>102210</x:v>
      </x:c>
      <x:c r="B2216" s="10" t="n">
        <x:v>45258</x:v>
      </x:c>
      <x:c r="C2216" s="2" t="str">
        <x:v>Argentina</x:v>
      </x:c>
      <x:c r="D2216" s="2" t="str">
        <x:v>Calçados</x:v>
      </x:c>
      <x:c r="E2216" s="11" t="n">
        <x:v>17</x:v>
      </x:c>
      <x:c r="F2216" s="12" t="n">
        <x:v>63.73</x:v>
      </x:c>
      <x:c r="G2216" s="12" t="n">
        <x:v>1083.41</x:v>
      </x:c>
      <x:c r="H2216" s="13" t="n">
        <x:v>436</x:v>
      </x:c>
      <x:c r="I2216" s="13" t="n">
        <x:f>YEAR(B2216)</x:f>
        <x:v>2023</x:v>
      </x:c>
      <x:c r="J2216" s="13" t="n">
        <x:f>MONTH(B2216)</x:f>
        <x:v>11</x:v>
      </x:c>
      <x:c r="K2216" s="14" t="n">
        <x:f>ROUND(E2216*F2216-G2216,10)</x:f>
        <x:v>0</x:v>
      </x:c>
      <x:c r="L2216" s="2"/>
      <x:c r="M2216" s="2"/>
      <x:c r="N2216" s="2"/>
      <x:c r="O2216" s="2"/>
      <x:c r="P2216" s="2"/>
      <x:c r="Q2216" s="2"/>
      <x:c r="R2216" s="2"/>
    </x:row>
    <x:row r="2217" ht="22" customHeight="1">
      <x:c r="A2217" s="2" t="n">
        <x:v>102211</x:v>
      </x:c>
      <x:c r="B2217" s="10" t="n">
        <x:v>45635</x:v>
      </x:c>
      <x:c r="C2217" s="2" t="str">
        <x:v>Peru</x:v>
      </x:c>
      <x:c r="D2217" s="2" t="str">
        <x:v>Acessórios</x:v>
      </x:c>
      <x:c r="E2217" s="11" t="n">
        <x:v>39</x:v>
      </x:c>
      <x:c r="F2217" s="12" t="n">
        <x:v>183.51</x:v>
      </x:c>
      <x:c r="G2217" s="12" t="n">
        <x:v>7156.889999999999</x:v>
      </x:c>
      <x:c r="H2217" s="13" t="n">
        <x:v>496</x:v>
      </x:c>
      <x:c r="I2217" s="13" t="n">
        <x:f>YEAR(B2217)</x:f>
        <x:v>2024</x:v>
      </x:c>
      <x:c r="J2217" s="13" t="n">
        <x:f>MONTH(B2217)</x:f>
        <x:v>12</x:v>
      </x:c>
      <x:c r="K2217" s="14" t="n">
        <x:f>ROUND(E2217*F2217-G2217,10)</x:f>
        <x:v>0</x:v>
      </x:c>
      <x:c r="L2217" s="2"/>
      <x:c r="M2217" s="2"/>
      <x:c r="N2217" s="2"/>
      <x:c r="O2217" s="2"/>
      <x:c r="P2217" s="2"/>
      <x:c r="Q2217" s="2"/>
      <x:c r="R2217" s="2"/>
    </x:row>
    <x:row r="2218" ht="22" customHeight="1">
      <x:c r="A2218" s="2" t="n">
        <x:v>102212</x:v>
      </x:c>
      <x:c r="B2218" s="10" t="n">
        <x:v>45231</x:v>
      </x:c>
      <x:c r="C2218" s="2" t="str">
        <x:v>Colômbia</x:v>
      </x:c>
      <x:c r="D2218" s="2" t="str">
        <x:v>Moda Masculina</x:v>
      </x:c>
      <x:c r="E2218" s="11" t="n">
        <x:v>25</x:v>
      </x:c>
      <x:c r="F2218" s="12" t="n">
        <x:v>36.76</x:v>
      </x:c>
      <x:c r="G2218" s="12" t="n">
        <x:v>919</x:v>
      </x:c>
      <x:c r="H2218" s="13" t="n">
        <x:v>340</x:v>
      </x:c>
      <x:c r="I2218" s="13" t="n">
        <x:f>YEAR(B2218)</x:f>
        <x:v>2023</x:v>
      </x:c>
      <x:c r="J2218" s="13" t="n">
        <x:f>MONTH(B2218)</x:f>
        <x:v>11</x:v>
      </x:c>
      <x:c r="K2218" s="14" t="n">
        <x:f>ROUND(E2218*F2218-G2218,10)</x:f>
        <x:v>0</x:v>
      </x:c>
      <x:c r="L2218" s="2"/>
      <x:c r="M2218" s="2"/>
      <x:c r="N2218" s="2"/>
      <x:c r="O2218" s="2"/>
      <x:c r="P2218" s="2"/>
      <x:c r="Q2218" s="2"/>
      <x:c r="R2218" s="2"/>
    </x:row>
    <x:row r="2219" ht="22" customHeight="1">
      <x:c r="A2219" s="2" t="n">
        <x:v>102213</x:v>
      </x:c>
      <x:c r="B2219" s="10" t="n">
        <x:v>45109</x:v>
      </x:c>
      <x:c r="C2219" s="2" t="str">
        <x:v>Argentina</x:v>
      </x:c>
      <x:c r="D2219" s="2" t="str">
        <x:v>Moda Feminina</x:v>
      </x:c>
      <x:c r="E2219" s="11" t="n">
        <x:v>5</x:v>
      </x:c>
      <x:c r="F2219" s="12" t="n">
        <x:v>104.27</x:v>
      </x:c>
      <x:c r="G2219" s="12" t="n">
        <x:v>521.35</x:v>
      </x:c>
      <x:c r="H2219" s="13" t="n">
        <x:v>229</x:v>
      </x:c>
      <x:c r="I2219" s="13" t="n">
        <x:f>YEAR(B2219)</x:f>
        <x:v>2023</x:v>
      </x:c>
      <x:c r="J2219" s="13" t="n">
        <x:f>MONTH(B2219)</x:f>
        <x:v>7</x:v>
      </x:c>
      <x:c r="K2219" s="14" t="n">
        <x:f>ROUND(E2219*F2219-G2219,10)</x:f>
        <x:v>0</x:v>
      </x:c>
      <x:c r="L2219" s="2"/>
      <x:c r="M2219" s="2"/>
      <x:c r="N2219" s="2"/>
      <x:c r="O2219" s="2"/>
      <x:c r="P2219" s="2"/>
      <x:c r="Q2219" s="2"/>
      <x:c r="R2219" s="2"/>
    </x:row>
    <x:row r="2220" ht="22" customHeight="1">
      <x:c r="A2220" s="2" t="n">
        <x:v>102214</x:v>
      </x:c>
      <x:c r="B2220" s="10" t="n">
        <x:v>45633</x:v>
      </x:c>
      <x:c r="C2220" s="2" t="str">
        <x:v>Argentina</x:v>
      </x:c>
      <x:c r="D2220" s="2" t="str">
        <x:v>Moda Feminina</x:v>
      </x:c>
      <x:c r="E2220" s="11" t="n">
        <x:v>5</x:v>
      </x:c>
      <x:c r="F2220" s="12" t="n">
        <x:v>179.76</x:v>
      </x:c>
      <x:c r="G2220" s="12" t="n">
        <x:v>898.8</x:v>
      </x:c>
      <x:c r="H2220" s="13" t="n">
        <x:v>429</x:v>
      </x:c>
      <x:c r="I2220" s="13" t="n">
        <x:f>YEAR(B2220)</x:f>
        <x:v>2024</x:v>
      </x:c>
      <x:c r="J2220" s="13" t="n">
        <x:f>MONTH(B2220)</x:f>
        <x:v>12</x:v>
      </x:c>
      <x:c r="K2220" s="14" t="n">
        <x:f>ROUND(E2220*F2220-G2220,10)</x:f>
        <x:v>0</x:v>
      </x:c>
      <x:c r="L2220" s="2"/>
      <x:c r="M2220" s="2"/>
      <x:c r="N2220" s="2"/>
      <x:c r="O2220" s="2"/>
      <x:c r="P2220" s="2"/>
      <x:c r="Q2220" s="2"/>
      <x:c r="R2220" s="2"/>
    </x:row>
    <x:row r="2221" ht="22" customHeight="1">
      <x:c r="A2221" s="2" t="n">
        <x:v>102215</x:v>
      </x:c>
      <x:c r="B2221" s="10" t="n">
        <x:v>45501</x:v>
      </x:c>
      <x:c r="C2221" s="2" t="str">
        <x:v>Peru</x:v>
      </x:c>
      <x:c r="D2221" s="2" t="str">
        <x:v>Moda Infantil</x:v>
      </x:c>
      <x:c r="E2221" s="11" t="n">
        <x:v>20</x:v>
      </x:c>
      <x:c r="F2221" s="12" t="n">
        <x:v>135.43</x:v>
      </x:c>
      <x:c r="G2221" s="12" t="n">
        <x:v>2708.6</x:v>
      </x:c>
      <x:c r="H2221" s="13" t="n">
        <x:v>461</x:v>
      </x:c>
      <x:c r="I2221" s="13" t="n">
        <x:f>YEAR(B2221)</x:f>
        <x:v>2024</x:v>
      </x:c>
      <x:c r="J2221" s="13" t="n">
        <x:f>MONTH(B2221)</x:f>
        <x:v>7</x:v>
      </x:c>
      <x:c r="K2221" s="14" t="n">
        <x:f>ROUND(E2221*F2221-G2221,10)</x:f>
        <x:v>0</x:v>
      </x:c>
      <x:c r="L2221" s="2"/>
      <x:c r="M2221" s="2"/>
      <x:c r="N2221" s="2"/>
      <x:c r="O2221" s="2"/>
      <x:c r="P2221" s="2"/>
      <x:c r="Q2221" s="2"/>
      <x:c r="R2221" s="2"/>
    </x:row>
    <x:row r="2222" ht="22" customHeight="1">
      <x:c r="A2222" s="2" t="n">
        <x:v>102216</x:v>
      </x:c>
      <x:c r="B2222" s="10" t="n">
        <x:v>45430</x:v>
      </x:c>
      <x:c r="C2222" s="2" t="str">
        <x:v>Brasil</x:v>
      </x:c>
      <x:c r="D2222" s="2" t="str">
        <x:v>Moda Masculina</x:v>
      </x:c>
      <x:c r="E2222" s="11" t="n">
        <x:v>16</x:v>
      </x:c>
      <x:c r="F2222" s="12" t="n">
        <x:v>94.46</x:v>
      </x:c>
      <x:c r="G2222" s="12" t="n">
        <x:v>1511.36</x:v>
      </x:c>
      <x:c r="H2222" s="13" t="n">
        <x:v>271</x:v>
      </x:c>
      <x:c r="I2222" s="13" t="n">
        <x:f>YEAR(B2222)</x:f>
        <x:v>2024</x:v>
      </x:c>
      <x:c r="J2222" s="13" t="n">
        <x:f>MONTH(B2222)</x:f>
        <x:v>5</x:v>
      </x:c>
      <x:c r="K2222" s="14" t="n">
        <x:f>ROUND(E2222*F2222-G2222,10)</x:f>
        <x:v>0</x:v>
      </x:c>
      <x:c r="L2222" s="2"/>
      <x:c r="M2222" s="2"/>
      <x:c r="N2222" s="2"/>
      <x:c r="O2222" s="2"/>
      <x:c r="P2222" s="2"/>
      <x:c r="Q2222" s="2"/>
      <x:c r="R2222" s="2"/>
    </x:row>
    <x:row r="2223" ht="22" customHeight="1">
      <x:c r="A2223" s="2" t="n">
        <x:v>102217</x:v>
      </x:c>
      <x:c r="B2223" s="10" t="n">
        <x:v>45630</x:v>
      </x:c>
      <x:c r="C2223" s="2" t="str">
        <x:v>Brasil</x:v>
      </x:c>
      <x:c r="D2223" s="2" t="str">
        <x:v>Moda Infantil</x:v>
      </x:c>
      <x:c r="E2223" s="11" t="n">
        <x:v>41</x:v>
      </x:c>
      <x:c r="F2223" s="12" t="n">
        <x:v>72.71</x:v>
      </x:c>
      <x:c r="G2223" s="12" t="n">
        <x:v>2981.11</x:v>
      </x:c>
      <x:c r="H2223" s="13" t="n">
        <x:v>323</x:v>
      </x:c>
      <x:c r="I2223" s="13" t="n">
        <x:f>YEAR(B2223)</x:f>
        <x:v>2024</x:v>
      </x:c>
      <x:c r="J2223" s="13" t="n">
        <x:f>MONTH(B2223)</x:f>
        <x:v>12</x:v>
      </x:c>
      <x:c r="K2223" s="14" t="n">
        <x:f>ROUND(E2223*F2223-G2223,10)</x:f>
        <x:v>0</x:v>
      </x:c>
      <x:c r="L2223" s="2"/>
      <x:c r="M2223" s="2"/>
      <x:c r="N2223" s="2"/>
      <x:c r="O2223" s="2"/>
      <x:c r="P2223" s="2"/>
      <x:c r="Q2223" s="2"/>
      <x:c r="R2223" s="2"/>
    </x:row>
    <x:row r="2224" ht="22" customHeight="1">
      <x:c r="A2224" s="2" t="n">
        <x:v>102218</x:v>
      </x:c>
      <x:c r="B2224" s="10" t="n">
        <x:v>44982</x:v>
      </x:c>
      <x:c r="C2224" s="2" t="str">
        <x:v>Brasil</x:v>
      </x:c>
      <x:c r="D2224" s="2" t="str">
        <x:v>Moda Masculina</x:v>
      </x:c>
      <x:c r="E2224" s="11" t="n">
        <x:v>37</x:v>
      </x:c>
      <x:c r="F2224" s="12" t="n">
        <x:v>87.52</x:v>
      </x:c>
      <x:c r="G2224" s="12" t="n">
        <x:v>3238.24</x:v>
      </x:c>
      <x:c r="H2224" s="13" t="n">
        <x:v>427</x:v>
      </x:c>
      <x:c r="I2224" s="13" t="n">
        <x:f>YEAR(B2224)</x:f>
        <x:v>2023</x:v>
      </x:c>
      <x:c r="J2224" s="13" t="n">
        <x:f>MONTH(B2224)</x:f>
        <x:v>2</x:v>
      </x:c>
      <x:c r="K2224" s="14" t="n">
        <x:f>ROUND(E2224*F2224-G2224,10)</x:f>
        <x:v>0</x:v>
      </x:c>
      <x:c r="L2224" s="2"/>
      <x:c r="M2224" s="2"/>
      <x:c r="N2224" s="2"/>
      <x:c r="O2224" s="2"/>
      <x:c r="P2224" s="2"/>
      <x:c r="Q2224" s="2"/>
      <x:c r="R2224" s="2"/>
    </x:row>
    <x:row r="2225" ht="22" customHeight="1">
      <x:c r="A2225" s="2" t="n">
        <x:v>102219</x:v>
      </x:c>
      <x:c r="B2225" s="10" t="n">
        <x:v>45647</x:v>
      </x:c>
      <x:c r="C2225" s="2" t="str">
        <x:v>Brasil</x:v>
      </x:c>
      <x:c r="D2225" s="2" t="str">
        <x:v>Moda Masculina</x:v>
      </x:c>
      <x:c r="E2225" s="11" t="n">
        <x:v>40</x:v>
      </x:c>
      <x:c r="F2225" s="12" t="n">
        <x:v>111.61</x:v>
      </x:c>
      <x:c r="G2225" s="12" t="n">
        <x:v>4464.4</x:v>
      </x:c>
      <x:c r="H2225" s="13" t="n">
        <x:v>293</x:v>
      </x:c>
      <x:c r="I2225" s="13" t="n">
        <x:f>YEAR(B2225)</x:f>
        <x:v>2024</x:v>
      </x:c>
      <x:c r="J2225" s="13" t="n">
        <x:f>MONTH(B2225)</x:f>
        <x:v>12</x:v>
      </x:c>
      <x:c r="K2225" s="14" t="n">
        <x:f>ROUND(E2225*F2225-G2225,10)</x:f>
        <x:v>0</x:v>
      </x:c>
      <x:c r="L2225" s="2"/>
      <x:c r="M2225" s="2"/>
      <x:c r="N2225" s="2"/>
      <x:c r="O2225" s="2"/>
      <x:c r="P2225" s="2"/>
      <x:c r="Q2225" s="2"/>
      <x:c r="R2225" s="2"/>
    </x:row>
    <x:row r="2226" ht="22" customHeight="1">
      <x:c r="A2226" s="2" t="n">
        <x:v>102220</x:v>
      </x:c>
      <x:c r="B2226" s="10" t="n">
        <x:v>45406</x:v>
      </x:c>
      <x:c r="C2226" s="2" t="str">
        <x:v>México</x:v>
      </x:c>
      <x:c r="D2226" s="2" t="str">
        <x:v>Acessórios</x:v>
      </x:c>
      <x:c r="E2226" s="11" t="n">
        <x:v>9</x:v>
      </x:c>
      <x:c r="F2226" s="12" t="n">
        <x:v>77.43</x:v>
      </x:c>
      <x:c r="G2226" s="12" t="n">
        <x:v>696.8700000000001</x:v>
      </x:c>
      <x:c r="H2226" s="13" t="n">
        <x:v>469</x:v>
      </x:c>
      <x:c r="I2226" s="13" t="n">
        <x:f>YEAR(B2226)</x:f>
        <x:v>2024</x:v>
      </x:c>
      <x:c r="J2226" s="13" t="n">
        <x:f>MONTH(B2226)</x:f>
        <x:v>4</x:v>
      </x:c>
      <x:c r="K2226" s="14" t="n">
        <x:f>ROUND(E2226*F2226-G2226,10)</x:f>
        <x:v>0</x:v>
      </x:c>
      <x:c r="L2226" s="2"/>
      <x:c r="M2226" s="2"/>
      <x:c r="N2226" s="2"/>
      <x:c r="O2226" s="2"/>
      <x:c r="P2226" s="2"/>
      <x:c r="Q2226" s="2"/>
      <x:c r="R2226" s="2"/>
    </x:row>
    <x:row r="2227" ht="22" customHeight="1">
      <x:c r="A2227" s="2" t="n">
        <x:v>102221</x:v>
      </x:c>
      <x:c r="B2227" s="10" t="n">
        <x:v>45273</x:v>
      </x:c>
      <x:c r="C2227" s="2" t="str">
        <x:v>Brasil</x:v>
      </x:c>
      <x:c r="D2227" s="2" t="str">
        <x:v>Moda Infantil</x:v>
      </x:c>
      <x:c r="E2227" s="11" t="n">
        <x:v>5</x:v>
      </x:c>
      <x:c r="F2227" s="12" t="n">
        <x:v>194.41</x:v>
      </x:c>
      <x:c r="G2227" s="12" t="n">
        <x:v>972.05</x:v>
      </x:c>
      <x:c r="H2227" s="13" t="n">
        <x:v>466</x:v>
      </x:c>
      <x:c r="I2227" s="13" t="n">
        <x:f>YEAR(B2227)</x:f>
        <x:v>2023</x:v>
      </x:c>
      <x:c r="J2227" s="13" t="n">
        <x:f>MONTH(B2227)</x:f>
        <x:v>12</x:v>
      </x:c>
      <x:c r="K2227" s="14" t="n">
        <x:f>ROUND(E2227*F2227-G2227,10)</x:f>
        <x:v>0</x:v>
      </x:c>
      <x:c r="L2227" s="2"/>
      <x:c r="M2227" s="2"/>
      <x:c r="N2227" s="2"/>
      <x:c r="O2227" s="2"/>
      <x:c r="P2227" s="2"/>
      <x:c r="Q2227" s="2"/>
      <x:c r="R2227" s="2"/>
    </x:row>
    <x:row r="2228" ht="22" customHeight="1">
      <x:c r="A2228" s="2" t="n">
        <x:v>102222</x:v>
      </x:c>
      <x:c r="B2228" s="10" t="n">
        <x:v>45166</x:v>
      </x:c>
      <x:c r="C2228" s="2" t="str">
        <x:v>México</x:v>
      </x:c>
      <x:c r="D2228" s="2" t="str">
        <x:v>Acessórios</x:v>
      </x:c>
      <x:c r="E2228" s="11" t="n">
        <x:v>42</x:v>
      </x:c>
      <x:c r="F2228" s="12" t="n">
        <x:v>187.95</x:v>
      </x:c>
      <x:c r="G2228" s="12" t="n">
        <x:v>7893.9</x:v>
      </x:c>
      <x:c r="H2228" s="13" t="n">
        <x:v>497</x:v>
      </x:c>
      <x:c r="I2228" s="13" t="n">
        <x:f>YEAR(B2228)</x:f>
        <x:v>2023</x:v>
      </x:c>
      <x:c r="J2228" s="13" t="n">
        <x:f>MONTH(B2228)</x:f>
        <x:v>8</x:v>
      </x:c>
      <x:c r="K2228" s="14" t="n">
        <x:f>ROUND(E2228*F2228-G2228,10)</x:f>
        <x:v>0</x:v>
      </x:c>
      <x:c r="L2228" s="2"/>
      <x:c r="M2228" s="2"/>
      <x:c r="N2228" s="2"/>
      <x:c r="O2228" s="2"/>
      <x:c r="P2228" s="2"/>
      <x:c r="Q2228" s="2"/>
      <x:c r="R2228" s="2"/>
    </x:row>
    <x:row r="2229" ht="22" customHeight="1">
      <x:c r="A2229" s="2" t="n">
        <x:v>102223</x:v>
      </x:c>
      <x:c r="B2229" s="10" t="n">
        <x:v>45438</x:v>
      </x:c>
      <x:c r="C2229" s="2" t="str">
        <x:v>México</x:v>
      </x:c>
      <x:c r="D2229" s="2" t="str">
        <x:v>Moda Masculina</x:v>
      </x:c>
      <x:c r="E2229" s="11" t="n">
        <x:v>2</x:v>
      </x:c>
      <x:c r="F2229" s="12" t="n">
        <x:v>176.72</x:v>
      </x:c>
      <x:c r="G2229" s="12" t="n">
        <x:v>353.44</x:v>
      </x:c>
      <x:c r="H2229" s="13" t="n">
        <x:v>203</x:v>
      </x:c>
      <x:c r="I2229" s="13" t="n">
        <x:f>YEAR(B2229)</x:f>
        <x:v>2024</x:v>
      </x:c>
      <x:c r="J2229" s="13" t="n">
        <x:f>MONTH(B2229)</x:f>
        <x:v>5</x:v>
      </x:c>
      <x:c r="K2229" s="14" t="n">
        <x:f>ROUND(E2229*F2229-G2229,10)</x:f>
        <x:v>0</x:v>
      </x:c>
      <x:c r="L2229" s="2"/>
      <x:c r="M2229" s="2"/>
      <x:c r="N2229" s="2"/>
      <x:c r="O2229" s="2"/>
      <x:c r="P2229" s="2"/>
      <x:c r="Q2229" s="2"/>
      <x:c r="R2229" s="2"/>
    </x:row>
    <x:row r="2230" ht="22" customHeight="1">
      <x:c r="A2230" s="2" t="n">
        <x:v>102224</x:v>
      </x:c>
      <x:c r="B2230" s="10" t="n">
        <x:v>45153</x:v>
      </x:c>
      <x:c r="C2230" s="2" t="str">
        <x:v>Brasil</x:v>
      </x:c>
      <x:c r="D2230" s="2" t="str">
        <x:v>Moda Feminina</x:v>
      </x:c>
      <x:c r="E2230" s="11" t="n">
        <x:v>9</x:v>
      </x:c>
      <x:c r="F2230" s="12" t="n">
        <x:v>95.93</x:v>
      </x:c>
      <x:c r="G2230" s="12" t="n">
        <x:v>863.3700000000001</x:v>
      </x:c>
      <x:c r="H2230" s="13" t="n">
        <x:v>353</x:v>
      </x:c>
      <x:c r="I2230" s="13" t="n">
        <x:f>YEAR(B2230)</x:f>
        <x:v>2023</x:v>
      </x:c>
      <x:c r="J2230" s="13" t="n">
        <x:f>MONTH(B2230)</x:f>
        <x:v>8</x:v>
      </x:c>
      <x:c r="K2230" s="14" t="n">
        <x:f>ROUND(E2230*F2230-G2230,10)</x:f>
        <x:v>0</x:v>
      </x:c>
      <x:c r="L2230" s="2"/>
      <x:c r="M2230" s="2"/>
      <x:c r="N2230" s="2"/>
      <x:c r="O2230" s="2"/>
      <x:c r="P2230" s="2"/>
      <x:c r="Q2230" s="2"/>
      <x:c r="R2230" s="2"/>
    </x:row>
    <x:row r="2231" ht="22" customHeight="1">
      <x:c r="A2231" s="2" t="n">
        <x:v>102225</x:v>
      </x:c>
      <x:c r="B2231" s="10" t="n">
        <x:v>45047</x:v>
      </x:c>
      <x:c r="C2231" s="2" t="str">
        <x:v>Chile</x:v>
      </x:c>
      <x:c r="D2231" s="2" t="str">
        <x:v>Moda Masculina</x:v>
      </x:c>
      <x:c r="E2231" s="11" t="n">
        <x:v>43</x:v>
      </x:c>
      <x:c r="F2231" s="12" t="n">
        <x:v>144.43</x:v>
      </x:c>
      <x:c r="G2231" s="12" t="n">
        <x:v>6210.490000000001</x:v>
      </x:c>
      <x:c r="H2231" s="13" t="n">
        <x:v>473</x:v>
      </x:c>
      <x:c r="I2231" s="13" t="n">
        <x:f>YEAR(B2231)</x:f>
        <x:v>2023</x:v>
      </x:c>
      <x:c r="J2231" s="13" t="n">
        <x:f>MONTH(B2231)</x:f>
        <x:v>5</x:v>
      </x:c>
      <x:c r="K2231" s="14" t="n">
        <x:f>ROUND(E2231*F2231-G2231,10)</x:f>
        <x:v>0</x:v>
      </x:c>
      <x:c r="L2231" s="2"/>
      <x:c r="M2231" s="2"/>
      <x:c r="N2231" s="2"/>
      <x:c r="O2231" s="2"/>
      <x:c r="P2231" s="2"/>
      <x:c r="Q2231" s="2"/>
      <x:c r="R2231" s="2"/>
    </x:row>
    <x:row r="2232" ht="22" customHeight="1">
      <x:c r="A2232" s="2" t="n">
        <x:v>102226</x:v>
      </x:c>
      <x:c r="B2232" s="10" t="n">
        <x:v>45508</x:v>
      </x:c>
      <x:c r="C2232" s="2" t="str">
        <x:v>Colômbia</x:v>
      </x:c>
      <x:c r="D2232" s="2" t="str">
        <x:v>Acessórios</x:v>
      </x:c>
      <x:c r="E2232" s="11" t="n">
        <x:v>36</x:v>
      </x:c>
      <x:c r="F2232" s="12" t="n">
        <x:v>182.51</x:v>
      </x:c>
      <x:c r="G2232" s="12" t="n">
        <x:v>6570.36</x:v>
      </x:c>
      <x:c r="H2232" s="13" t="n">
        <x:v>322</x:v>
      </x:c>
      <x:c r="I2232" s="13" t="n">
        <x:f>YEAR(B2232)</x:f>
        <x:v>2024</x:v>
      </x:c>
      <x:c r="J2232" s="13" t="n">
        <x:f>MONTH(B2232)</x:f>
        <x:v>8</x:v>
      </x:c>
      <x:c r="K2232" s="14" t="n">
        <x:f>ROUND(E2232*F2232-G2232,10)</x:f>
        <x:v>0</x:v>
      </x:c>
      <x:c r="L2232" s="2"/>
      <x:c r="M2232" s="2"/>
      <x:c r="N2232" s="2"/>
      <x:c r="O2232" s="2"/>
      <x:c r="P2232" s="2"/>
      <x:c r="Q2232" s="2"/>
      <x:c r="R2232" s="2"/>
    </x:row>
    <x:row r="2233" ht="22" customHeight="1">
      <x:c r="A2233" s="2" t="n">
        <x:v>102227</x:v>
      </x:c>
      <x:c r="B2233" s="10" t="n">
        <x:v>45268</x:v>
      </x:c>
      <x:c r="C2233" s="2" t="str">
        <x:v>Argentina</x:v>
      </x:c>
      <x:c r="D2233" s="2" t="str">
        <x:v>Moda Infantil</x:v>
      </x:c>
      <x:c r="E2233" s="11" t="n">
        <x:v>22</x:v>
      </x:c>
      <x:c r="F2233" s="12" t="n">
        <x:v>173.08</x:v>
      </x:c>
      <x:c r="G2233" s="12" t="n">
        <x:v>3807.76</x:v>
      </x:c>
      <x:c r="H2233" s="13" t="n">
        <x:v>473</x:v>
      </x:c>
      <x:c r="I2233" s="13" t="n">
        <x:f>YEAR(B2233)</x:f>
        <x:v>2023</x:v>
      </x:c>
      <x:c r="J2233" s="13" t="n">
        <x:f>MONTH(B2233)</x:f>
        <x:v>12</x:v>
      </x:c>
      <x:c r="K2233" s="14" t="n">
        <x:f>ROUND(E2233*F2233-G2233,10)</x:f>
        <x:v>0</x:v>
      </x:c>
      <x:c r="L2233" s="2"/>
      <x:c r="M2233" s="2"/>
      <x:c r="N2233" s="2"/>
      <x:c r="O2233" s="2"/>
      <x:c r="P2233" s="2"/>
      <x:c r="Q2233" s="2"/>
      <x:c r="R2233" s="2"/>
    </x:row>
    <x:row r="2234" ht="22" customHeight="1">
      <x:c r="A2234" s="2" t="n">
        <x:v>102228</x:v>
      </x:c>
      <x:c r="B2234" s="10" t="n">
        <x:v>45470</x:v>
      </x:c>
      <x:c r="C2234" s="2" t="str">
        <x:v>México</x:v>
      </x:c>
      <x:c r="D2234" s="2" t="str">
        <x:v>Moda Infantil</x:v>
      </x:c>
      <x:c r="E2234" s="11" t="n">
        <x:v>22</x:v>
      </x:c>
      <x:c r="F2234" s="12" t="n">
        <x:v>94.58</x:v>
      </x:c>
      <x:c r="G2234" s="12" t="n">
        <x:v>2080.76</x:v>
      </x:c>
      <x:c r="H2234" s="13" t="n">
        <x:v>184</x:v>
      </x:c>
      <x:c r="I2234" s="13" t="n">
        <x:f>YEAR(B2234)</x:f>
        <x:v>2024</x:v>
      </x:c>
      <x:c r="J2234" s="13" t="n">
        <x:f>MONTH(B2234)</x:f>
        <x:v>6</x:v>
      </x:c>
      <x:c r="K2234" s="14" t="n">
        <x:f>ROUND(E2234*F2234-G2234,10)</x:f>
        <x:v>0</x:v>
      </x:c>
      <x:c r="L2234" s="2"/>
      <x:c r="M2234" s="2"/>
      <x:c r="N2234" s="2"/>
      <x:c r="O2234" s="2"/>
      <x:c r="P2234" s="2"/>
      <x:c r="Q2234" s="2"/>
      <x:c r="R2234" s="2"/>
    </x:row>
    <x:row r="2235" ht="22" customHeight="1">
      <x:c r="A2235" s="2" t="n">
        <x:v>102229</x:v>
      </x:c>
      <x:c r="B2235" s="10" t="n">
        <x:v>44993</x:v>
      </x:c>
      <x:c r="C2235" s="2" t="str">
        <x:v>Peru</x:v>
      </x:c>
      <x:c r="D2235" s="2" t="str">
        <x:v>Acessórios</x:v>
      </x:c>
      <x:c r="E2235" s="11" t="n">
        <x:v>22</x:v>
      </x:c>
      <x:c r="F2235" s="12" t="n">
        <x:v>40.23</x:v>
      </x:c>
      <x:c r="G2235" s="12" t="n">
        <x:v>885.06</x:v>
      </x:c>
      <x:c r="H2235" s="13" t="n">
        <x:v>362</x:v>
      </x:c>
      <x:c r="I2235" s="13" t="n">
        <x:f>YEAR(B2235)</x:f>
        <x:v>2023</x:v>
      </x:c>
      <x:c r="J2235" s="13" t="n">
        <x:f>MONTH(B2235)</x:f>
        <x:v>3</x:v>
      </x:c>
      <x:c r="K2235" s="14" t="n">
        <x:f>ROUND(E2235*F2235-G2235,10)</x:f>
        <x:v>0</x:v>
      </x:c>
      <x:c r="L2235" s="2"/>
      <x:c r="M2235" s="2"/>
      <x:c r="N2235" s="2"/>
      <x:c r="O2235" s="2"/>
      <x:c r="P2235" s="2"/>
      <x:c r="Q2235" s="2"/>
      <x:c r="R2235" s="2"/>
    </x:row>
    <x:row r="2236" ht="22" customHeight="1">
      <x:c r="A2236" s="2" t="n">
        <x:v>102230</x:v>
      </x:c>
      <x:c r="B2236" s="10" t="n">
        <x:v>44936</x:v>
      </x:c>
      <x:c r="C2236" s="2" t="str">
        <x:v>Peru</x:v>
      </x:c>
      <x:c r="D2236" s="2" t="str">
        <x:v>Moda Infantil</x:v>
      </x:c>
      <x:c r="E2236" s="11" t="n">
        <x:v>34</x:v>
      </x:c>
      <x:c r="F2236" s="12" t="n">
        <x:v>33.61</x:v>
      </x:c>
      <x:c r="G2236" s="12" t="n">
        <x:v>1142.74</x:v>
      </x:c>
      <x:c r="H2236" s="13" t="n">
        <x:v>57</x:v>
      </x:c>
      <x:c r="I2236" s="13" t="n">
        <x:f>YEAR(B2236)</x:f>
        <x:v>2023</x:v>
      </x:c>
      <x:c r="J2236" s="13" t="n">
        <x:f>MONTH(B2236)</x:f>
        <x:v>1</x:v>
      </x:c>
      <x:c r="K2236" s="14" t="n">
        <x:f>ROUND(E2236*F2236-G2236,10)</x:f>
        <x:v>0</x:v>
      </x:c>
      <x:c r="L2236" s="2"/>
      <x:c r="M2236" s="2"/>
      <x:c r="N2236" s="2"/>
      <x:c r="O2236" s="2"/>
      <x:c r="P2236" s="2"/>
      <x:c r="Q2236" s="2"/>
      <x:c r="R2236" s="2"/>
    </x:row>
    <x:row r="2237" ht="22" customHeight="1">
      <x:c r="A2237" s="2" t="n">
        <x:v>102231</x:v>
      </x:c>
      <x:c r="B2237" s="10" t="n">
        <x:v>45273</x:v>
      </x:c>
      <x:c r="C2237" s="2" t="str">
        <x:v>Colômbia</x:v>
      </x:c>
      <x:c r="D2237" s="2" t="str">
        <x:v>Calçados</x:v>
      </x:c>
      <x:c r="E2237" s="11" t="n">
        <x:v>29</x:v>
      </x:c>
      <x:c r="F2237" s="12" t="n">
        <x:v>123.87</x:v>
      </x:c>
      <x:c r="G2237" s="12" t="n">
        <x:v>3592.23</x:v>
      </x:c>
      <x:c r="H2237" s="13" t="n">
        <x:v>177</x:v>
      </x:c>
      <x:c r="I2237" s="13" t="n">
        <x:f>YEAR(B2237)</x:f>
        <x:v>2023</x:v>
      </x:c>
      <x:c r="J2237" s="13" t="n">
        <x:f>MONTH(B2237)</x:f>
        <x:v>12</x:v>
      </x:c>
      <x:c r="K2237" s="14" t="n">
        <x:f>ROUND(E2237*F2237-G2237,10)</x:f>
        <x:v>0</x:v>
      </x:c>
      <x:c r="L2237" s="2"/>
      <x:c r="M2237" s="2"/>
      <x:c r="N2237" s="2"/>
      <x:c r="O2237" s="2"/>
      <x:c r="P2237" s="2"/>
      <x:c r="Q2237" s="2"/>
      <x:c r="R2237" s="2"/>
    </x:row>
    <x:row r="2238" ht="22" customHeight="1">
      <x:c r="A2238" s="2" t="n">
        <x:v>102232</x:v>
      </x:c>
      <x:c r="B2238" s="10" t="n">
        <x:v>45032</x:v>
      </x:c>
      <x:c r="C2238" s="2" t="str">
        <x:v>Peru</x:v>
      </x:c>
      <x:c r="D2238" s="2" t="str">
        <x:v>Moda Feminina</x:v>
      </x:c>
      <x:c r="E2238" s="11" t="n">
        <x:v>38</x:v>
      </x:c>
      <x:c r="F2238" s="12" t="n">
        <x:v>135.67</x:v>
      </x:c>
      <x:c r="G2238" s="12" t="n">
        <x:v>5155.459999999999</x:v>
      </x:c>
      <x:c r="H2238" s="13" t="n">
        <x:v>422</x:v>
      </x:c>
      <x:c r="I2238" s="13" t="n">
        <x:f>YEAR(B2238)</x:f>
        <x:v>2023</x:v>
      </x:c>
      <x:c r="J2238" s="13" t="n">
        <x:f>MONTH(B2238)</x:f>
        <x:v>4</x:v>
      </x:c>
      <x:c r="K2238" s="14" t="n">
        <x:f>ROUND(E2238*F2238-G2238,10)</x:f>
        <x:v>0</x:v>
      </x:c>
      <x:c r="L2238" s="2"/>
      <x:c r="M2238" s="2"/>
      <x:c r="N2238" s="2"/>
      <x:c r="O2238" s="2"/>
      <x:c r="P2238" s="2"/>
      <x:c r="Q2238" s="2"/>
      <x:c r="R2238" s="2"/>
    </x:row>
    <x:row r="2239" ht="22" customHeight="1">
      <x:c r="A2239" s="2" t="n">
        <x:v>102233</x:v>
      </x:c>
      <x:c r="B2239" s="10" t="n">
        <x:v>45554</x:v>
      </x:c>
      <x:c r="C2239" s="2" t="str">
        <x:v>Chile</x:v>
      </x:c>
      <x:c r="D2239" s="2" t="str">
        <x:v>Moda Feminina</x:v>
      </x:c>
      <x:c r="E2239" s="11" t="n">
        <x:v>46</x:v>
      </x:c>
      <x:c r="F2239" s="12" t="n">
        <x:v>172.97</x:v>
      </x:c>
      <x:c r="G2239" s="12" t="n">
        <x:v>7956.62</x:v>
      </x:c>
      <x:c r="H2239" s="13" t="n">
        <x:v>105</x:v>
      </x:c>
      <x:c r="I2239" s="13" t="n">
        <x:f>YEAR(B2239)</x:f>
        <x:v>2024</x:v>
      </x:c>
      <x:c r="J2239" s="13" t="n">
        <x:f>MONTH(B2239)</x:f>
        <x:v>9</x:v>
      </x:c>
      <x:c r="K2239" s="14" t="n">
        <x:f>ROUND(E2239*F2239-G2239,10)</x:f>
        <x:v>0</x:v>
      </x:c>
      <x:c r="L2239" s="2"/>
      <x:c r="M2239" s="2"/>
      <x:c r="N2239" s="2"/>
      <x:c r="O2239" s="2"/>
      <x:c r="P2239" s="2"/>
      <x:c r="Q2239" s="2"/>
      <x:c r="R2239" s="2"/>
    </x:row>
    <x:row r="2240" ht="22" customHeight="1">
      <x:c r="A2240" s="2" t="n">
        <x:v>102234</x:v>
      </x:c>
      <x:c r="B2240" s="10" t="n">
        <x:v>45049</x:v>
      </x:c>
      <x:c r="C2240" s="2" t="str">
        <x:v>Peru</x:v>
      </x:c>
      <x:c r="D2240" s="2" t="str">
        <x:v>Moda Feminina</x:v>
      </x:c>
      <x:c r="E2240" s="11" t="n">
        <x:v>33</x:v>
      </x:c>
      <x:c r="F2240" s="12" t="n">
        <x:v>72.65</x:v>
      </x:c>
      <x:c r="G2240" s="12" t="n">
        <x:v>2397.45</x:v>
      </x:c>
      <x:c r="H2240" s="13" t="n">
        <x:v>175</x:v>
      </x:c>
      <x:c r="I2240" s="13" t="n">
        <x:f>YEAR(B2240)</x:f>
        <x:v>2023</x:v>
      </x:c>
      <x:c r="J2240" s="13" t="n">
        <x:f>MONTH(B2240)</x:f>
        <x:v>5</x:v>
      </x:c>
      <x:c r="K2240" s="14" t="n">
        <x:f>ROUND(E2240*F2240-G2240,10)</x:f>
        <x:v>0</x:v>
      </x:c>
      <x:c r="L2240" s="2"/>
      <x:c r="M2240" s="2"/>
      <x:c r="N2240" s="2"/>
      <x:c r="O2240" s="2"/>
      <x:c r="P2240" s="2"/>
      <x:c r="Q2240" s="2"/>
      <x:c r="R2240" s="2"/>
    </x:row>
    <x:row r="2241" ht="22" customHeight="1">
      <x:c r="A2241" s="2" t="n">
        <x:v>102235</x:v>
      </x:c>
      <x:c r="B2241" s="10" t="n">
        <x:v>45232</x:v>
      </x:c>
      <x:c r="C2241" s="2" t="str">
        <x:v>Argentina</x:v>
      </x:c>
      <x:c r="D2241" s="2" t="str">
        <x:v>Moda Infantil</x:v>
      </x:c>
      <x:c r="E2241" s="11" t="n">
        <x:v>18</x:v>
      </x:c>
      <x:c r="F2241" s="12" t="n">
        <x:v>50.14</x:v>
      </x:c>
      <x:c r="G2241" s="12" t="n">
        <x:v>902.52</x:v>
      </x:c>
      <x:c r="H2241" s="13" t="n">
        <x:v>208</x:v>
      </x:c>
      <x:c r="I2241" s="13" t="n">
        <x:f>YEAR(B2241)</x:f>
        <x:v>2023</x:v>
      </x:c>
      <x:c r="J2241" s="13" t="n">
        <x:f>MONTH(B2241)</x:f>
        <x:v>11</x:v>
      </x:c>
      <x:c r="K2241" s="14" t="n">
        <x:f>ROUND(E2241*F2241-G2241,10)</x:f>
        <x:v>0</x:v>
      </x:c>
      <x:c r="L2241" s="2"/>
      <x:c r="M2241" s="2"/>
      <x:c r="N2241" s="2"/>
      <x:c r="O2241" s="2"/>
      <x:c r="P2241" s="2"/>
      <x:c r="Q2241" s="2"/>
      <x:c r="R2241" s="2"/>
    </x:row>
    <x:row r="2242" ht="22" customHeight="1">
      <x:c r="A2242" s="2" t="n">
        <x:v>102236</x:v>
      </x:c>
      <x:c r="B2242" s="10" t="n">
        <x:v>45055</x:v>
      </x:c>
      <x:c r="C2242" s="2" t="str">
        <x:v>Argentina</x:v>
      </x:c>
      <x:c r="D2242" s="2" t="str">
        <x:v>Moda Infantil</x:v>
      </x:c>
      <x:c r="E2242" s="11" t="n">
        <x:v>7</x:v>
      </x:c>
      <x:c r="F2242" s="12" t="n">
        <x:v>88.22</x:v>
      </x:c>
      <x:c r="G2242" s="12" t="n">
        <x:v>617.54</x:v>
      </x:c>
      <x:c r="H2242" s="13" t="n">
        <x:v>108</x:v>
      </x:c>
      <x:c r="I2242" s="13" t="n">
        <x:f>YEAR(B2242)</x:f>
        <x:v>2023</x:v>
      </x:c>
      <x:c r="J2242" s="13" t="n">
        <x:f>MONTH(B2242)</x:f>
        <x:v>5</x:v>
      </x:c>
      <x:c r="K2242" s="14" t="n">
        <x:f>ROUND(E2242*F2242-G2242,10)</x:f>
        <x:v>0</x:v>
      </x:c>
      <x:c r="L2242" s="2"/>
      <x:c r="M2242" s="2"/>
      <x:c r="N2242" s="2"/>
      <x:c r="O2242" s="2"/>
      <x:c r="P2242" s="2"/>
      <x:c r="Q2242" s="2"/>
      <x:c r="R2242" s="2"/>
    </x:row>
    <x:row r="2243" ht="22" customHeight="1">
      <x:c r="A2243" s="2" t="n">
        <x:v>102237</x:v>
      </x:c>
      <x:c r="B2243" s="10" t="n">
        <x:v>45505</x:v>
      </x:c>
      <x:c r="C2243" s="2" t="str">
        <x:v>México</x:v>
      </x:c>
      <x:c r="D2243" s="2" t="str">
        <x:v>Moda Masculina</x:v>
      </x:c>
      <x:c r="E2243" s="11" t="n">
        <x:v>1</x:v>
      </x:c>
      <x:c r="F2243" s="12" t="n">
        <x:v>83.64</x:v>
      </x:c>
      <x:c r="G2243" s="12" t="n">
        <x:v>83.64</x:v>
      </x:c>
      <x:c r="H2243" s="13" t="n">
        <x:v>107</x:v>
      </x:c>
      <x:c r="I2243" s="13" t="n">
        <x:f>YEAR(B2243)</x:f>
        <x:v>2024</x:v>
      </x:c>
      <x:c r="J2243" s="13" t="n">
        <x:f>MONTH(B2243)</x:f>
        <x:v>8</x:v>
      </x:c>
      <x:c r="K2243" s="14" t="n">
        <x:f>ROUND(E2243*F2243-G2243,10)</x:f>
        <x:v>0</x:v>
      </x:c>
      <x:c r="L2243" s="2"/>
      <x:c r="M2243" s="2"/>
      <x:c r="N2243" s="2"/>
      <x:c r="O2243" s="2"/>
      <x:c r="P2243" s="2"/>
      <x:c r="Q2243" s="2"/>
      <x:c r="R2243" s="2"/>
    </x:row>
    <x:row r="2244" ht="22" customHeight="1">
      <x:c r="A2244" s="2" t="n">
        <x:v>102238</x:v>
      </x:c>
      <x:c r="B2244" s="10" t="n">
        <x:v>45225</x:v>
      </x:c>
      <x:c r="C2244" s="2" t="str">
        <x:v>Brasil</x:v>
      </x:c>
      <x:c r="D2244" s="2" t="str">
        <x:v>Moda Masculina</x:v>
      </x:c>
      <x:c r="E2244" s="11" t="n">
        <x:v>33</x:v>
      </x:c>
      <x:c r="F2244" s="12" t="n">
        <x:v>43.84</x:v>
      </x:c>
      <x:c r="G2244" s="12" t="n">
        <x:v>1446.72</x:v>
      </x:c>
      <x:c r="H2244" s="13" t="n">
        <x:v>189</x:v>
      </x:c>
      <x:c r="I2244" s="13" t="n">
        <x:f>YEAR(B2244)</x:f>
        <x:v>2023</x:v>
      </x:c>
      <x:c r="J2244" s="13" t="n">
        <x:f>MONTH(B2244)</x:f>
        <x:v>10</x:v>
      </x:c>
      <x:c r="K2244" s="14" t="n">
        <x:f>ROUND(E2244*F2244-G2244,10)</x:f>
        <x:v>0</x:v>
      </x:c>
      <x:c r="L2244" s="2"/>
      <x:c r="M2244" s="2"/>
      <x:c r="N2244" s="2"/>
      <x:c r="O2244" s="2"/>
      <x:c r="P2244" s="2"/>
      <x:c r="Q2244" s="2"/>
      <x:c r="R2244" s="2"/>
    </x:row>
    <x:row r="2245" ht="22" customHeight="1">
      <x:c r="A2245" s="2" t="n">
        <x:v>102239</x:v>
      </x:c>
      <x:c r="B2245" s="10" t="n">
        <x:v>45100</x:v>
      </x:c>
      <x:c r="C2245" s="2" t="str">
        <x:v>Chile</x:v>
      </x:c>
      <x:c r="D2245" s="2" t="str">
        <x:v>Moda Feminina</x:v>
      </x:c>
      <x:c r="E2245" s="11" t="n">
        <x:v>1</x:v>
      </x:c>
      <x:c r="F2245" s="12" t="n">
        <x:v>141.01</x:v>
      </x:c>
      <x:c r="G2245" s="12" t="n">
        <x:v>141.01</x:v>
      </x:c>
      <x:c r="H2245" s="13" t="n">
        <x:v>225</x:v>
      </x:c>
      <x:c r="I2245" s="13" t="n">
        <x:f>YEAR(B2245)</x:f>
        <x:v>2023</x:v>
      </x:c>
      <x:c r="J2245" s="13" t="n">
        <x:f>MONTH(B2245)</x:f>
        <x:v>6</x:v>
      </x:c>
      <x:c r="K2245" s="14" t="n">
        <x:f>ROUND(E2245*F2245-G2245,10)</x:f>
        <x:v>0</x:v>
      </x:c>
      <x:c r="L2245" s="2"/>
      <x:c r="M2245" s="2"/>
      <x:c r="N2245" s="2"/>
      <x:c r="O2245" s="2"/>
      <x:c r="P2245" s="2"/>
      <x:c r="Q2245" s="2"/>
      <x:c r="R2245" s="2"/>
    </x:row>
    <x:row r="2246" ht="22" customHeight="1">
      <x:c r="A2246" s="2" t="n">
        <x:v>102240</x:v>
      </x:c>
      <x:c r="B2246" s="10" t="n">
        <x:v>45371</x:v>
      </x:c>
      <x:c r="C2246" s="2" t="str">
        <x:v>México</x:v>
      </x:c>
      <x:c r="D2246" s="2" t="str">
        <x:v>Calçados</x:v>
      </x:c>
      <x:c r="E2246" s="11" t="n">
        <x:v>24</x:v>
      </x:c>
      <x:c r="F2246" s="12" t="n">
        <x:v>111.56</x:v>
      </x:c>
      <x:c r="G2246" s="12" t="n">
        <x:v>2677.44</x:v>
      </x:c>
      <x:c r="H2246" s="13" t="n">
        <x:v>464</x:v>
      </x:c>
      <x:c r="I2246" s="13" t="n">
        <x:f>YEAR(B2246)</x:f>
        <x:v>2024</x:v>
      </x:c>
      <x:c r="J2246" s="13" t="n">
        <x:f>MONTH(B2246)</x:f>
        <x:v>3</x:v>
      </x:c>
      <x:c r="K2246" s="14" t="n">
        <x:f>ROUND(E2246*F2246-G2246,10)</x:f>
        <x:v>0</x:v>
      </x:c>
      <x:c r="L2246" s="2"/>
      <x:c r="M2246" s="2"/>
      <x:c r="N2246" s="2"/>
      <x:c r="O2246" s="2"/>
      <x:c r="P2246" s="2"/>
      <x:c r="Q2246" s="2"/>
      <x:c r="R2246" s="2"/>
    </x:row>
    <x:row r="2247" ht="22" customHeight="1">
      <x:c r="A2247" s="2" t="n">
        <x:v>102241</x:v>
      </x:c>
      <x:c r="B2247" s="10" t="n">
        <x:v>45477</x:v>
      </x:c>
      <x:c r="C2247" s="2" t="str">
        <x:v>Chile</x:v>
      </x:c>
      <x:c r="D2247" s="2" t="str">
        <x:v>Moda Masculina</x:v>
      </x:c>
      <x:c r="E2247" s="11" t="n">
        <x:v>4</x:v>
      </x:c>
      <x:c r="F2247" s="12" t="n">
        <x:v>149.8</x:v>
      </x:c>
      <x:c r="G2247" s="12" t="n">
        <x:v>599.2</x:v>
      </x:c>
      <x:c r="H2247" s="13" t="n">
        <x:v>157</x:v>
      </x:c>
      <x:c r="I2247" s="13" t="n">
        <x:f>YEAR(B2247)</x:f>
        <x:v>2024</x:v>
      </x:c>
      <x:c r="J2247" s="13" t="n">
        <x:f>MONTH(B2247)</x:f>
        <x:v>7</x:v>
      </x:c>
      <x:c r="K2247" s="14" t="n">
        <x:f>ROUND(E2247*F2247-G2247,10)</x:f>
        <x:v>0</x:v>
      </x:c>
      <x:c r="L2247" s="2"/>
      <x:c r="M2247" s="2"/>
      <x:c r="N2247" s="2"/>
      <x:c r="O2247" s="2"/>
      <x:c r="P2247" s="2"/>
      <x:c r="Q2247" s="2"/>
      <x:c r="R2247" s="2"/>
    </x:row>
    <x:row r="2248" ht="22" customHeight="1">
      <x:c r="A2248" s="2" t="n">
        <x:v>102242</x:v>
      </x:c>
      <x:c r="B2248" s="10" t="n">
        <x:v>45350</x:v>
      </x:c>
      <x:c r="C2248" s="2" t="str">
        <x:v>Brasil</x:v>
      </x:c>
      <x:c r="D2248" s="2" t="str">
        <x:v>Moda Masculina</x:v>
      </x:c>
      <x:c r="E2248" s="11" t="n">
        <x:v>4</x:v>
      </x:c>
      <x:c r="F2248" s="12" t="n">
        <x:v>83.48</x:v>
      </x:c>
      <x:c r="G2248" s="12" t="n">
        <x:v>333.92</x:v>
      </x:c>
      <x:c r="H2248" s="13" t="n">
        <x:v>260</x:v>
      </x:c>
      <x:c r="I2248" s="13" t="n">
        <x:f>YEAR(B2248)</x:f>
        <x:v>2024</x:v>
      </x:c>
      <x:c r="J2248" s="13" t="n">
        <x:f>MONTH(B2248)</x:f>
        <x:v>2</x:v>
      </x:c>
      <x:c r="K2248" s="14" t="n">
        <x:f>ROUND(E2248*F2248-G2248,10)</x:f>
        <x:v>0</x:v>
      </x:c>
      <x:c r="L2248" s="2"/>
      <x:c r="M2248" s="2"/>
      <x:c r="N2248" s="2"/>
      <x:c r="O2248" s="2"/>
      <x:c r="P2248" s="2"/>
      <x:c r="Q2248" s="2"/>
      <x:c r="R2248" s="2"/>
    </x:row>
    <x:row r="2249" ht="22" customHeight="1">
      <x:c r="A2249" s="2" t="n">
        <x:v>102243</x:v>
      </x:c>
      <x:c r="B2249" s="10" t="n">
        <x:v>45157</x:v>
      </x:c>
      <x:c r="C2249" s="2" t="str">
        <x:v>Peru</x:v>
      </x:c>
      <x:c r="D2249" s="2" t="str">
        <x:v>Moda Infantil</x:v>
      </x:c>
      <x:c r="E2249" s="11" t="n">
        <x:v>18</x:v>
      </x:c>
      <x:c r="F2249" s="12" t="n">
        <x:v>78.63</x:v>
      </x:c>
      <x:c r="G2249" s="12" t="n">
        <x:v>1415.34</x:v>
      </x:c>
      <x:c r="H2249" s="13" t="n">
        <x:v>496</x:v>
      </x:c>
      <x:c r="I2249" s="13" t="n">
        <x:f>YEAR(B2249)</x:f>
        <x:v>2023</x:v>
      </x:c>
      <x:c r="J2249" s="13" t="n">
        <x:f>MONTH(B2249)</x:f>
        <x:v>8</x:v>
      </x:c>
      <x:c r="K2249" s="14" t="n">
        <x:f>ROUND(E2249*F2249-G2249,10)</x:f>
        <x:v>0</x:v>
      </x:c>
      <x:c r="L2249" s="2"/>
      <x:c r="M2249" s="2"/>
      <x:c r="N2249" s="2"/>
      <x:c r="O2249" s="2"/>
      <x:c r="P2249" s="2"/>
      <x:c r="Q2249" s="2"/>
      <x:c r="R2249" s="2"/>
    </x:row>
    <x:row r="2250" ht="22" customHeight="1">
      <x:c r="A2250" s="2" t="n">
        <x:v>102244</x:v>
      </x:c>
      <x:c r="B2250" s="10" t="n">
        <x:v>45385</x:v>
      </x:c>
      <x:c r="C2250" s="2" t="str">
        <x:v>Peru</x:v>
      </x:c>
      <x:c r="D2250" s="2" t="str">
        <x:v>Calçados</x:v>
      </x:c>
      <x:c r="E2250" s="11" t="n">
        <x:v>27</x:v>
      </x:c>
      <x:c r="F2250" s="12" t="n">
        <x:v>105.06</x:v>
      </x:c>
      <x:c r="G2250" s="12" t="n">
        <x:v>2836.62</x:v>
      </x:c>
      <x:c r="H2250" s="13" t="n">
        <x:v>123</x:v>
      </x:c>
      <x:c r="I2250" s="13" t="n">
        <x:f>YEAR(B2250)</x:f>
        <x:v>2024</x:v>
      </x:c>
      <x:c r="J2250" s="13" t="n">
        <x:f>MONTH(B2250)</x:f>
        <x:v>4</x:v>
      </x:c>
      <x:c r="K2250" s="14" t="n">
        <x:f>ROUND(E2250*F2250-G2250,10)</x:f>
        <x:v>0</x:v>
      </x:c>
      <x:c r="L2250" s="2"/>
      <x:c r="M2250" s="2"/>
      <x:c r="N2250" s="2"/>
      <x:c r="O2250" s="2"/>
      <x:c r="P2250" s="2"/>
      <x:c r="Q2250" s="2"/>
      <x:c r="R2250" s="2"/>
    </x:row>
    <x:row r="2251" ht="22" customHeight="1">
      <x:c r="A2251" s="2" t="n">
        <x:v>102245</x:v>
      </x:c>
      <x:c r="B2251" s="10" t="n">
        <x:v>45396</x:v>
      </x:c>
      <x:c r="C2251" s="2" t="str">
        <x:v>Brasil</x:v>
      </x:c>
      <x:c r="D2251" s="2" t="str">
        <x:v>Moda Feminina</x:v>
      </x:c>
      <x:c r="E2251" s="11" t="n">
        <x:v>43</x:v>
      </x:c>
      <x:c r="F2251" s="12" t="n">
        <x:v>177.93</x:v>
      </x:c>
      <x:c r="G2251" s="12" t="n">
        <x:v>7650.990000000001</x:v>
      </x:c>
      <x:c r="H2251" s="13" t="n">
        <x:v>216</x:v>
      </x:c>
      <x:c r="I2251" s="13" t="n">
        <x:f>YEAR(B2251)</x:f>
        <x:v>2024</x:v>
      </x:c>
      <x:c r="J2251" s="13" t="n">
        <x:f>MONTH(B2251)</x:f>
        <x:v>4</x:v>
      </x:c>
      <x:c r="K2251" s="14" t="n">
        <x:f>ROUND(E2251*F2251-G2251,10)</x:f>
        <x:v>0</x:v>
      </x:c>
      <x:c r="L2251" s="2"/>
      <x:c r="M2251" s="2"/>
      <x:c r="N2251" s="2"/>
      <x:c r="O2251" s="2"/>
      <x:c r="P2251" s="2"/>
      <x:c r="Q2251" s="2"/>
      <x:c r="R2251" s="2"/>
    </x:row>
    <x:row r="2252" ht="22" customHeight="1">
      <x:c r="A2252" s="2" t="n">
        <x:v>102246</x:v>
      </x:c>
      <x:c r="B2252" s="10" t="n">
        <x:v>45636</x:v>
      </x:c>
      <x:c r="C2252" s="2" t="str">
        <x:v>México</x:v>
      </x:c>
      <x:c r="D2252" s="2" t="str">
        <x:v>Moda Masculina</x:v>
      </x:c>
      <x:c r="E2252" s="11" t="n">
        <x:v>32</x:v>
      </x:c>
      <x:c r="F2252" s="12" t="n">
        <x:v>27.25</x:v>
      </x:c>
      <x:c r="G2252" s="12" t="n">
        <x:v>872</x:v>
      </x:c>
      <x:c r="H2252" s="13" t="n">
        <x:v>453</x:v>
      </x:c>
      <x:c r="I2252" s="13" t="n">
        <x:f>YEAR(B2252)</x:f>
        <x:v>2024</x:v>
      </x:c>
      <x:c r="J2252" s="13" t="n">
        <x:f>MONTH(B2252)</x:f>
        <x:v>12</x:v>
      </x:c>
      <x:c r="K2252" s="14" t="n">
        <x:f>ROUND(E2252*F2252-G2252,10)</x:f>
        <x:v>0</x:v>
      </x:c>
      <x:c r="L2252" s="2"/>
      <x:c r="M2252" s="2"/>
      <x:c r="N2252" s="2"/>
      <x:c r="O2252" s="2"/>
      <x:c r="P2252" s="2"/>
      <x:c r="Q2252" s="2"/>
      <x:c r="R2252" s="2"/>
    </x:row>
    <x:row r="2253" ht="22" customHeight="1">
      <x:c r="A2253" s="2" t="n">
        <x:v>102247</x:v>
      </x:c>
      <x:c r="B2253" s="10" t="n">
        <x:v>45134</x:v>
      </x:c>
      <x:c r="C2253" s="2" t="str">
        <x:v>Brasil</x:v>
      </x:c>
      <x:c r="D2253" s="2" t="str">
        <x:v>Calçados</x:v>
      </x:c>
      <x:c r="E2253" s="11" t="n">
        <x:v>33</x:v>
      </x:c>
      <x:c r="F2253" s="12" t="n">
        <x:v>164.87</x:v>
      </x:c>
      <x:c r="G2253" s="12" t="n">
        <x:v>5440.71</x:v>
      </x:c>
      <x:c r="H2253" s="13" t="n">
        <x:v>406</x:v>
      </x:c>
      <x:c r="I2253" s="13" t="n">
        <x:f>YEAR(B2253)</x:f>
        <x:v>2023</x:v>
      </x:c>
      <x:c r="J2253" s="13" t="n">
        <x:f>MONTH(B2253)</x:f>
        <x:v>7</x:v>
      </x:c>
      <x:c r="K2253" s="14" t="n">
        <x:f>ROUND(E2253*F2253-G2253,10)</x:f>
        <x:v>0</x:v>
      </x:c>
      <x:c r="L2253" s="2"/>
      <x:c r="M2253" s="2"/>
      <x:c r="N2253" s="2"/>
      <x:c r="O2253" s="2"/>
      <x:c r="P2253" s="2"/>
      <x:c r="Q2253" s="2"/>
      <x:c r="R2253" s="2"/>
    </x:row>
    <x:row r="2254" ht="22" customHeight="1">
      <x:c r="A2254" s="2" t="n">
        <x:v>102248</x:v>
      </x:c>
      <x:c r="B2254" s="10" t="n">
        <x:v>45611</x:v>
      </x:c>
      <x:c r="C2254" s="2" t="str">
        <x:v>Colômbia</x:v>
      </x:c>
      <x:c r="D2254" s="2" t="str">
        <x:v>Calçados</x:v>
      </x:c>
      <x:c r="E2254" s="11" t="n">
        <x:v>28</x:v>
      </x:c>
      <x:c r="F2254" s="12" t="n">
        <x:v>86.42</x:v>
      </x:c>
      <x:c r="G2254" s="12" t="n">
        <x:v>2419.76</x:v>
      </x:c>
      <x:c r="H2254" s="13" t="n">
        <x:v>353</x:v>
      </x:c>
      <x:c r="I2254" s="13" t="n">
        <x:f>YEAR(B2254)</x:f>
        <x:v>2024</x:v>
      </x:c>
      <x:c r="J2254" s="13" t="n">
        <x:f>MONTH(B2254)</x:f>
        <x:v>11</x:v>
      </x:c>
      <x:c r="K2254" s="14" t="n">
        <x:f>ROUND(E2254*F2254-G2254,10)</x:f>
        <x:v>0</x:v>
      </x:c>
      <x:c r="L2254" s="2"/>
      <x:c r="M2254" s="2"/>
      <x:c r="N2254" s="2"/>
      <x:c r="O2254" s="2"/>
      <x:c r="P2254" s="2"/>
      <x:c r="Q2254" s="2"/>
      <x:c r="R2254" s="2"/>
    </x:row>
    <x:row r="2255" ht="22" customHeight="1">
      <x:c r="A2255" s="2" t="n">
        <x:v>102249</x:v>
      </x:c>
      <x:c r="B2255" s="10" t="n">
        <x:v>45191</x:v>
      </x:c>
      <x:c r="C2255" s="2" t="str">
        <x:v>Argentina</x:v>
      </x:c>
      <x:c r="D2255" s="2" t="str">
        <x:v>Moda Feminina</x:v>
      </x:c>
      <x:c r="E2255" s="11" t="n">
        <x:v>42</x:v>
      </x:c>
      <x:c r="F2255" s="12" t="n">
        <x:v>173.83</x:v>
      </x:c>
      <x:c r="G2255" s="12" t="n">
        <x:v>7300.860000000001</x:v>
      </x:c>
      <x:c r="H2255" s="13" t="n">
        <x:v>282</x:v>
      </x:c>
      <x:c r="I2255" s="13" t="n">
        <x:f>YEAR(B2255)</x:f>
        <x:v>2023</x:v>
      </x:c>
      <x:c r="J2255" s="13" t="n">
        <x:f>MONTH(B2255)</x:f>
        <x:v>9</x:v>
      </x:c>
      <x:c r="K2255" s="14" t="n">
        <x:f>ROUND(E2255*F2255-G2255,10)</x:f>
        <x:v>0</x:v>
      </x:c>
      <x:c r="L2255" s="2"/>
      <x:c r="M2255" s="2"/>
      <x:c r="N2255" s="2"/>
      <x:c r="O2255" s="2"/>
      <x:c r="P2255" s="2"/>
      <x:c r="Q2255" s="2"/>
      <x:c r="R2255" s="2"/>
    </x:row>
    <x:row r="2256" ht="22" customHeight="1">
      <x:c r="A2256" s="2" t="n">
        <x:v>102250</x:v>
      </x:c>
      <x:c r="B2256" s="10" t="n">
        <x:v>44977</x:v>
      </x:c>
      <x:c r="C2256" s="2" t="str">
        <x:v>México</x:v>
      </x:c>
      <x:c r="D2256" s="2" t="str">
        <x:v>Calçados</x:v>
      </x:c>
      <x:c r="E2256" s="11" t="n">
        <x:v>41</x:v>
      </x:c>
      <x:c r="F2256" s="12" t="n">
        <x:v>164.4</x:v>
      </x:c>
      <x:c r="G2256" s="12" t="n">
        <x:v>6740.400000000001</x:v>
      </x:c>
      <x:c r="H2256" s="13" t="n">
        <x:v>376</x:v>
      </x:c>
      <x:c r="I2256" s="13" t="n">
        <x:f>YEAR(B2256)</x:f>
        <x:v>2023</x:v>
      </x:c>
      <x:c r="J2256" s="13" t="n">
        <x:f>MONTH(B2256)</x:f>
        <x:v>2</x:v>
      </x:c>
      <x:c r="K2256" s="14" t="n">
        <x:f>ROUND(E2256*F2256-G2256,10)</x:f>
        <x:v>0</x:v>
      </x:c>
      <x:c r="L2256" s="2"/>
      <x:c r="M2256" s="2"/>
      <x:c r="N2256" s="2"/>
      <x:c r="O2256" s="2"/>
      <x:c r="P2256" s="2"/>
      <x:c r="Q2256" s="2"/>
      <x:c r="R2256" s="2"/>
    </x:row>
  </x:sheetData>
  <x:pageMargins left="0.7" right="0.7" top="0.75" bottom="0.75" header="0.3" footer="0.3"/>
  <x:tableParts count="1">
    <x:tablePart xmlns:r="http://schemas.openxmlformats.org/officeDocument/2006/relationships" r:id="R34b7d327799a4f91"/>
  </x:tableParts>
</x:worksheet>
</file>